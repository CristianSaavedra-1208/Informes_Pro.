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undo\Programa de informes\"/>
    </mc:Choice>
  </mc:AlternateContent>
  <xr:revisionPtr revIDLastSave="0" documentId="13_ncr:1_{561C9519-B350-4B69-B857-32FA76E4983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Efectivo" sheetId="3" r:id="rId1"/>
    <sheet name="Otros activos no financieros, c" sheetId="4" r:id="rId2"/>
    <sheet name="Deudores" sheetId="5" r:id="rId3"/>
    <sheet name="Inventarios" sheetId="6" r:id="rId4"/>
    <sheet name="Intangibles" sheetId="7" r:id="rId5"/>
    <sheet name="Activo Fijo" sheetId="8" r:id="rId6"/>
    <sheet name="Activo por derechos de uso" sheetId="9" r:id="rId7"/>
    <sheet name="Plusvalia" sheetId="11" r:id="rId8"/>
    <sheet name="Impuestos corrientes" sheetId="12" r:id="rId9"/>
    <sheet name="Pasivos derechos de  uso" sheetId="13" r:id="rId10"/>
    <sheet name="Pasivos financieros " sheetId="14" r:id="rId11"/>
    <sheet name="Cuentas por pagar" sheetId="15" r:id="rId12"/>
    <sheet name="Provisiones" sheetId="16" r:id="rId13"/>
    <sheet name="Impuestos Diferidos" sheetId="17" r:id="rId14"/>
    <sheet name="Inversion en relacionadas" sheetId="18" r:id="rId15"/>
    <sheet name="Empresas relacionadas" sheetId="19" r:id="rId16"/>
    <sheet name="Patrimonio" sheetId="20" r:id="rId17"/>
    <sheet name="Ingresos Ctos operacion" sheetId="21" r:id="rId18"/>
    <sheet name="Gtos Adm" sheetId="24" r:id="rId19"/>
    <sheet name="DC y Reajustes" sheetId="25" r:id="rId20"/>
    <sheet name="Costos e ingresos Financieros" sheetId="26" r:id="rId21"/>
    <sheet name="Otros gastos por funcion" sheetId="27" r:id="rId22"/>
    <sheet name="Otros ingresos por funcion" sheetId="28" r:id="rId23"/>
    <sheet name="Segmentos" sheetId="34" r:id="rId24"/>
    <sheet name="Cuadros adicionales" sheetId="29" r:id="rId25"/>
  </sheets>
  <definedNames>
    <definedName name="_1PAR">#REF!</definedName>
    <definedName name="_2C">#REF!</definedName>
    <definedName name="_3C">#REF!</definedName>
    <definedName name="_4C">#REF!</definedName>
    <definedName name="_9C">#REF!</definedName>
    <definedName name="_BAS1">#REF!</definedName>
    <definedName name="_om2">#REF!</definedName>
    <definedName name="_om3">#REF!</definedName>
    <definedName name="_om9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A_impresión_IM">#REF!</definedName>
    <definedName name="ANEXO3A">#REF!</definedName>
    <definedName name="Area">#REF!</definedName>
    <definedName name="AUDBASISCLPFC">#REF!</definedName>
    <definedName name="AUDBASISCLPFD">#REF!</definedName>
    <definedName name="AUDBASISNCLPFC">#REF!</definedName>
    <definedName name="AUDBASISNCLPFD">#REF!</definedName>
    <definedName name="AUDBASISUSDFC">#REF!</definedName>
    <definedName name="AUDBASISUSDFD">#REF!</definedName>
    <definedName name="ayu">#REF!</definedName>
    <definedName name="BAS">#REF!</definedName>
    <definedName name="_xlnm.Database">#REF!</definedName>
    <definedName name="Bins__aisi304_steel_lining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RLBASISCLPFC">#REF!</definedName>
    <definedName name="BRLBASISCLPFD">#REF!</definedName>
    <definedName name="BRLBASISNCLPFC">#REF!</definedName>
    <definedName name="BRLBASISNCLPFD">#REF!</definedName>
    <definedName name="BRLBASISUSDFC">#REF!</definedName>
    <definedName name="BRLBASISUSDFD">#REF!</definedName>
    <definedName name="CADBASISCLPFC">#REF!</definedName>
    <definedName name="CADBASISCLPFD">#REF!</definedName>
    <definedName name="CADBASISNCLPFC">#REF!</definedName>
    <definedName name="CADBASISNCLPFD">#REF!</definedName>
    <definedName name="CADBASISUSDFC">#REF!</definedName>
    <definedName name="CADBASISUSDFD">#REF!</definedName>
    <definedName name="CADEYREG">#REF!</definedName>
    <definedName name="cap">#REF!</definedName>
    <definedName name="car">#REF!</definedName>
    <definedName name="cat">#REF!</definedName>
    <definedName name="CATEG">#REF!</definedName>
    <definedName name="CEDEYREG">#REF!</definedName>
    <definedName name="CHFBASISCLPFC">#REF!</definedName>
    <definedName name="CHFBASISCLPFD">#REF!</definedName>
    <definedName name="CHFBASISNCLPFC">#REF!</definedName>
    <definedName name="CHFBASISNCLPFD">#REF!</definedName>
    <definedName name="CHFBASISUSDFC">#REF!</definedName>
    <definedName name="CHFBASISUSDFD">#REF!</definedName>
    <definedName name="Ciwil_work">#REF!</definedName>
    <definedName name="CNYBASISCLPFC">#REF!</definedName>
    <definedName name="CNYBASISCLPFD">#REF!</definedName>
    <definedName name="CNYBASISNCLPFC">#REF!</definedName>
    <definedName name="CNYBASISNCLPFD">#REF!</definedName>
    <definedName name="CNYBASISUSDFC">#REF!</definedName>
    <definedName name="CNYBASISUSDFD">#REF!</definedName>
    <definedName name="conv_t">#REF!</definedName>
    <definedName name="COPBASISCLPFC">#REF!</definedName>
    <definedName name="COPBASISCLPFD">#REF!</definedName>
    <definedName name="COPBASISNCLPFC">#REF!</definedName>
    <definedName name="COPBASISNCLPFD">#REF!</definedName>
    <definedName name="COPBASISUSDFC">#REF!</definedName>
    <definedName name="COPBASISUSDFD">#REF!</definedName>
    <definedName name="cuentas">#REF!</definedName>
    <definedName name="CURVA_COLL">#REF!</definedName>
    <definedName name="curva_fra">#REF!</definedName>
    <definedName name="Database">#REF!</definedName>
    <definedName name="deltah">#REF!</definedName>
    <definedName name="DKKBASISCLPFC">#REF!</definedName>
    <definedName name="DKKBASISCLPFD">#REF!</definedName>
    <definedName name="DKKBASISNCLPFC">#REF!</definedName>
    <definedName name="DKKBASISNCLPFD">#REF!</definedName>
    <definedName name="DKKBASISUSDFC">#REF!</definedName>
    <definedName name="DKKBASISUSDFD">#REF!</definedName>
    <definedName name="dsf">#REF!</definedName>
    <definedName name="EE">#REF!</definedName>
    <definedName name="effactor260">#REF!</definedName>
    <definedName name="FCD">#REF!</definedName>
    <definedName name="FECHAUF">#REF!</definedName>
    <definedName name="FX">#REF!</definedName>
    <definedName name="gbp">#REF!</definedName>
    <definedName name="GBPBASISCLPFC">#REF!</definedName>
    <definedName name="GBPBASISCLPFD">#REF!</definedName>
    <definedName name="GBPBASISNCLPFC">#REF!</definedName>
    <definedName name="GBPBASISNCLPFD">#REF!</definedName>
    <definedName name="GBPBASISUSDFC">#REF!</definedName>
    <definedName name="GBPBASISUSDFD">#REF!</definedName>
    <definedName name="grafos">#REF!</definedName>
    <definedName name="H">#REF!</definedName>
    <definedName name="hc">#REF!</definedName>
    <definedName name="HH__Kg_Fe">#REF!</definedName>
    <definedName name="HH__m3_Ho__NO_Incl_Fe">#REF!</definedName>
    <definedName name="HH_Kg_fe">#REF!</definedName>
    <definedName name="HH_m3_Ho_sFe">#REF!</definedName>
    <definedName name="HKDBASISCLPFC">#REF!</definedName>
    <definedName name="HKDBASISCLPFD">#REF!</definedName>
    <definedName name="HKDBASISNCLPFC">#REF!</definedName>
    <definedName name="HKDBASISNCLPFD">#REF!</definedName>
    <definedName name="HKDBASISUSDFC">#REF!</definedName>
    <definedName name="HKDBASISUSDFD">#REF!</definedName>
    <definedName name="hn">#REF!</definedName>
    <definedName name="Imprimir_área_IM">#REF!</definedName>
    <definedName name="Impuesto">#REF!</definedName>
    <definedName name="index_2">#REF!</definedName>
    <definedName name="INDICE_INI">#REF!</definedName>
    <definedName name="Installation">#REF!</definedName>
    <definedName name="Installation___Electrical">#REF!</definedName>
    <definedName name="Installation___Instr">#REF!</definedName>
    <definedName name="installationA">#REF!</definedName>
    <definedName name="installationpiping">#REF!</definedName>
    <definedName name="InstallationTele">#REF!</definedName>
    <definedName name="Interés">#REF!</definedName>
    <definedName name="Itemizado_EE">#REF!</definedName>
    <definedName name="Itemizado_IN">#REF!</definedName>
    <definedName name="Itemizado_Me">#REF!</definedName>
    <definedName name="Itemizado_Me1">#REF!</definedName>
    <definedName name="J1927.">#REF!</definedName>
    <definedName name="JPYBASISCLPFC">#REF!</definedName>
    <definedName name="JPYBASISCLPFD">#REF!</definedName>
    <definedName name="JPYBASISNCLPFC">#REF!</definedName>
    <definedName name="JPYBASISNCLPFD">#REF!</definedName>
    <definedName name="JPYBASISUSDFC">#REF!</definedName>
    <definedName name="JPYBASISUSDFD">#REF!</definedName>
    <definedName name="llave">#REF!</definedName>
    <definedName name="LLAVE2">#REF!</definedName>
    <definedName name="MAG">#REF!</definedName>
    <definedName name="MR">#REF!</definedName>
    <definedName name="MXNBASISCLPFC">#REF!</definedName>
    <definedName name="MXNBASISCLPFD">#REF!</definedName>
    <definedName name="MXNBASISNCLPFC">#REF!</definedName>
    <definedName name="MXNBASISNCLPFD">#REF!</definedName>
    <definedName name="MXNBASISUSDFC">#REF!</definedName>
    <definedName name="MXNBASISUSDFD">#REF!</definedName>
    <definedName name="NOKBASISCLPFC">#REF!</definedName>
    <definedName name="NOKBASISCLPFD">#REF!</definedName>
    <definedName name="NOKBASISNCLPFC">#REF!</definedName>
    <definedName name="NOKBASISNCLPFD">#REF!</definedName>
    <definedName name="NOKBASISUSDFC">#REF!</definedName>
    <definedName name="NOKBASISUSDFD">#REF!</definedName>
    <definedName name="PED">#REF!</definedName>
    <definedName name="PENBASISCLPFC">#REF!</definedName>
    <definedName name="PENBASISCLPFD">#REF!</definedName>
    <definedName name="PENBASISNCLPFC">#REF!</definedName>
    <definedName name="PENBASISNCLPFD">#REF!</definedName>
    <definedName name="PENBASISUSDFC">#REF!</definedName>
    <definedName name="PENBASISUSDFD">#REF!</definedName>
    <definedName name="periodo_fecha">#REF!</definedName>
    <definedName name="PREC">#REF!</definedName>
    <definedName name="Print_Area_MI">#REF!</definedName>
    <definedName name="PRINT_TITLES_MI">#REF!</definedName>
    <definedName name="PROV">#REF!</definedName>
    <definedName name="RESERVA">#REF!</definedName>
    <definedName name="RESERVA1">#REF!</definedName>
    <definedName name="Rt">#REF!</definedName>
    <definedName name="SEKBASISCLPFC">#REF!</definedName>
    <definedName name="SEKBASISCLPFD">#REF!</definedName>
    <definedName name="SEKBASISNCLPFC">#REF!</definedName>
    <definedName name="SEKBASISNCLPFD">#REF!</definedName>
    <definedName name="SEKBASISUSDFC">#REF!</definedName>
    <definedName name="SEKBASISUSDFD">#REF!</definedName>
    <definedName name="solver_drv" hidden="1">2</definedName>
    <definedName name="solver_est" hidden="1">2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2</definedName>
    <definedName name="solver_val" hidden="1">0</definedName>
    <definedName name="T">#REF!</definedName>
    <definedName name="tanks_AISI316">#REF!</definedName>
    <definedName name="TIT">#REF!</definedName>
    <definedName name="Títulos_a_imprimir_IM">#REF!</definedName>
    <definedName name="totalarea">#REF!</definedName>
    <definedName name="usd">#REF!</definedName>
    <definedName name="USD__Kg_Fe">#REF!</definedName>
    <definedName name="USD__m3_Ho__NO_Incl_Fe">#REF!</definedName>
    <definedName name="USD_hh_Erect">#REF!</definedName>
    <definedName name="USD_Ho_sFe">#REF!</definedName>
    <definedName name="USD_Kg_fe">#REF!</definedName>
    <definedName name="usd_peso">#REF!</definedName>
    <definedName name="WA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34" l="1"/>
  <c r="J38" i="34"/>
  <c r="J37" i="34"/>
  <c r="J36" i="34"/>
  <c r="J35" i="34"/>
  <c r="J34" i="34"/>
  <c r="J33" i="34"/>
  <c r="I31" i="34"/>
  <c r="H31" i="34"/>
  <c r="G31" i="34"/>
  <c r="J30" i="34"/>
  <c r="J29" i="34"/>
  <c r="J31" i="34" s="1"/>
  <c r="H33" i="29"/>
  <c r="F34" i="34"/>
  <c r="F35" i="34"/>
  <c r="F36" i="34"/>
  <c r="F37" i="34"/>
  <c r="F38" i="34"/>
  <c r="F41" i="34"/>
  <c r="F33" i="34"/>
  <c r="F30" i="34"/>
  <c r="F29" i="34"/>
  <c r="F31" i="34" s="1"/>
  <c r="D31" i="34"/>
  <c r="E31" i="34"/>
  <c r="C31" i="34"/>
  <c r="J19" i="34"/>
  <c r="J18" i="34"/>
  <c r="J17" i="34"/>
  <c r="J16" i="34"/>
  <c r="J15" i="34"/>
  <c r="J14" i="34"/>
  <c r="J13" i="34"/>
  <c r="J12" i="34"/>
  <c r="J11" i="34"/>
  <c r="J10" i="34"/>
  <c r="J9" i="34"/>
  <c r="F10" i="34"/>
  <c r="F11" i="34"/>
  <c r="F12" i="34"/>
  <c r="F13" i="34"/>
  <c r="F14" i="34"/>
  <c r="F15" i="34"/>
  <c r="F16" i="34"/>
  <c r="F17" i="34"/>
  <c r="F18" i="34"/>
  <c r="F19" i="34"/>
  <c r="F9" i="34"/>
  <c r="E34" i="20"/>
  <c r="D34" i="20"/>
  <c r="E23" i="20"/>
  <c r="D23" i="20"/>
  <c r="D43" i="9"/>
  <c r="E43" i="9"/>
  <c r="C43" i="9"/>
  <c r="E23" i="16"/>
  <c r="D20" i="16" s="1"/>
  <c r="D23" i="16"/>
  <c r="H20" i="29"/>
  <c r="H21" i="29" s="1"/>
  <c r="G20" i="29"/>
  <c r="G21" i="29" s="1"/>
  <c r="F12" i="29"/>
  <c r="H11" i="29"/>
  <c r="G11" i="29"/>
  <c r="H10" i="29"/>
  <c r="G10" i="29"/>
  <c r="H9" i="29"/>
  <c r="H12" i="29" s="1"/>
  <c r="G9" i="29"/>
  <c r="D13" i="28"/>
  <c r="C13" i="28"/>
  <c r="D25" i="26"/>
  <c r="C25" i="26"/>
  <c r="D16" i="26"/>
  <c r="C16" i="26"/>
  <c r="F23" i="25"/>
  <c r="E23" i="25"/>
  <c r="F13" i="25"/>
  <c r="E13" i="25"/>
  <c r="D38" i="24"/>
  <c r="C38" i="24"/>
  <c r="D26" i="24"/>
  <c r="C26" i="24"/>
  <c r="E51" i="21"/>
  <c r="D51" i="21"/>
  <c r="E45" i="21"/>
  <c r="D45" i="21"/>
  <c r="E38" i="21"/>
  <c r="D38" i="21"/>
  <c r="E14" i="21"/>
  <c r="D14" i="21"/>
  <c r="G7" i="19"/>
  <c r="F7" i="19"/>
  <c r="E87" i="17"/>
  <c r="E89" i="17" s="1"/>
  <c r="D87" i="17"/>
  <c r="D89" i="17" s="1"/>
  <c r="E65" i="17"/>
  <c r="D65" i="17"/>
  <c r="E55" i="17"/>
  <c r="D55" i="17"/>
  <c r="E51" i="17"/>
  <c r="D51" i="17"/>
  <c r="E37" i="17"/>
  <c r="E41" i="17" s="1"/>
  <c r="D32" i="17" s="1"/>
  <c r="D37" i="17"/>
  <c r="D41" i="17" s="1"/>
  <c r="G22" i="17"/>
  <c r="G24" i="17" s="1"/>
  <c r="F22" i="17"/>
  <c r="F24" i="17" s="1"/>
  <c r="E22" i="17"/>
  <c r="E24" i="17" s="1"/>
  <c r="D22" i="17"/>
  <c r="D24" i="17" s="1"/>
  <c r="E15" i="16"/>
  <c r="D15" i="16"/>
  <c r="E8" i="16"/>
  <c r="D8" i="16"/>
  <c r="D47" i="15"/>
  <c r="C47" i="15"/>
  <c r="D32" i="15"/>
  <c r="C32" i="15"/>
  <c r="D20" i="15"/>
  <c r="D22" i="15" s="1"/>
  <c r="C20" i="15"/>
  <c r="C22" i="15" s="1"/>
  <c r="D13" i="15"/>
  <c r="C13" i="15"/>
  <c r="N123" i="14"/>
  <c r="M123" i="14"/>
  <c r="L123" i="14"/>
  <c r="K123" i="14"/>
  <c r="K91" i="14"/>
  <c r="J91" i="14"/>
  <c r="I91" i="14"/>
  <c r="H91" i="14"/>
  <c r="J58" i="14"/>
  <c r="I58" i="14"/>
  <c r="H58" i="14"/>
  <c r="G58" i="14"/>
  <c r="J56" i="14"/>
  <c r="I56" i="14"/>
  <c r="H56" i="14"/>
  <c r="G56" i="14"/>
  <c r="K45" i="14"/>
  <c r="J45" i="14"/>
  <c r="I45" i="14"/>
  <c r="H45" i="14"/>
  <c r="G45" i="14"/>
  <c r="F45" i="14"/>
  <c r="E45" i="14"/>
  <c r="D45" i="14"/>
  <c r="C45" i="14"/>
  <c r="K44" i="14"/>
  <c r="K43" i="14"/>
  <c r="K42" i="14"/>
  <c r="K41" i="14"/>
  <c r="H31" i="14"/>
  <c r="G31" i="14"/>
  <c r="F31" i="14"/>
  <c r="E31" i="14"/>
  <c r="D31" i="14"/>
  <c r="C31" i="14"/>
  <c r="H30" i="14"/>
  <c r="E30" i="14"/>
  <c r="H29" i="14"/>
  <c r="E29" i="14"/>
  <c r="H28" i="14"/>
  <c r="E28" i="14"/>
  <c r="H27" i="14"/>
  <c r="E27" i="14"/>
  <c r="F19" i="14"/>
  <c r="E19" i="14"/>
  <c r="D19" i="14"/>
  <c r="C19" i="14"/>
  <c r="J36" i="13"/>
  <c r="I36" i="13"/>
  <c r="H36" i="13"/>
  <c r="G36" i="13"/>
  <c r="F36" i="13"/>
  <c r="E36" i="13"/>
  <c r="D36" i="13"/>
  <c r="C36" i="13"/>
  <c r="K35" i="13"/>
  <c r="K36" i="13" s="1"/>
  <c r="H23" i="13"/>
  <c r="G23" i="13"/>
  <c r="F23" i="13"/>
  <c r="E23" i="13"/>
  <c r="D23" i="13"/>
  <c r="C23" i="13"/>
  <c r="H22" i="13"/>
  <c r="E22" i="13"/>
  <c r="F13" i="13"/>
  <c r="E13" i="13"/>
  <c r="D13" i="13"/>
  <c r="C13" i="13"/>
  <c r="E19" i="12"/>
  <c r="D19" i="12"/>
  <c r="E9" i="12"/>
  <c r="E20" i="12" s="1"/>
  <c r="D9" i="12"/>
  <c r="D20" i="12" s="1"/>
  <c r="D6" i="11"/>
  <c r="C6" i="11"/>
  <c r="D33" i="9"/>
  <c r="C33" i="9"/>
  <c r="D21" i="9"/>
  <c r="C21" i="9"/>
  <c r="G9" i="9"/>
  <c r="F9" i="9"/>
  <c r="D9" i="9"/>
  <c r="C9" i="9"/>
  <c r="H7" i="9"/>
  <c r="H9" i="9" s="1"/>
  <c r="E7" i="9"/>
  <c r="E9" i="9" s="1"/>
  <c r="G48" i="7"/>
  <c r="F48" i="7"/>
  <c r="E48" i="7"/>
  <c r="D48" i="7"/>
  <c r="H47" i="7"/>
  <c r="H46" i="7"/>
  <c r="H45" i="7"/>
  <c r="H48" i="7" s="1"/>
  <c r="G37" i="7"/>
  <c r="F37" i="7"/>
  <c r="E37" i="7"/>
  <c r="D37" i="7"/>
  <c r="H37" i="7" s="1"/>
  <c r="G36" i="7"/>
  <c r="F36" i="7"/>
  <c r="E36" i="7"/>
  <c r="D36" i="7"/>
  <c r="H36" i="7" s="1"/>
  <c r="G35" i="7"/>
  <c r="G38" i="7" s="1"/>
  <c r="F35" i="7"/>
  <c r="F38" i="7" s="1"/>
  <c r="E35" i="7"/>
  <c r="E38" i="7" s="1"/>
  <c r="D35" i="7"/>
  <c r="E23" i="7"/>
  <c r="D23" i="7"/>
  <c r="F22" i="7"/>
  <c r="F21" i="7"/>
  <c r="F20" i="7"/>
  <c r="F19" i="7"/>
  <c r="F23" i="7" s="1"/>
  <c r="E12" i="7"/>
  <c r="D12" i="7"/>
  <c r="F11" i="7"/>
  <c r="F10" i="7"/>
  <c r="F9" i="7"/>
  <c r="F8" i="7"/>
  <c r="D57" i="6"/>
  <c r="C57" i="6"/>
  <c r="D39" i="6"/>
  <c r="C39" i="6"/>
  <c r="D25" i="6"/>
  <c r="C25" i="6"/>
  <c r="D13" i="6"/>
  <c r="C13" i="6"/>
  <c r="C45" i="5"/>
  <c r="C41" i="5"/>
  <c r="D31" i="5"/>
  <c r="C31" i="5"/>
  <c r="D8" i="5"/>
  <c r="D15" i="5" s="1"/>
  <c r="C8" i="5"/>
  <c r="C15" i="5" s="1"/>
  <c r="E34" i="3"/>
  <c r="D34" i="3"/>
  <c r="C20" i="3"/>
  <c r="B20" i="3"/>
  <c r="C11" i="3"/>
  <c r="B11" i="3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P38" i="8"/>
  <c r="P37" i="8"/>
  <c r="P36" i="8"/>
  <c r="P35" i="8"/>
  <c r="P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H25" i="8"/>
  <c r="G25" i="8"/>
  <c r="F25" i="8"/>
  <c r="D25" i="8"/>
  <c r="C25" i="8"/>
  <c r="H23" i="8"/>
  <c r="E23" i="8"/>
  <c r="H22" i="8"/>
  <c r="E22" i="8"/>
  <c r="H21" i="8"/>
  <c r="E21" i="8"/>
  <c r="H20" i="8"/>
  <c r="E20" i="8"/>
  <c r="H19" i="8"/>
  <c r="E19" i="8"/>
  <c r="H18" i="8"/>
  <c r="E18" i="8"/>
  <c r="H17" i="8"/>
  <c r="E17" i="8"/>
  <c r="H16" i="8"/>
  <c r="E16" i="8"/>
  <c r="H15" i="8"/>
  <c r="E15" i="8"/>
  <c r="H14" i="8"/>
  <c r="E14" i="8"/>
  <c r="H13" i="8"/>
  <c r="E13" i="8"/>
  <c r="H12" i="8"/>
  <c r="E12" i="8"/>
  <c r="H11" i="8"/>
  <c r="E11" i="8"/>
  <c r="H10" i="8"/>
  <c r="E10" i="8"/>
  <c r="H9" i="8"/>
  <c r="E9" i="8"/>
  <c r="E25" i="8" s="1"/>
  <c r="H8" i="8"/>
  <c r="E8" i="8"/>
  <c r="G12" i="29" l="1"/>
  <c r="F12" i="7"/>
  <c r="H35" i="7"/>
  <c r="H38" i="7" s="1"/>
  <c r="D38" i="7"/>
  <c r="K89" i="14" l="1"/>
  <c r="C12" i="27"/>
  <c r="H89" i="14"/>
  <c r="J89" i="14"/>
  <c r="D12" i="27"/>
  <c r="I8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Cristiàn Saavedra</author>
  </authors>
  <commentList>
    <comment ref="M3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cartera de clientes
</t>
        </r>
      </text>
    </comment>
  </commentList>
</comments>
</file>

<file path=xl/sharedStrings.xml><?xml version="1.0" encoding="utf-8"?>
<sst xmlns="http://schemas.openxmlformats.org/spreadsheetml/2006/main" count="1390" uniqueCount="669">
  <si>
    <t>30.06.2026</t>
  </si>
  <si>
    <t>31.06.2025</t>
  </si>
  <si>
    <t>Concepto</t>
  </si>
  <si>
    <t>Activo fijo bruto</t>
  </si>
  <si>
    <t>Depreciación acumulada</t>
  </si>
  <si>
    <t>Activo fijo neto</t>
  </si>
  <si>
    <t>M$</t>
  </si>
  <si>
    <t>Terrenos</t>
  </si>
  <si>
    <t>Edificios y construcciones</t>
  </si>
  <si>
    <t>Redes de transmisión</t>
  </si>
  <si>
    <t>Plantas transmisoras</t>
  </si>
  <si>
    <t>Equipos portátiles</t>
  </si>
  <si>
    <t>Equipos de computación</t>
  </si>
  <si>
    <t>Equipos seriados</t>
  </si>
  <si>
    <t>Vehículos</t>
  </si>
  <si>
    <t>Muebles y útiles</t>
  </si>
  <si>
    <t>Otros activos</t>
  </si>
  <si>
    <t>Activos en leasing</t>
  </si>
  <si>
    <t>Obras en curso</t>
  </si>
  <si>
    <t>Instalaciones domiciliarias</t>
  </si>
  <si>
    <t>Deterioro PPE</t>
  </si>
  <si>
    <t>Asignacion de compra</t>
  </si>
  <si>
    <t>Amortizacion PPA</t>
  </si>
  <si>
    <t>Totales</t>
  </si>
  <si>
    <t xml:space="preserve"> Edificios y</t>
  </si>
  <si>
    <t xml:space="preserve"> Redes de</t>
  </si>
  <si>
    <t xml:space="preserve"> Plantas</t>
  </si>
  <si>
    <t xml:space="preserve"> Equipos</t>
  </si>
  <si>
    <t xml:space="preserve"> Equipo</t>
  </si>
  <si>
    <t xml:space="preserve"> Vehículos</t>
  </si>
  <si>
    <t xml:space="preserve"> Muebles</t>
  </si>
  <si>
    <t xml:space="preserve"> Instalación</t>
  </si>
  <si>
    <t xml:space="preserve"> Otros</t>
  </si>
  <si>
    <t xml:space="preserve"> Activos</t>
  </si>
  <si>
    <t xml:space="preserve"> Obras</t>
  </si>
  <si>
    <t>Construcciones</t>
  </si>
  <si>
    <t>Transmisión</t>
  </si>
  <si>
    <t>Transmisoras</t>
  </si>
  <si>
    <t>Computación</t>
  </si>
  <si>
    <t>Portátil</t>
  </si>
  <si>
    <t xml:space="preserve">M$ </t>
  </si>
  <si>
    <t>Seriados</t>
  </si>
  <si>
    <t>y Útiles</t>
  </si>
  <si>
    <t>Domiciliaria</t>
  </si>
  <si>
    <t>Activos</t>
  </si>
  <si>
    <t>en Leasing</t>
  </si>
  <si>
    <t>en Curso</t>
  </si>
  <si>
    <t xml:space="preserve"> Total</t>
  </si>
  <si>
    <t>Saldo inicial al 01/01/2026</t>
  </si>
  <si>
    <t>Adiciones</t>
  </si>
  <si>
    <t>Desapropiaciones</t>
  </si>
  <si>
    <t>Gasto por depreciación</t>
  </si>
  <si>
    <t>Deterioro</t>
  </si>
  <si>
    <t>Transferencias</t>
  </si>
  <si>
    <t>Saldo final al 31/12/2026</t>
  </si>
  <si>
    <t>31-06-2026</t>
  </si>
  <si>
    <t>Detalle</t>
  </si>
  <si>
    <t>Efectivo en caja</t>
  </si>
  <si>
    <t>Fondo fijo</t>
  </si>
  <si>
    <t>Efectivo en bancos</t>
  </si>
  <si>
    <t>Deposito a plazo</t>
  </si>
  <si>
    <t>Fondos mutuos</t>
  </si>
  <si>
    <t>Total</t>
  </si>
  <si>
    <t>Composicion de monedas</t>
  </si>
  <si>
    <t>Dólares estadounidenses</t>
  </si>
  <si>
    <t>Pesos chilenos</t>
  </si>
  <si>
    <t>Euros</t>
  </si>
  <si>
    <t>DETALLE DE FONDOS MUTUOS</t>
  </si>
  <si>
    <t>Banco</t>
  </si>
  <si>
    <t>Moneda</t>
  </si>
  <si>
    <t xml:space="preserve">Garantías recibidas </t>
  </si>
  <si>
    <t>Deudores por ventas</t>
  </si>
  <si>
    <t>Estimación de incobrables</t>
  </si>
  <si>
    <t>Sub total cuentas por cobrar, neto</t>
  </si>
  <si>
    <t>Recaudaciones por cobrar</t>
  </si>
  <si>
    <t>Documentos por cobrar</t>
  </si>
  <si>
    <t>Saldos con personal</t>
  </si>
  <si>
    <t>Anticipos proveedores y otros</t>
  </si>
  <si>
    <t>Deudores varios</t>
  </si>
  <si>
    <t xml:space="preserve">Cuentas comerciales netas vencidas según plazo </t>
  </si>
  <si>
    <t>No vencido</t>
  </si>
  <si>
    <t>De 0 a 30 días</t>
  </si>
  <si>
    <t>De 31 a 60 días</t>
  </si>
  <si>
    <t>De 61 a 90 días</t>
  </si>
  <si>
    <t>De 91 a 120 días</t>
  </si>
  <si>
    <t>De 121 a 180 días</t>
  </si>
  <si>
    <t>Mayor a 180 días</t>
  </si>
  <si>
    <t xml:space="preserve">Total </t>
  </si>
  <si>
    <t>MOVIMIENTO DE INCOBRABLES</t>
  </si>
  <si>
    <t>Movimientos</t>
  </si>
  <si>
    <t>Saldo inicial</t>
  </si>
  <si>
    <t>Pérdida reconocida por deterioro</t>
  </si>
  <si>
    <t>Reverso de deterioro (1)</t>
  </si>
  <si>
    <t>Castigos (1)</t>
  </si>
  <si>
    <t xml:space="preserve">Saldo final  </t>
  </si>
  <si>
    <t>La composición de este rubro es la siguiente:</t>
  </si>
  <si>
    <t>Bodega central (*)</t>
  </si>
  <si>
    <t>Otras bodegas (**)</t>
  </si>
  <si>
    <t>Bodega tecnica</t>
  </si>
  <si>
    <t>Bodega en transito</t>
  </si>
  <si>
    <t>Bodega de contratistas</t>
  </si>
  <si>
    <t>Bodega de operaciones</t>
  </si>
  <si>
    <t>Deterioro por obsolescencia de materiales</t>
  </si>
  <si>
    <t>El movimiento de la provisión de obsolescencia al cierre de cada ejercicio es el siguiente:</t>
  </si>
  <si>
    <t xml:space="preserve">     M$</t>
  </si>
  <si>
    <t>Disminución por obsolescencia</t>
  </si>
  <si>
    <t>Utilización por castigo</t>
  </si>
  <si>
    <t>Aumento por obsolescencia</t>
  </si>
  <si>
    <t>Saldo final</t>
  </si>
  <si>
    <t xml:space="preserve"> Los movimientos de los inventarios son los siguientes:</t>
  </si>
  <si>
    <t>Movimiento</t>
  </si>
  <si>
    <t>Compras</t>
  </si>
  <si>
    <t xml:space="preserve">Traspaso a PPE </t>
  </si>
  <si>
    <t>Consumos (1)</t>
  </si>
  <si>
    <t>Provisión de  obsolescencia</t>
  </si>
  <si>
    <t>Otros movimientos</t>
  </si>
  <si>
    <t>Traspasos</t>
  </si>
  <si>
    <t>Durante el ejercicio 2025 y 2024, se efectuaron traspasos desde inventarios a propiedades, planta y equipo, por los siguientes conceptos:</t>
  </si>
  <si>
    <t>Licencias</t>
  </si>
  <si>
    <t>Equipos computacionales</t>
  </si>
  <si>
    <t>Equipos portatiles</t>
  </si>
  <si>
    <t>Muebles y utiles</t>
  </si>
  <si>
    <t>Materiales domiciliarios</t>
  </si>
  <si>
    <t>Vehiculos</t>
  </si>
  <si>
    <t>Equipos Seriados</t>
  </si>
  <si>
    <t>a)La composición de los Activos intangibles distintos de la plusvalía es la siguiente:</t>
  </si>
  <si>
    <t>Bruto</t>
  </si>
  <si>
    <t>Amortización Acumulada</t>
  </si>
  <si>
    <t>Neto</t>
  </si>
  <si>
    <t>Concesiones</t>
  </si>
  <si>
    <t xml:space="preserve">Licencias </t>
  </si>
  <si>
    <t>Marca</t>
  </si>
  <si>
    <t>Cartera de clientes</t>
  </si>
  <si>
    <t xml:space="preserve">Detalle </t>
  </si>
  <si>
    <t xml:space="preserve">b)Los cambios en activos intangibles por clases es el siguiente: </t>
  </si>
  <si>
    <t>Marcas</t>
  </si>
  <si>
    <t>Total activos intangibles</t>
  </si>
  <si>
    <t>Valores netos al inicio del periodo</t>
  </si>
  <si>
    <t xml:space="preserve">   Adiciones</t>
  </si>
  <si>
    <t xml:space="preserve">   Amortización</t>
  </si>
  <si>
    <t>Valores netos al final del periodo</t>
  </si>
  <si>
    <t>31.12.2025</t>
  </si>
  <si>
    <t>Derecho de uso (1)</t>
  </si>
  <si>
    <t>Movimientos de amortizacion acumulada</t>
  </si>
  <si>
    <t>Gasto por amortización</t>
  </si>
  <si>
    <t>Saldo final al 31/12/2025</t>
  </si>
  <si>
    <t>A continuación, se detallan los valores registrados en el estado de resultados de contratos de arrendamientos no considerados derechos de uso:</t>
  </si>
  <si>
    <t>Tipo de contrato</t>
  </si>
  <si>
    <t>Arriendos de corto plazo</t>
  </si>
  <si>
    <t>Arriendos de bajo valor</t>
  </si>
  <si>
    <t>Arriendos que no transfieren control (1)</t>
  </si>
  <si>
    <t>Los pagos mínimos no descontados por compromisos futuros de los arriendos no considerados como derechos de uso son los siguientes:</t>
  </si>
  <si>
    <t>Menos de 1 año</t>
  </si>
  <si>
    <t>Entre 1 y 5 años</t>
  </si>
  <si>
    <t>Mas de 5 años</t>
  </si>
  <si>
    <t>Arriendos que no transfieren control</t>
  </si>
  <si>
    <t>Corrientes</t>
  </si>
  <si>
    <t>No corrientes</t>
  </si>
  <si>
    <t>Total otros pasivos financieros</t>
  </si>
  <si>
    <t>Plusvalía por Adquisiciones de Empresas</t>
  </si>
  <si>
    <t>Activos por impuestos corrientes</t>
  </si>
  <si>
    <t>Créditos renta</t>
  </si>
  <si>
    <t>IVA crédito fiscal</t>
  </si>
  <si>
    <t>Pagos previsionales mensuales (PPM)</t>
  </si>
  <si>
    <t>Total activos</t>
  </si>
  <si>
    <t>Pasivos por impuestos corrientes</t>
  </si>
  <si>
    <t>IVA débito fiscal</t>
  </si>
  <si>
    <t>Impuesto retención 10% art. 42</t>
  </si>
  <si>
    <t>Impuestos mensuales por pagar (F29-F50)</t>
  </si>
  <si>
    <t>Impuesto adicional</t>
  </si>
  <si>
    <t>Impuesto a la renta</t>
  </si>
  <si>
    <t>Total pasivos</t>
  </si>
  <si>
    <t>valor neto</t>
  </si>
  <si>
    <t>31.12.2026</t>
  </si>
  <si>
    <t>Corriente</t>
  </si>
  <si>
    <t>No corriente</t>
  </si>
  <si>
    <t xml:space="preserve">Arriendo Bodegas </t>
  </si>
  <si>
    <t xml:space="preserve">Arriendo casa matriz </t>
  </si>
  <si>
    <t>Hub´s</t>
  </si>
  <si>
    <t xml:space="preserve">Otros espacios </t>
  </si>
  <si>
    <t>Sucursales</t>
  </si>
  <si>
    <t>Arriendo postes</t>
  </si>
  <si>
    <t>Arriendo vehículos</t>
  </si>
  <si>
    <t xml:space="preserve">VENCIMIENTO DE PASIVOS SIN DESCONTAR </t>
  </si>
  <si>
    <t>Detalle al 30/06/2026</t>
  </si>
  <si>
    <t>90 días</t>
  </si>
  <si>
    <t>90 días a 1 años</t>
  </si>
  <si>
    <t>Total Corriente</t>
  </si>
  <si>
    <t>2 a 3 años</t>
  </si>
  <si>
    <t>4 a 7 años</t>
  </si>
  <si>
    <t>Total No Corriente</t>
  </si>
  <si>
    <t>Pasivos por derecho de uso</t>
  </si>
  <si>
    <t xml:space="preserve">CAMBIOS EN PASIVO POR DERECHO DE USO </t>
  </si>
  <si>
    <t xml:space="preserve">                 Pagos</t>
  </si>
  <si>
    <t>Tipo</t>
  </si>
  <si>
    <t>Nuevos Contratos</t>
  </si>
  <si>
    <t>Baja de contratos</t>
  </si>
  <si>
    <t>Interés Devengado</t>
  </si>
  <si>
    <t>Otros</t>
  </si>
  <si>
    <t>Reajuste</t>
  </si>
  <si>
    <t>Capital</t>
  </si>
  <si>
    <t>Intereses (1)</t>
  </si>
  <si>
    <t>Saldo final al 30/06/2026</t>
  </si>
  <si>
    <t>No Corrientes</t>
  </si>
  <si>
    <t xml:space="preserve">Préstamos bancarios </t>
  </si>
  <si>
    <t>Leasings financieros</t>
  </si>
  <si>
    <t>Otros acreedores financieros (1)</t>
  </si>
  <si>
    <t>Instrumentos de cobertura (2)</t>
  </si>
  <si>
    <t xml:space="preserve">VENCIMIENTO DE PASIVOS SIN DESCONTAR (NIC 32) </t>
  </si>
  <si>
    <t>Otros acreedores financieros</t>
  </si>
  <si>
    <t>Instrumentos de cobertura</t>
  </si>
  <si>
    <t>Nuevos Créditos</t>
  </si>
  <si>
    <t>Mark to Market</t>
  </si>
  <si>
    <t>Préstamos bancarios</t>
  </si>
  <si>
    <t>Total Otros Pasivos Financieros</t>
  </si>
  <si>
    <t>DETALLE LEASING FINANCIERO 2026</t>
  </si>
  <si>
    <t>Institución</t>
  </si>
  <si>
    <t>Vencimiento</t>
  </si>
  <si>
    <t>Número de operación</t>
  </si>
  <si>
    <t>Tasa interés anual</t>
  </si>
  <si>
    <t>No Corriente</t>
  </si>
  <si>
    <t>Banco Crédito e Inversiones</t>
  </si>
  <si>
    <t>UF</t>
  </si>
  <si>
    <t>15/5/2025</t>
  </si>
  <si>
    <t>5,92%</t>
  </si>
  <si>
    <t>CLP$</t>
  </si>
  <si>
    <t>Intereses diferidos arriendos financieros</t>
  </si>
  <si>
    <t>Totales arriendos financieros</t>
  </si>
  <si>
    <t>DETALLE PRESTAMOS BANCARIOS 2025</t>
  </si>
  <si>
    <t>Tipo de operación</t>
  </si>
  <si>
    <t>Banco de crédito e Inversiones</t>
  </si>
  <si>
    <t>CLP</t>
  </si>
  <si>
    <t>Préstamo</t>
  </si>
  <si>
    <t>Banco Internacional</t>
  </si>
  <si>
    <t>4,35%+ICP</t>
  </si>
  <si>
    <t>Banco Scotiabank Chile</t>
  </si>
  <si>
    <t>Banco de Crédito e Inversiones</t>
  </si>
  <si>
    <t>Banco BTG Pactual Chile</t>
  </si>
  <si>
    <t>Banco Goldman Sachs</t>
  </si>
  <si>
    <t>3,95%+TERM SOFR</t>
  </si>
  <si>
    <t>Banco Latinoamericano de Comercio Exterior, S.A.</t>
  </si>
  <si>
    <t>Banco ING Capital LLC</t>
  </si>
  <si>
    <t>US$</t>
  </si>
  <si>
    <t>Prival Bank</t>
  </si>
  <si>
    <t>PCOF SPV I LLC</t>
  </si>
  <si>
    <t>Metrobank</t>
  </si>
  <si>
    <t>Banco Santander</t>
  </si>
  <si>
    <t>Gastos de Crédito</t>
  </si>
  <si>
    <t>Sub- Total préstamos bancarios</t>
  </si>
  <si>
    <t>Intereses devengados préstamos bancarios</t>
  </si>
  <si>
    <t>Totales préstamos bancarios</t>
  </si>
  <si>
    <t>Detalle de instrumentos de cobertura</t>
  </si>
  <si>
    <t xml:space="preserve"> Entidad                </t>
  </si>
  <si>
    <t xml:space="preserve"> Cobertura       </t>
  </si>
  <si>
    <t xml:space="preserve"> Partida cubierta USD </t>
  </si>
  <si>
    <t xml:space="preserve"> Partida cubierta M$ </t>
  </si>
  <si>
    <t xml:space="preserve"> Tipo de instrumento </t>
  </si>
  <si>
    <t xml:space="preserve"> Riesgo cubierto           </t>
  </si>
  <si>
    <t xml:space="preserve"> Moneda </t>
  </si>
  <si>
    <t xml:space="preserve"> Liquidación </t>
  </si>
  <si>
    <t xml:space="preserve"> Vencimiento </t>
  </si>
  <si>
    <t xml:space="preserve"> Activo M$ </t>
  </si>
  <si>
    <t xml:space="preserve"> Pasivo M$ </t>
  </si>
  <si>
    <t xml:space="preserve"> DB Terra Chile Holdco SpA </t>
  </si>
  <si>
    <t xml:space="preserve"> Préstamo USD    </t>
  </si>
  <si>
    <t xml:space="preserve">                    </t>
  </si>
  <si>
    <t xml:space="preserve"> CCS                 </t>
  </si>
  <si>
    <t xml:space="preserve"> Moneda y tasa            </t>
  </si>
  <si>
    <t xml:space="preserve"> USD    </t>
  </si>
  <si>
    <t xml:space="preserve"> Trimestral  </t>
  </si>
  <si>
    <t xml:space="preserve"> 16-03-27    </t>
  </si>
  <si>
    <t xml:space="preserve"> Préstamo $      </t>
  </si>
  <si>
    <t xml:space="preserve">                     </t>
  </si>
  <si>
    <t xml:space="preserve"> IRS                 </t>
  </si>
  <si>
    <t xml:space="preserve"> Tasa                     </t>
  </si>
  <si>
    <t xml:space="preserve"> $      </t>
  </si>
  <si>
    <t xml:space="preserve">                 </t>
  </si>
  <si>
    <t xml:space="preserve">                          </t>
  </si>
  <si>
    <t xml:space="preserve">        </t>
  </si>
  <si>
    <t xml:space="preserve">             </t>
  </si>
  <si>
    <t>COMPOSICION POR CUENTA</t>
  </si>
  <si>
    <t>CORRIENTE</t>
  </si>
  <si>
    <t>Retenciones por pagar</t>
  </si>
  <si>
    <t>Proveedores nacionales</t>
  </si>
  <si>
    <t>Proveedores extranjeros</t>
  </si>
  <si>
    <t>Anticipos clientes</t>
  </si>
  <si>
    <t>Remuneraciones por pagar</t>
  </si>
  <si>
    <t>Provisiones por señales</t>
  </si>
  <si>
    <t xml:space="preserve">Otras provisiones </t>
  </si>
  <si>
    <t>Otras cuentas por pagar</t>
  </si>
  <si>
    <t>NO CORRIENTE</t>
  </si>
  <si>
    <t>TOTAL CORRIENTE, NO CORRIENTE</t>
  </si>
  <si>
    <t>COMPOSICION POR MONEDA</t>
  </si>
  <si>
    <t>Peso chileno</t>
  </si>
  <si>
    <t>Dolar estadounidense</t>
  </si>
  <si>
    <t>Yuan</t>
  </si>
  <si>
    <t>Euro</t>
  </si>
  <si>
    <t>VENCIMIENTOS</t>
  </si>
  <si>
    <t xml:space="preserve"> Cuentas comerciales según plazo </t>
  </si>
  <si>
    <t xml:space="preserve">No vencidas y de 0 a 30 días </t>
  </si>
  <si>
    <t>PROVISION EMPLEADOS</t>
  </si>
  <si>
    <t>Provisión Vacaciones</t>
  </si>
  <si>
    <t>PROVISIONES POR PASIVOS CON CONTRATOS CON CLIENTES - LARGO PLAZO</t>
  </si>
  <si>
    <t>Ingresos percibidos por adelantado</t>
  </si>
  <si>
    <t> NOTA DE IMPUESTOS DIFERIDOS</t>
  </si>
  <si>
    <t>1)</t>
  </si>
  <si>
    <t>Los saldos acumulados netos de las diferencias temporarias originaron activos y pasivos por impuestos diferidos, cuyo detalle es el siguiente:</t>
  </si>
  <si>
    <t>Pasivos</t>
  </si>
  <si>
    <t>Provisión vacaciones</t>
  </si>
  <si>
    <t>Activos en leasing netos</t>
  </si>
  <si>
    <t>Provisión de incobrables</t>
  </si>
  <si>
    <t xml:space="preserve">Propiedades, planta y equipos (1) </t>
  </si>
  <si>
    <t>Intangibles (2)</t>
  </si>
  <si>
    <t>Provisión obsolescencia</t>
  </si>
  <si>
    <t>Instrumento de cobertura</t>
  </si>
  <si>
    <t xml:space="preserve"> </t>
  </si>
  <si>
    <t>Arrendamiento (IFRS 16)</t>
  </si>
  <si>
    <t>Costos financieros créditos</t>
  </si>
  <si>
    <t>Provisiones y anticipos</t>
  </si>
  <si>
    <t xml:space="preserve">Perdida tributaria </t>
  </si>
  <si>
    <t>reclasificación</t>
  </si>
  <si>
    <t xml:space="preserve">Total neto </t>
  </si>
  <si>
    <t>2)</t>
  </si>
  <si>
    <t>Conciliación del saldo inicial y final de impuestos diferidos al 31 de diciembre de 2025 y 2024</t>
  </si>
  <si>
    <t xml:space="preserve">Saldo inicial impuestos diferidos al 1 de enero </t>
  </si>
  <si>
    <t>(cargos)/abonos que no afectaron resultado:</t>
  </si>
  <si>
    <t xml:space="preserve">   Variaciones por revalorización de propiedad, planta y equipos con efecto en     reservas</t>
  </si>
  <si>
    <t>-</t>
  </si>
  <si>
    <t xml:space="preserve">   Variaciones por instrumento de cobertura con efecto en reservas</t>
  </si>
  <si>
    <t>Sub total (cargos)/abonos que no afectaron el resultado</t>
  </si>
  <si>
    <t>(cargos)/abonos que afectaron resultado:</t>
  </si>
  <si>
    <t>Saldo final impuestos diferidos al 31 de diciembre</t>
  </si>
  <si>
    <t>3)</t>
  </si>
  <si>
    <t>Los efectos de impuestos por los ejercicios 2025 y 2024 se detallan a continuación:</t>
  </si>
  <si>
    <t xml:space="preserve"> M$ </t>
  </si>
  <si>
    <t>Efectos en reservas de patrimonio</t>
  </si>
  <si>
    <t>Efecto por impuestos diferidos</t>
  </si>
  <si>
    <t>Efectos en resultado</t>
  </si>
  <si>
    <t xml:space="preserve">Efecto de impuestos diferidos </t>
  </si>
  <si>
    <t xml:space="preserve">Efecto por impuestos a la renta </t>
  </si>
  <si>
    <t>4)</t>
  </si>
  <si>
    <t xml:space="preserve"> La composición del gasto por impuesto a la renta es la siguiente:</t>
  </si>
  <si>
    <t>Movimientos en activos por impuestos diferidos</t>
  </si>
  <si>
    <t>Gasto por impuesto a las ganancias:</t>
  </si>
  <si>
    <t>Gasto por impuestos corrientes (Impuesto único)</t>
  </si>
  <si>
    <t>Gasto por impuestos relativo a la creación y reversión de diferencias temporarias</t>
  </si>
  <si>
    <t>(Gasto) ingreso por impuesto a las ganancias</t>
  </si>
  <si>
    <t>5)</t>
  </si>
  <si>
    <t>Reconciliación de tasa efectiva:</t>
  </si>
  <si>
    <t>Resultado antes de impuesto a la renta</t>
  </si>
  <si>
    <t>Gasto por impuesto utilizando la tasa legal</t>
  </si>
  <si>
    <t>Efecto corrección monetaria patrimonio tributario</t>
  </si>
  <si>
    <t>Efecto corrección monetaria pérdida tributaria arrastre</t>
  </si>
  <si>
    <t>Efecto corrección monetaria inversión tributaria</t>
  </si>
  <si>
    <t>Efecto amortización ppa</t>
  </si>
  <si>
    <t>Efecto goodwill no asignado</t>
  </si>
  <si>
    <t>Efecto Instrumento de cobertura</t>
  </si>
  <si>
    <t>Efecto impositivo por cambio de regimen</t>
  </si>
  <si>
    <t xml:space="preserve">Efecto impositivo por fusión </t>
  </si>
  <si>
    <t>Efecto impositivo castigo de incobrables</t>
  </si>
  <si>
    <t>Efecto impositivo de otras diferencias permanentes</t>
  </si>
  <si>
    <t>Ajuste por reliquidación de impuesto a la renta</t>
  </si>
  <si>
    <t>Efecto impositivo de anticipo clientes</t>
  </si>
  <si>
    <t>Gasto por impuesto utilizando la tasa efectiva</t>
  </si>
  <si>
    <t>Tasa efectiva</t>
  </si>
  <si>
    <t>RUT</t>
  </si>
  <si>
    <t>Nombre</t>
  </si>
  <si>
    <t>Participación</t>
  </si>
  <si>
    <t>78.079.629-4</t>
  </si>
  <si>
    <t>Neoconex Fibra SpA</t>
  </si>
  <si>
    <t xml:space="preserve">                 - </t>
  </si>
  <si>
    <t>La composición del rubro de cuentas por cobrar corrientes con empresas relacionadas por los años 2026 y 2025 es el siguiente:</t>
  </si>
  <si>
    <t>Tipo de</t>
  </si>
  <si>
    <t>Nombre entidad</t>
  </si>
  <si>
    <t>relación</t>
  </si>
  <si>
    <t xml:space="preserve">DB Terra Chile Parent SpA </t>
  </si>
  <si>
    <t>Accionista</t>
  </si>
  <si>
    <t>a)           Transacciones significativas con empresas relacionadas</t>
  </si>
  <si>
    <t>Naturaleza de la relación</t>
  </si>
  <si>
    <t xml:space="preserve">Descripción de la </t>
  </si>
  <si>
    <t>R.U.T.</t>
  </si>
  <si>
    <t>Transacción</t>
  </si>
  <si>
    <t>Efecto en resultado cargo/(abono)</t>
  </si>
  <si>
    <t>77.494.542-17</t>
  </si>
  <si>
    <t>DB Terra Chile Parent SpA</t>
  </si>
  <si>
    <t>Matriz</t>
  </si>
  <si>
    <t>Cobro por pago proveedores , etc</t>
  </si>
  <si>
    <t>Pesos Chilenos</t>
  </si>
  <si>
    <t>77.494.542-18</t>
  </si>
  <si>
    <t>77.494.542-16</t>
  </si>
  <si>
    <t>77.494.542-15</t>
  </si>
  <si>
    <t>77.494.542-14</t>
  </si>
  <si>
    <t>77.494.542-13</t>
  </si>
  <si>
    <t>77.494.542-12</t>
  </si>
  <si>
    <t>77.494.542-11</t>
  </si>
  <si>
    <t>77.494.542-10</t>
  </si>
  <si>
    <t>77.494.542-9</t>
  </si>
  <si>
    <t>77.494.542-8</t>
  </si>
  <si>
    <t>77.494.542-7</t>
  </si>
  <si>
    <t>77.494.542-6</t>
  </si>
  <si>
    <t>77.494.542-5</t>
  </si>
  <si>
    <t>77.494.542-4</t>
  </si>
  <si>
    <t>77.494.542-3</t>
  </si>
  <si>
    <t>77.494.542-2</t>
  </si>
  <si>
    <t>77.494.542-1</t>
  </si>
  <si>
    <t>77.494.542-0</t>
  </si>
  <si>
    <t>Nombre del accionista</t>
  </si>
  <si>
    <t>N° de acciones</t>
  </si>
  <si>
    <t>% participacion</t>
  </si>
  <si>
    <t>DB Terra Chile Parent SpA.</t>
  </si>
  <si>
    <t>Movimiento de acciones</t>
  </si>
  <si>
    <t>Saldo inicial acciones DB Terra Chile Holdco SpA.</t>
  </si>
  <si>
    <t>Adiciones (bajas)</t>
  </si>
  <si>
    <t>INGRESOS  DE LA OPERACIÓN</t>
  </si>
  <si>
    <t>Ingresos por servicios de televisión</t>
  </si>
  <si>
    <t>Ingresos por servicios de internet</t>
  </si>
  <si>
    <t xml:space="preserve">Ingresos por servicios domiciliarios </t>
  </si>
  <si>
    <t xml:space="preserve">Ingresos por servicios de telefonía móvil </t>
  </si>
  <si>
    <t>Ingresos por servicios a empresas</t>
  </si>
  <si>
    <t>Otros ingresos de explotación</t>
  </si>
  <si>
    <t>Ingresos por servicios IC</t>
  </si>
  <si>
    <t>Ingresos intercompañía</t>
  </si>
  <si>
    <t>Total ingresos</t>
  </si>
  <si>
    <t>COSTOS DE LA OPERACIÓN</t>
  </si>
  <si>
    <t xml:space="preserve">  M$</t>
  </si>
  <si>
    <t>Costos por servicios de televisión</t>
  </si>
  <si>
    <t>Costos por servicios de internet</t>
  </si>
  <si>
    <t>Costos por servicios de telefonía</t>
  </si>
  <si>
    <t>Costos por servicios de internet, television y telefonía</t>
  </si>
  <si>
    <t>Costos por red de transmisión</t>
  </si>
  <si>
    <t>Costos por red domiciliaria</t>
  </si>
  <si>
    <t>Costos por remuneraciones</t>
  </si>
  <si>
    <t>Costo por indemnizaciones del personal</t>
  </si>
  <si>
    <t>Costos por servicios externos</t>
  </si>
  <si>
    <t>Costos flota</t>
  </si>
  <si>
    <t>Costos arriendos</t>
  </si>
  <si>
    <t>Costos venta de materiales IC</t>
  </si>
  <si>
    <t>Costos por servicios básicos</t>
  </si>
  <si>
    <t>Costo por venta de materiales e inventarios</t>
  </si>
  <si>
    <t>Otros costos por servicios</t>
  </si>
  <si>
    <t>Total costos</t>
  </si>
  <si>
    <t>DEPRECIACION OPERACIONAL</t>
  </si>
  <si>
    <t>Depreciacion operacional</t>
  </si>
  <si>
    <t>Amortización derechos de uso</t>
  </si>
  <si>
    <t>Total Depreciacion</t>
  </si>
  <si>
    <t>ARRIENDO DE FIBRA IC</t>
  </si>
  <si>
    <t>Costos arriendos IC</t>
  </si>
  <si>
    <t>Ingresos de arriendo fibra optica</t>
  </si>
  <si>
    <t>Costos uso fibra optica</t>
  </si>
  <si>
    <t>Efectivo y efectivo equivalente</t>
  </si>
  <si>
    <t>Otras reservas</t>
  </si>
  <si>
    <t>Ingresos de actividades ordinarias</t>
  </si>
  <si>
    <t>Costo de ventas</t>
  </si>
  <si>
    <t>Otros ingresos por función</t>
  </si>
  <si>
    <t>Ingresos financieros</t>
  </si>
  <si>
    <t>Costos financieros</t>
  </si>
  <si>
    <t>Sueldos y salarios (1)</t>
  </si>
  <si>
    <t>Gasto por indemnizaciónes del personal</t>
  </si>
  <si>
    <t>Gastos por facturación</t>
  </si>
  <si>
    <t>Arriendos inmuebles</t>
  </si>
  <si>
    <t>Honorarios profesionales</t>
  </si>
  <si>
    <t>Gastos de recaudación</t>
  </si>
  <si>
    <t>Pérdida por deudores incobrables</t>
  </si>
  <si>
    <t>Gastos de mantención</t>
  </si>
  <si>
    <t>Viáticos y estadía</t>
  </si>
  <si>
    <t>Servicios de terceros</t>
  </si>
  <si>
    <t>Servicios básicos y gastos comunes</t>
  </si>
  <si>
    <t>Servicios de vigilancia</t>
  </si>
  <si>
    <t>Gastos de marketing y publicidad</t>
  </si>
  <si>
    <t>Gastos de servicios intercompañia</t>
  </si>
  <si>
    <t>Gastos por patentes comerciales</t>
  </si>
  <si>
    <t>Gastos de seguros</t>
  </si>
  <si>
    <t>Gastos legales, correo y oficina</t>
  </si>
  <si>
    <t>Otros gastos generales</t>
  </si>
  <si>
    <t>Total gastos de administración</t>
  </si>
  <si>
    <t>Depreciacion y amortizaciones</t>
  </si>
  <si>
    <t>Depreciacion en gtos de adm</t>
  </si>
  <si>
    <t>Amortizacion intangibles</t>
  </si>
  <si>
    <t>Amortizacion cartera clientes</t>
  </si>
  <si>
    <t>Diferencia de cambios</t>
  </si>
  <si>
    <t xml:space="preserve">Cuentas por pagar comerciales </t>
  </si>
  <si>
    <t>Pasivos financieros</t>
  </si>
  <si>
    <t>Derivados de cobertura</t>
  </si>
  <si>
    <t>Cuentas por cobrar con entidades relacionadas</t>
  </si>
  <si>
    <t>Otros activos financieros</t>
  </si>
  <si>
    <t>Impuestos</t>
  </si>
  <si>
    <t>Total diferencia de cambio</t>
  </si>
  <si>
    <t>Resultados por unidad de reajustes</t>
  </si>
  <si>
    <t>Pasivos financieros.</t>
  </si>
  <si>
    <t>Total resultado por unidad de reajuste</t>
  </si>
  <si>
    <t>Intereses préstamos bancarios</t>
  </si>
  <si>
    <t>Amortizacion costos de emision</t>
  </si>
  <si>
    <t>Liquidacion anticipada de coberturas</t>
  </si>
  <si>
    <t>Intereses préstamos empresas relacionadas</t>
  </si>
  <si>
    <t>Intereses leasing</t>
  </si>
  <si>
    <t>Gastos y comisiones bancarias</t>
  </si>
  <si>
    <t>Costo financiero por instrumentos de cobertura</t>
  </si>
  <si>
    <t xml:space="preserve">Otros costos financieros </t>
  </si>
  <si>
    <t>Gastos financieros derecho de uso (2)</t>
  </si>
  <si>
    <t>Total, costos financieros</t>
  </si>
  <si>
    <t>Ganancia en instrumentos de cobertura*</t>
  </si>
  <si>
    <t>Ganancia sobre inversiones en instrumentos financieros</t>
  </si>
  <si>
    <t xml:space="preserve">Indemnizaciones y  multas </t>
  </si>
  <si>
    <t>Castigo de inventarios</t>
  </si>
  <si>
    <t>Castigo de proyectos</t>
  </si>
  <si>
    <t>Castigo de otros deudores</t>
  </si>
  <si>
    <t>Provision obsolescencia</t>
  </si>
  <si>
    <t>Otros  (cta 3106104)</t>
  </si>
  <si>
    <t>Venta de activos fijos</t>
  </si>
  <si>
    <t>Venta de materiales</t>
  </si>
  <si>
    <t>Diferencia de inventarios</t>
  </si>
  <si>
    <t>Indemnizaciones de seguros</t>
  </si>
  <si>
    <t>Otros (cta 3103110)</t>
  </si>
  <si>
    <t>RIESGO DE TIPO DE CAMBIO</t>
  </si>
  <si>
    <t>Aumento</t>
  </si>
  <si>
    <t>Baja</t>
  </si>
  <si>
    <t>10% T/C</t>
  </si>
  <si>
    <t>10% de T/C</t>
  </si>
  <si>
    <t>Saldos de pasivos en USD</t>
  </si>
  <si>
    <t>Saldos de pasivos en Euros</t>
  </si>
  <si>
    <t>Saldos de pasivos en Yuan</t>
  </si>
  <si>
    <t>Utilidad (pérdida) por variación de tipo de cambio</t>
  </si>
  <si>
    <t>RIESGO DE TASAS DE INTERES</t>
  </si>
  <si>
    <t>Valor al cierre 
M$</t>
  </si>
  <si>
    <t>Aumento 10% ICP</t>
  </si>
  <si>
    <t>Baja 10% de ICP</t>
  </si>
  <si>
    <t>Saldos de desembolsos en CLP</t>
  </si>
  <si>
    <t>DB Terra Chile Holdco SpA</t>
  </si>
  <si>
    <t>Mayorista</t>
  </si>
  <si>
    <t>Activos y pasivos por segmento</t>
  </si>
  <si>
    <t>Residencial</t>
  </si>
  <si>
    <t>Eliminaciones</t>
  </si>
  <si>
    <t>Deudores comerciales  y otras cuentas por cobrar (1)</t>
  </si>
  <si>
    <t>Propiedades planta y equipo</t>
  </si>
  <si>
    <t>Pasivos financieros (2)</t>
  </si>
  <si>
    <t>Cuentas por pagar comerciales y otras cuentas por pagar (3)</t>
  </si>
  <si>
    <t>Total activos corrientes por segmento</t>
  </si>
  <si>
    <t>Total activos no corrientes por segmento</t>
  </si>
  <si>
    <t>Total pasivos corrientes por segmento</t>
  </si>
  <si>
    <t>Total pasivos no corrientes por segmento</t>
  </si>
  <si>
    <t>Ingresos, costos e inversiones de capital por segmento</t>
  </si>
  <si>
    <t>Resultados:</t>
  </si>
  <si>
    <t>Margen bruto</t>
  </si>
  <si>
    <t>Ganancia (Pérdida) antes de impuestos</t>
  </si>
  <si>
    <t>Ganancia (Pérdida) neta del ejercicio</t>
  </si>
  <si>
    <t>EBITDA</t>
  </si>
  <si>
    <t>Depreciación y amortización del ejercicio</t>
  </si>
  <si>
    <t>Inversiones de capital (adiciones)</t>
  </si>
  <si>
    <t>CAMBIOS EN PASIVO FINANCIERO 2026</t>
  </si>
  <si>
    <t>Movimientos del periodo</t>
  </si>
  <si>
    <t>+ pagos anticipados recibidos</t>
  </si>
  <si>
    <t>- Ingresois reconocidos de pagos del  periodo</t>
  </si>
  <si>
    <t>#N04.1</t>
  </si>
  <si>
    <t>#N04.2</t>
  </si>
  <si>
    <t>#N05.1</t>
  </si>
  <si>
    <t>#N06.1</t>
  </si>
  <si>
    <t>#N06.2</t>
  </si>
  <si>
    <t>#N06.3</t>
  </si>
  <si>
    <t>#N07.1</t>
  </si>
  <si>
    <t>#N07.2</t>
  </si>
  <si>
    <t>#N07.3</t>
  </si>
  <si>
    <t>#N07.4</t>
  </si>
  <si>
    <t>#N12.1</t>
  </si>
  <si>
    <t>#N12.2</t>
  </si>
  <si>
    <t>31-06-2025</t>
  </si>
  <si>
    <t>#N08.1</t>
  </si>
  <si>
    <t>#N08.2</t>
  </si>
  <si>
    <t>#N09.1</t>
  </si>
  <si>
    <t>#N09.2[COMPARATIVO]</t>
  </si>
  <si>
    <t>#N10.1</t>
  </si>
  <si>
    <t>#N10.2</t>
  </si>
  <si>
    <t>#N10.3</t>
  </si>
  <si>
    <t>#N11.1</t>
  </si>
  <si>
    <t>#N16.1</t>
  </si>
  <si>
    <t>#N16.2[COMPARATIVO]</t>
  </si>
  <si>
    <t>#N15.1</t>
  </si>
  <si>
    <t xml:space="preserve">#N15.3[COMPARATIVO] </t>
  </si>
  <si>
    <t>#N15.5</t>
  </si>
  <si>
    <t>Instrument type</t>
  </si>
  <si>
    <t>Description</t>
  </si>
  <si>
    <t>Issuer</t>
  </si>
  <si>
    <t>Currency</t>
  </si>
  <si>
    <t>Issue date</t>
  </si>
  <si>
    <t>Maturity date</t>
  </si>
  <si>
    <t>Transaction type</t>
  </si>
  <si>
    <t>Annual nominal interest rate</t>
  </si>
  <si>
    <t>USD</t>
  </si>
  <si>
    <t>7.95%</t>
  </si>
  <si>
    <t>391,778,762</t>
  </si>
  <si>
    <t>Subtotal bonds</t>
  </si>
  <si>
    <t xml:space="preserve">                                 - </t>
  </si>
  <si>
    <t xml:space="preserve">            391,778,762 </t>
  </si>
  <si>
    <t>Accrued interest</t>
  </si>
  <si>
    <t xml:space="preserve">              5,066,553 </t>
  </si>
  <si>
    <t xml:space="preserve">            - </t>
  </si>
  <si>
    <t>Total bonds</t>
  </si>
  <si>
    <t xml:space="preserve">         391,778,762</t>
  </si>
  <si>
    <t>BONOS EMITIDOS</t>
  </si>
  <si>
    <t>#N15.6</t>
  </si>
  <si>
    <t>#N15.7</t>
  </si>
  <si>
    <t>Bono corporativo</t>
  </si>
  <si>
    <t xml:space="preserve">Bono 144A </t>
  </si>
  <si>
    <t>Bono</t>
  </si>
  <si>
    <t>#N17.1</t>
  </si>
  <si>
    <t>#N17.2</t>
  </si>
  <si>
    <t>#N17.3</t>
  </si>
  <si>
    <t>#N14.1</t>
  </si>
  <si>
    <t>#N14.3</t>
  </si>
  <si>
    <t>#N13.1</t>
  </si>
  <si>
    <t>#N13.2</t>
  </si>
  <si>
    <t>#N13.3</t>
  </si>
  <si>
    <t>#N13.4</t>
  </si>
  <si>
    <t>#N13.5</t>
  </si>
  <si>
    <t>#N18.1</t>
  </si>
  <si>
    <t>#N18.2</t>
  </si>
  <si>
    <t>#N18.3</t>
  </si>
  <si>
    <t>#N20.1</t>
  </si>
  <si>
    <t>#N20.2</t>
  </si>
  <si>
    <t>Capital suscrito y pagado y número de accionistas</t>
  </si>
  <si>
    <t>Utilidad (pérdida) por acción</t>
  </si>
  <si>
    <t>#N20.3</t>
  </si>
  <si>
    <t xml:space="preserve"> 31-12-2025</t>
  </si>
  <si>
    <t xml:space="preserve"> 31-12-2024 </t>
  </si>
  <si>
    <t>Pérdida del ejercicio M$</t>
  </si>
  <si>
    <t>Número de acciones</t>
  </si>
  <si>
    <t>Pérdida básica por acción (pesos por acción)</t>
  </si>
  <si>
    <t>Saldo inicial 01-01</t>
  </si>
  <si>
    <t>Revalorización de PPyE</t>
  </si>
  <si>
    <t>Reservas por coberturas</t>
  </si>
  <si>
    <t>Saldo 31-12-2025</t>
  </si>
  <si>
    <t>Detalle de activos</t>
  </si>
  <si>
    <t>Instrumentos de cobertura (1)</t>
  </si>
  <si>
    <t>Total otros activos financieros</t>
  </si>
  <si>
    <t>#N15.2</t>
  </si>
  <si>
    <t xml:space="preserve">#N15.4[COMPARATIVO] </t>
  </si>
  <si>
    <t>#N15.8</t>
  </si>
  <si>
    <t xml:space="preserve">Apertura de otros activos y pasivos financieros </t>
  </si>
  <si>
    <t xml:space="preserve">Apertura de pasivos financieros </t>
  </si>
  <si>
    <t xml:space="preserve">#N14.2[COMPARATIVO] </t>
  </si>
  <si>
    <t>#N21.1</t>
  </si>
  <si>
    <t>#N21.2</t>
  </si>
  <si>
    <t>#N21.3</t>
  </si>
  <si>
    <t>#N22.1</t>
  </si>
  <si>
    <t>#N23.1</t>
  </si>
  <si>
    <t>#N23.2</t>
  </si>
  <si>
    <t>#N24.1</t>
  </si>
  <si>
    <t>#N24.2</t>
  </si>
  <si>
    <t>#N25.1</t>
  </si>
  <si>
    <t>#N25.2</t>
  </si>
  <si>
    <t>Otros gastos por función</t>
  </si>
  <si>
    <t>#N26.1</t>
  </si>
  <si>
    <t>#N26.2</t>
  </si>
  <si>
    <t>#N27.1</t>
  </si>
  <si>
    <t>#N27.2</t>
  </si>
  <si>
    <t>GARANTIAS OBTENIDAS Y OTORGADAS</t>
  </si>
  <si>
    <t xml:space="preserve">Banco </t>
  </si>
  <si>
    <t>Monto en Moneda Origen</t>
  </si>
  <si>
    <t>Monto CLP</t>
  </si>
  <si>
    <t xml:space="preserve">Inicio </t>
  </si>
  <si>
    <t>Termino</t>
  </si>
  <si>
    <t>Banco del Estado de Chile</t>
  </si>
  <si>
    <t>Banco Scotiabank</t>
  </si>
  <si>
    <t>#N10.4</t>
  </si>
  <si>
    <t>#N04.3</t>
  </si>
  <si>
    <t>#N17.4</t>
  </si>
  <si>
    <t>#N16.3[COMPARATIVO]</t>
  </si>
  <si>
    <t>#N20.4</t>
  </si>
  <si>
    <t>#N22.2</t>
  </si>
  <si>
    <t>#N27.3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</si>
</sst>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 * #,##0_ ;_ * \-#,##0_ ;_ * &quot;-&quot;_ ;_ @_ "/>
    <numFmt numFmtId="43" formatCode="_ * #,##0.00_ ;_ * \-#,##0.00_ ;_ * &quot;-&quot;??_ ;_ @_ "/>
    <numFmt numFmtId="164" formatCode="_ * #,##0_ ;_ * \-#,##0_ ;_ * &quot;-&quot;??_ ;_ @_ "/>
    <numFmt numFmtId="165" formatCode="_(#,##0_);_(\ \(#,##0\);_(&quot;-&quot;??_);_(@_)"/>
    <numFmt numFmtId="166" formatCode="_(* #,##0_);_(* \(#,##0\);_(* &quot;-&quot;??_);_(@_)"/>
    <numFmt numFmtId="170" formatCode="_-* #,##0_-;\-* #,##0_-;_-* &quot;-&quot;_-;_-@_-"/>
    <numFmt numFmtId="173" formatCode="0.0%"/>
    <numFmt numFmtId="174" formatCode="_-* #,##0.00_-;\-* #,##0.00_-;_-* &quot;-&quot;??_-;_-@_-"/>
  </numFmts>
  <fonts count="8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8"/>
      <color rgb="FFFF0000"/>
      <name val="Arial"/>
      <family val="2"/>
    </font>
    <font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rgb="FFFF000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u/>
      <sz val="11"/>
      <color theme="1"/>
      <name val="Calibri"/>
      <family val="2"/>
      <scheme val="minor"/>
    </font>
    <font>
      <sz val="9"/>
      <color theme="1"/>
      <name val="Arial"/>
      <family val="2"/>
    </font>
    <font>
      <u/>
      <sz val="9"/>
      <color theme="1"/>
      <name val="Arial"/>
      <family val="2"/>
    </font>
    <font>
      <u/>
      <sz val="9"/>
      <color rgb="FF000000"/>
      <name val="Arial"/>
      <family val="2"/>
    </font>
    <font>
      <sz val="8"/>
      <color rgb="FF000000"/>
      <name val="Arial"/>
      <family val="2"/>
    </font>
    <font>
      <sz val="10"/>
      <color theme="1"/>
      <name val="Georgia"/>
      <family val="1"/>
    </font>
    <font>
      <sz val="8"/>
      <color theme="1"/>
      <name val="Georgia"/>
      <family val="1"/>
    </font>
    <font>
      <sz val="10"/>
      <color rgb="FF000000"/>
      <name val="Georgia"/>
      <family val="1"/>
    </font>
    <font>
      <u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6"/>
      <color theme="1"/>
      <name val="Arial"/>
      <family val="2"/>
    </font>
    <font>
      <b/>
      <sz val="6"/>
      <color rgb="FF000000"/>
      <name val="Arial"/>
      <family val="2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u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Arial"/>
      <family val="2"/>
    </font>
    <font>
      <sz val="11"/>
      <color theme="1"/>
      <name val="Arial"/>
      <family val="2"/>
    </font>
    <font>
      <sz val="7"/>
      <color rgb="FF000000"/>
      <name val="Arial"/>
      <family val="2"/>
    </font>
    <font>
      <u/>
      <sz val="8"/>
      <color theme="1"/>
      <name val="Arial"/>
      <family val="2"/>
    </font>
    <font>
      <sz val="8"/>
      <name val="Arial"/>
      <family val="2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7"/>
      <color theme="1"/>
      <name val="Arial"/>
      <family val="2"/>
    </font>
    <font>
      <b/>
      <sz val="7"/>
      <color rgb="FF000000"/>
      <name val="Arial"/>
      <family val="2"/>
    </font>
    <font>
      <b/>
      <sz val="7"/>
      <color theme="1"/>
      <name val="Arial"/>
      <family val="2"/>
    </font>
    <font>
      <u/>
      <sz val="10"/>
      <color theme="1"/>
      <name val="Calibri"/>
      <family val="2"/>
      <scheme val="minor"/>
    </font>
    <font>
      <u/>
      <sz val="7"/>
      <color rgb="FF000000"/>
      <name val="Arial"/>
      <family val="2"/>
    </font>
    <font>
      <sz val="8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0"/>
      <color rgb="FF000000"/>
      <name val="Times New Roman"/>
      <family val="1"/>
    </font>
    <font>
      <sz val="7"/>
      <color rgb="FFFF0000"/>
      <name val="Arial"/>
      <family val="2"/>
    </font>
    <font>
      <sz val="9"/>
      <color theme="1"/>
      <name val="Times New Roman"/>
      <family val="1"/>
    </font>
    <font>
      <u/>
      <sz val="10"/>
      <color theme="1"/>
      <name val="Arial"/>
      <family val="2"/>
    </font>
    <font>
      <b/>
      <sz val="11"/>
      <name val="Calibri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7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u/>
      <sz val="8"/>
      <color rgb="FF212121"/>
      <name val="Arial"/>
      <family val="2"/>
    </font>
    <font>
      <sz val="8"/>
      <color rgb="FF212121"/>
      <name val="Arial"/>
      <family val="2"/>
    </font>
    <font>
      <sz val="10"/>
      <color rgb="FFFF0000"/>
      <name val="Consolas"/>
      <family val="3"/>
    </font>
    <font>
      <u/>
      <sz val="11"/>
      <name val="Arial"/>
      <family val="2"/>
    </font>
    <font>
      <b/>
      <u/>
      <sz val="11"/>
      <name val="Calibri"/>
      <family val="2"/>
      <scheme val="minor"/>
    </font>
    <font>
      <b/>
      <sz val="11"/>
      <name val="Calibri"/>
      <family val="2"/>
      <scheme val="minor"/>
    </font>
    <font>
      <sz val="8.25"/>
      <color rgb="FFFF0000"/>
      <name val="Source Code Pro"/>
      <family val="3"/>
    </font>
    <font>
      <sz val="8.25"/>
      <color rgb="FFFF0000"/>
      <name val="Source Code Pro"/>
      <family val="3"/>
    </font>
    <font>
      <sz val="7"/>
      <color rgb="FF111827"/>
      <name val="Calibri"/>
      <family val="2"/>
    </font>
    <font>
      <sz val="7"/>
      <color rgb="FF000000"/>
      <name val="Calibri"/>
      <family val="2"/>
    </font>
    <font>
      <sz val="7"/>
      <color rgb="FF000000"/>
      <name val="Aptos Narrow"/>
      <family val="2"/>
    </font>
    <font>
      <sz val="7"/>
      <color rgb="FF374151"/>
      <name val="Calibri"/>
      <family val="2"/>
    </font>
    <font>
      <sz val="12"/>
      <color theme="1"/>
      <name val="Aptos"/>
      <family val="2"/>
    </font>
    <font>
      <b/>
      <sz val="9"/>
      <color theme="1"/>
      <name val="Arial"/>
      <family val="2"/>
    </font>
    <font>
      <sz val="11"/>
      <color theme="1"/>
      <name val="Georgia"/>
      <family val="1"/>
    </font>
    <font>
      <b/>
      <sz val="11"/>
      <color theme="1"/>
      <name val="Georgia"/>
      <family val="1"/>
    </font>
    <font>
      <b/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1">
    <xf numFmtId="0" fontId="0" fillId="0" borderId="0"/>
    <xf numFmtId="43" fontId="1" fillId="0" borderId="0"/>
    <xf numFmtId="41" fontId="1" fillId="0" borderId="0"/>
    <xf numFmtId="9" fontId="1" fillId="0" borderId="0"/>
    <xf numFmtId="0" fontId="7" fillId="0" borderId="0"/>
    <xf numFmtId="0" fontId="9" fillId="0" borderId="0"/>
    <xf numFmtId="41" fontId="59" fillId="0" borderId="0"/>
    <xf numFmtId="0" fontId="9" fillId="0" borderId="0"/>
    <xf numFmtId="0" fontId="1" fillId="0" borderId="0"/>
    <xf numFmtId="10" fontId="9" fillId="0" borderId="0"/>
    <xf numFmtId="170" fontId="1" fillId="0" borderId="0"/>
    <xf numFmtId="43" fontId="9" fillId="0" borderId="0"/>
    <xf numFmtId="174" fontId="9" fillId="0" borderId="0"/>
    <xf numFmtId="0" fontId="9" fillId="0" borderId="0"/>
    <xf numFmtId="0" fontId="1" fillId="0" borderId="0"/>
    <xf numFmtId="0" fontId="9" fillId="0" borderId="0"/>
    <xf numFmtId="0" fontId="40" fillId="0" borderId="0"/>
    <xf numFmtId="9" fontId="40" fillId="0" borderId="0"/>
    <xf numFmtId="41" fontId="1" fillId="0" borderId="0"/>
    <xf numFmtId="41" fontId="1" fillId="0" borderId="0"/>
    <xf numFmtId="41" fontId="1" fillId="0" borderId="0"/>
  </cellStyleXfs>
  <cellXfs count="563">
    <xf numFmtId="0" fontId="0" fillId="0" borderId="0" xfId="0"/>
    <xf numFmtId="0" fontId="5" fillId="0" borderId="0" xfId="0" applyFont="1" applyAlignment="1">
      <alignment horizontal="justify" vertical="center" wrapText="1"/>
    </xf>
    <xf numFmtId="3" fontId="0" fillId="0" borderId="0" xfId="0" applyNumberFormat="1"/>
    <xf numFmtId="41" fontId="0" fillId="0" borderId="0" xfId="0" applyNumberFormat="1"/>
    <xf numFmtId="41" fontId="0" fillId="0" borderId="0" xfId="2" applyFont="1"/>
    <xf numFmtId="0" fontId="6" fillId="0" borderId="0" xfId="0" applyFont="1"/>
    <xf numFmtId="0" fontId="13" fillId="0" borderId="0" xfId="0" applyFont="1"/>
    <xf numFmtId="0" fontId="13" fillId="3" borderId="0" xfId="0" applyFont="1" applyFill="1"/>
    <xf numFmtId="0" fontId="2" fillId="0" borderId="0" xfId="0" applyFont="1"/>
    <xf numFmtId="0" fontId="0" fillId="0" borderId="0" xfId="0" applyAlignment="1">
      <alignment horizontal="center"/>
    </xf>
    <xf numFmtId="0" fontId="14" fillId="0" borderId="0" xfId="0" applyFont="1"/>
    <xf numFmtId="41" fontId="0" fillId="0" borderId="1" xfId="2" applyFont="1" applyBorder="1"/>
    <xf numFmtId="41" fontId="0" fillId="0" borderId="4" xfId="2" applyFont="1" applyBorder="1"/>
    <xf numFmtId="0" fontId="1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5" fillId="0" borderId="0" xfId="0" applyFont="1" applyAlignment="1">
      <alignment horizontal="right" vertical="center" wrapText="1"/>
    </xf>
    <xf numFmtId="41" fontId="0" fillId="0" borderId="1" xfId="0" applyNumberFormat="1" applyBorder="1"/>
    <xf numFmtId="164" fontId="5" fillId="0" borderId="0" xfId="1" applyNumberFormat="1" applyFont="1" applyAlignment="1">
      <alignment horizontal="right" vertical="center" wrapText="1"/>
    </xf>
    <xf numFmtId="164" fontId="5" fillId="0" borderId="9" xfId="1" applyNumberFormat="1" applyFont="1" applyBorder="1" applyAlignment="1">
      <alignment vertical="center" wrapText="1"/>
    </xf>
    <xf numFmtId="164" fontId="0" fillId="0" borderId="0" xfId="1" applyNumberFormat="1" applyFont="1"/>
    <xf numFmtId="0" fontId="6" fillId="0" borderId="0" xfId="0" applyFont="1" applyAlignment="1">
      <alignment horizontal="center"/>
    </xf>
    <xf numFmtId="165" fontId="0" fillId="0" borderId="0" xfId="2" applyNumberFormat="1" applyFont="1"/>
    <xf numFmtId="165" fontId="0" fillId="0" borderId="1" xfId="2" applyNumberFormat="1" applyFont="1" applyBorder="1"/>
    <xf numFmtId="165" fontId="6" fillId="0" borderId="3" xfId="2" applyNumberFormat="1" applyFont="1" applyBorder="1"/>
    <xf numFmtId="165" fontId="0" fillId="0" borderId="0" xfId="0" applyNumberFormat="1"/>
    <xf numFmtId="0" fontId="5" fillId="5" borderId="0" xfId="0" applyFont="1" applyFill="1" applyAlignment="1">
      <alignment vertical="center" wrapText="1"/>
    </xf>
    <xf numFmtId="0" fontId="17" fillId="5" borderId="0" xfId="0" applyFont="1" applyFill="1" applyAlignment="1">
      <alignment vertical="center" wrapText="1"/>
    </xf>
    <xf numFmtId="0" fontId="19" fillId="5" borderId="0" xfId="0" applyFont="1" applyFill="1" applyAlignment="1">
      <alignment vertical="center" wrapText="1"/>
    </xf>
    <xf numFmtId="0" fontId="5" fillId="5" borderId="0" xfId="0" applyFont="1" applyFill="1" applyAlignment="1">
      <alignment horizontal="justify" vertical="center" wrapText="1"/>
    </xf>
    <xf numFmtId="0" fontId="5" fillId="5" borderId="0" xfId="0" applyFont="1" applyFill="1" applyAlignment="1">
      <alignment horizontal="center" vertical="center" wrapText="1"/>
    </xf>
    <xf numFmtId="3" fontId="5" fillId="5" borderId="0" xfId="0" applyNumberFormat="1" applyFont="1" applyFill="1" applyAlignment="1">
      <alignment horizontal="right" vertical="center" wrapText="1"/>
    </xf>
    <xf numFmtId="3" fontId="5" fillId="5" borderId="8" xfId="0" applyNumberFormat="1" applyFont="1" applyFill="1" applyBorder="1" applyAlignment="1">
      <alignment horizontal="right" vertical="center" wrapText="1"/>
    </xf>
    <xf numFmtId="3" fontId="17" fillId="5" borderId="0" xfId="0" applyNumberFormat="1" applyFont="1" applyFill="1" applyAlignment="1">
      <alignment horizontal="right" vertical="center" wrapText="1"/>
    </xf>
    <xf numFmtId="165" fontId="17" fillId="5" borderId="8" xfId="0" applyNumberFormat="1" applyFont="1" applyFill="1" applyBorder="1" applyAlignment="1">
      <alignment horizontal="right" vertical="center" wrapText="1"/>
    </xf>
    <xf numFmtId="0" fontId="0" fillId="0" borderId="1" xfId="0" applyBorder="1"/>
    <xf numFmtId="3" fontId="5" fillId="6" borderId="0" xfId="0" applyNumberFormat="1" applyFont="1" applyFill="1" applyAlignment="1">
      <alignment horizontal="right" vertical="center" wrapText="1"/>
    </xf>
    <xf numFmtId="3" fontId="5" fillId="6" borderId="8" xfId="0" applyNumberFormat="1" applyFont="1" applyFill="1" applyBorder="1" applyAlignment="1">
      <alignment horizontal="right" vertical="center" wrapText="1"/>
    </xf>
    <xf numFmtId="165" fontId="0" fillId="0" borderId="3" xfId="2" applyNumberFormat="1" applyFont="1" applyBorder="1"/>
    <xf numFmtId="0" fontId="22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/>
    </xf>
    <xf numFmtId="0" fontId="17" fillId="5" borderId="0" xfId="0" applyFont="1" applyFill="1" applyAlignment="1">
      <alignment horizontal="justify" vertical="center" wrapText="1"/>
    </xf>
    <xf numFmtId="165" fontId="5" fillId="5" borderId="0" xfId="0" applyNumberFormat="1" applyFont="1" applyFill="1" applyAlignment="1">
      <alignment horizontal="right" vertical="center" wrapText="1"/>
    </xf>
    <xf numFmtId="165" fontId="5" fillId="5" borderId="8" xfId="0" applyNumberFormat="1" applyFont="1" applyFill="1" applyBorder="1" applyAlignment="1">
      <alignment horizontal="right" vertical="center" wrapText="1"/>
    </xf>
    <xf numFmtId="14" fontId="18" fillId="0" borderId="0" xfId="0" applyNumberFormat="1" applyFont="1" applyAlignment="1">
      <alignment vertical="center" wrapText="1"/>
    </xf>
    <xf numFmtId="0" fontId="17" fillId="0" borderId="0" xfId="0" applyFont="1" applyAlignment="1">
      <alignment vertical="center" wrapText="1"/>
    </xf>
    <xf numFmtId="165" fontId="17" fillId="0" borderId="0" xfId="0" applyNumberFormat="1" applyFont="1" applyAlignment="1">
      <alignment horizontal="right" vertical="center" wrapText="1"/>
    </xf>
    <xf numFmtId="0" fontId="21" fillId="0" borderId="0" xfId="0" applyFont="1" applyAlignment="1">
      <alignment horizontal="justify" vertical="center" wrapText="1"/>
    </xf>
    <xf numFmtId="165" fontId="17" fillId="0" borderId="8" xfId="0" applyNumberFormat="1" applyFont="1" applyBorder="1" applyAlignment="1">
      <alignment horizontal="right" vertical="center" wrapText="1"/>
    </xf>
    <xf numFmtId="165" fontId="5" fillId="0" borderId="8" xfId="0" applyNumberFormat="1" applyFont="1" applyBorder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21" fillId="0" borderId="0" xfId="0" applyFont="1" applyAlignment="1">
      <alignment horizontal="justify" vertical="center"/>
    </xf>
    <xf numFmtId="0" fontId="25" fillId="0" borderId="0" xfId="0" applyFont="1"/>
    <xf numFmtId="0" fontId="26" fillId="5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5" fontId="25" fillId="0" borderId="0" xfId="0" applyNumberFormat="1" applyFont="1"/>
    <xf numFmtId="165" fontId="11" fillId="0" borderId="3" xfId="0" applyNumberFormat="1" applyFont="1" applyBorder="1" applyAlignment="1">
      <alignment horizontal="right" vertical="center" wrapText="1"/>
    </xf>
    <xf numFmtId="165" fontId="27" fillId="0" borderId="3" xfId="0" applyNumberFormat="1" applyFont="1" applyBorder="1" applyAlignment="1">
      <alignment horizontal="right" vertical="center" wrapText="1"/>
    </xf>
    <xf numFmtId="164" fontId="29" fillId="0" borderId="0" xfId="1" applyNumberFormat="1" applyFont="1" applyAlignment="1">
      <alignment horizontal="right" vertical="center" wrapText="1"/>
    </xf>
    <xf numFmtId="0" fontId="5" fillId="5" borderId="0" xfId="0" applyFont="1" applyFill="1" applyAlignment="1">
      <alignment horizontal="right" vertical="center" wrapText="1"/>
    </xf>
    <xf numFmtId="0" fontId="0" fillId="0" borderId="8" xfId="0" applyBorder="1"/>
    <xf numFmtId="0" fontId="0" fillId="0" borderId="1" xfId="0" applyBorder="1" applyAlignment="1">
      <alignment wrapText="1"/>
    </xf>
    <xf numFmtId="165" fontId="0" fillId="0" borderId="3" xfId="0" applyNumberFormat="1" applyBorder="1"/>
    <xf numFmtId="165" fontId="5" fillId="5" borderId="9" xfId="0" applyNumberFormat="1" applyFont="1" applyFill="1" applyBorder="1" applyAlignment="1">
      <alignment horizontal="right" vertical="center" wrapText="1"/>
    </xf>
    <xf numFmtId="165" fontId="0" fillId="0" borderId="4" xfId="0" applyNumberFormat="1" applyBorder="1"/>
    <xf numFmtId="165" fontId="0" fillId="0" borderId="0" xfId="1" applyNumberFormat="1" applyFont="1"/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10" fillId="0" borderId="0" xfId="0" applyFont="1"/>
    <xf numFmtId="14" fontId="24" fillId="0" borderId="0" xfId="0" applyNumberFormat="1" applyFont="1" applyAlignment="1">
      <alignment horizontal="center" vertical="center" wrapText="1"/>
    </xf>
    <xf numFmtId="165" fontId="10" fillId="0" borderId="0" xfId="2" applyNumberFormat="1" applyFont="1"/>
    <xf numFmtId="165" fontId="10" fillId="0" borderId="0" xfId="0" applyNumberFormat="1" applyFont="1"/>
    <xf numFmtId="165" fontId="10" fillId="0" borderId="1" xfId="2" applyNumberFormat="1" applyFont="1" applyBorder="1"/>
    <xf numFmtId="165" fontId="10" fillId="0" borderId="1" xfId="0" applyNumberFormat="1" applyFont="1" applyBorder="1"/>
    <xf numFmtId="165" fontId="26" fillId="0" borderId="8" xfId="0" applyNumberFormat="1" applyFont="1" applyBorder="1" applyAlignment="1">
      <alignment horizontal="right" vertical="center" wrapText="1"/>
    </xf>
    <xf numFmtId="165" fontId="24" fillId="0" borderId="0" xfId="0" applyNumberFormat="1" applyFont="1" applyAlignment="1">
      <alignment horizontal="center" vertical="center" wrapText="1"/>
    </xf>
    <xf numFmtId="165" fontId="26" fillId="0" borderId="9" xfId="0" applyNumberFormat="1" applyFont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165" fontId="17" fillId="0" borderId="9" xfId="0" applyNumberFormat="1" applyFont="1" applyBorder="1" applyAlignment="1">
      <alignment vertical="center" wrapText="1"/>
    </xf>
    <xf numFmtId="0" fontId="33" fillId="0" borderId="0" xfId="0" applyFont="1" applyAlignment="1">
      <alignment horizontal="left" vertical="center" wrapText="1"/>
    </xf>
    <xf numFmtId="0" fontId="34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vertical="center" wrapText="1"/>
    </xf>
    <xf numFmtId="0" fontId="3" fillId="5" borderId="0" xfId="0" applyFont="1" applyFill="1" applyAlignment="1">
      <alignment horizontal="justify" vertical="center" wrapText="1"/>
    </xf>
    <xf numFmtId="0" fontId="20" fillId="5" borderId="0" xfId="0" applyFont="1" applyFill="1" applyAlignment="1">
      <alignment horizontal="justify"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left" vertical="center" wrapText="1"/>
    </xf>
    <xf numFmtId="165" fontId="20" fillId="5" borderId="0" xfId="0" applyNumberFormat="1" applyFont="1" applyFill="1" applyAlignment="1">
      <alignment horizontal="right" vertical="center" wrapText="1"/>
    </xf>
    <xf numFmtId="0" fontId="20" fillId="5" borderId="8" xfId="0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0" fillId="5" borderId="1" xfId="0" applyFont="1" applyFill="1" applyBorder="1" applyAlignment="1">
      <alignment horizontal="justify" vertical="center" wrapText="1"/>
    </xf>
    <xf numFmtId="164" fontId="5" fillId="0" borderId="0" xfId="0" applyNumberFormat="1" applyFont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 wrapText="1"/>
    </xf>
    <xf numFmtId="164" fontId="5" fillId="0" borderId="8" xfId="0" applyNumberFormat="1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 wrapText="1"/>
    </xf>
    <xf numFmtId="0" fontId="20" fillId="5" borderId="0" xfId="0" applyFont="1" applyFill="1" applyAlignment="1">
      <alignment horizontal="right" vertical="center" wrapText="1"/>
    </xf>
    <xf numFmtId="165" fontId="20" fillId="5" borderId="0" xfId="1" applyNumberFormat="1" applyFont="1" applyFill="1" applyAlignment="1">
      <alignment horizontal="right" vertical="center" wrapText="1"/>
    </xf>
    <xf numFmtId="165" fontId="20" fillId="5" borderId="8" xfId="1" applyNumberFormat="1" applyFont="1" applyFill="1" applyBorder="1" applyAlignment="1">
      <alignment horizontal="right" vertical="center" wrapText="1"/>
    </xf>
    <xf numFmtId="164" fontId="5" fillId="0" borderId="8" xfId="1" applyNumberFormat="1" applyFont="1" applyBorder="1" applyAlignment="1">
      <alignment vertical="center" wrapText="1"/>
    </xf>
    <xf numFmtId="0" fontId="5" fillId="5" borderId="0" xfId="0" applyFont="1" applyFill="1" applyAlignment="1">
      <alignment horizontal="left" vertical="center" wrapText="1"/>
    </xf>
    <xf numFmtId="0" fontId="0" fillId="5" borderId="0" xfId="0" applyFill="1" applyAlignment="1">
      <alignment wrapText="1"/>
    </xf>
    <xf numFmtId="41" fontId="5" fillId="0" borderId="0" xfId="2" applyFont="1" applyAlignment="1">
      <alignment horizontal="right" vertical="center" wrapText="1"/>
    </xf>
    <xf numFmtId="165" fontId="5" fillId="0" borderId="0" xfId="0" applyNumberFormat="1" applyFont="1" applyAlignment="1">
      <alignment vertical="center" wrapText="1"/>
    </xf>
    <xf numFmtId="165" fontId="5" fillId="0" borderId="8" xfId="0" applyNumberFormat="1" applyFont="1" applyBorder="1" applyAlignment="1">
      <alignment vertical="center" wrapText="1"/>
    </xf>
    <xf numFmtId="164" fontId="5" fillId="5" borderId="8" xfId="1" applyNumberFormat="1" applyFont="1" applyFill="1" applyBorder="1" applyAlignment="1">
      <alignment horizontal="right" vertical="center" wrapText="1"/>
    </xf>
    <xf numFmtId="1" fontId="5" fillId="5" borderId="0" xfId="0" applyNumberFormat="1" applyFont="1" applyFill="1" applyAlignment="1">
      <alignment horizontal="right" vertical="center" wrapText="1"/>
    </xf>
    <xf numFmtId="1" fontId="0" fillId="0" borderId="0" xfId="0" applyNumberFormat="1"/>
    <xf numFmtId="0" fontId="36" fillId="5" borderId="0" xfId="0" applyFont="1" applyFill="1" applyAlignment="1">
      <alignment horizontal="center" vertical="center" wrapText="1"/>
    </xf>
    <xf numFmtId="0" fontId="37" fillId="0" borderId="0" xfId="0" applyFont="1"/>
    <xf numFmtId="0" fontId="17" fillId="0" borderId="0" xfId="0" applyFont="1"/>
    <xf numFmtId="164" fontId="0" fillId="0" borderId="0" xfId="0" applyNumberFormat="1"/>
    <xf numFmtId="0" fontId="17" fillId="0" borderId="0" xfId="0" applyFont="1" applyAlignment="1">
      <alignment horizontal="justify" vertical="center"/>
    </xf>
    <xf numFmtId="166" fontId="0" fillId="0" borderId="0" xfId="0" applyNumberFormat="1"/>
    <xf numFmtId="164" fontId="0" fillId="0" borderId="3" xfId="0" applyNumberFormat="1" applyBorder="1"/>
    <xf numFmtId="164" fontId="5" fillId="0" borderId="1" xfId="1" applyNumberFormat="1" applyFont="1" applyBorder="1" applyAlignment="1">
      <alignment horizontal="right" vertical="center" wrapText="1"/>
    </xf>
    <xf numFmtId="165" fontId="5" fillId="0" borderId="1" xfId="0" applyNumberFormat="1" applyFont="1" applyBorder="1" applyAlignment="1">
      <alignment horizontal="right" vertical="center" wrapText="1"/>
    </xf>
    <xf numFmtId="164" fontId="36" fillId="0" borderId="3" xfId="1" applyNumberFormat="1" applyFont="1" applyBorder="1" applyAlignment="1">
      <alignment horizontal="right" vertical="center" wrapText="1"/>
    </xf>
    <xf numFmtId="166" fontId="5" fillId="0" borderId="0" xfId="1" applyNumberFormat="1" applyFont="1" applyAlignment="1">
      <alignment horizontal="right" vertical="center" wrapText="1"/>
    </xf>
    <xf numFmtId="166" fontId="5" fillId="0" borderId="8" xfId="0" applyNumberFormat="1" applyFont="1" applyBorder="1" applyAlignment="1">
      <alignment horizontal="right" vertical="center" wrapText="1"/>
    </xf>
    <xf numFmtId="166" fontId="0" fillId="0" borderId="0" xfId="2" applyNumberFormat="1" applyFont="1"/>
    <xf numFmtId="164" fontId="5" fillId="0" borderId="9" xfId="0" applyNumberFormat="1" applyFont="1" applyBorder="1" applyAlignment="1">
      <alignment horizontal="left" vertical="center" wrapText="1"/>
    </xf>
    <xf numFmtId="166" fontId="5" fillId="0" borderId="0" xfId="2" applyNumberFormat="1" applyFont="1" applyAlignment="1">
      <alignment horizontal="right" vertical="center" wrapText="1"/>
    </xf>
    <xf numFmtId="166" fontId="17" fillId="0" borderId="9" xfId="0" applyNumberFormat="1" applyFont="1" applyBorder="1" applyAlignment="1">
      <alignment vertical="center" wrapText="1"/>
    </xf>
    <xf numFmtId="0" fontId="12" fillId="0" borderId="0" xfId="0" applyFont="1"/>
    <xf numFmtId="165" fontId="10" fillId="0" borderId="0" xfId="0" applyNumberFormat="1" applyFont="1" applyAlignment="1">
      <alignment horizontal="right"/>
    </xf>
    <xf numFmtId="0" fontId="43" fillId="0" borderId="0" xfId="0" applyFont="1" applyAlignment="1">
      <alignment horizontal="left" vertical="center" wrapText="1"/>
    </xf>
    <xf numFmtId="0" fontId="43" fillId="0" borderId="0" xfId="0" applyFont="1" applyAlignment="1">
      <alignment horizontal="right" vertical="center" wrapText="1"/>
    </xf>
    <xf numFmtId="0" fontId="38" fillId="0" borderId="0" xfId="0" applyFont="1" applyAlignment="1">
      <alignment horizontal="left" vertical="center" wrapText="1"/>
    </xf>
    <xf numFmtId="0" fontId="43" fillId="0" borderId="9" xfId="0" applyFont="1" applyBorder="1" applyAlignment="1">
      <alignment horizontal="right" vertical="center" wrapText="1"/>
    </xf>
    <xf numFmtId="164" fontId="38" fillId="0" borderId="0" xfId="1" applyNumberFormat="1" applyFont="1" applyAlignment="1">
      <alignment horizontal="right" vertical="center" wrapText="1"/>
    </xf>
    <xf numFmtId="164" fontId="43" fillId="0" borderId="9" xfId="1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center" vertical="center" wrapText="1"/>
    </xf>
    <xf numFmtId="165" fontId="38" fillId="0" borderId="0" xfId="1" applyNumberFormat="1" applyFont="1" applyAlignment="1">
      <alignment horizontal="right" vertical="center" wrapText="1"/>
    </xf>
    <xf numFmtId="165" fontId="43" fillId="0" borderId="9" xfId="1" applyNumberFormat="1" applyFont="1" applyBorder="1" applyAlignment="1">
      <alignment horizontal="right" vertical="center" wrapText="1"/>
    </xf>
    <xf numFmtId="166" fontId="5" fillId="0" borderId="1" xfId="2" applyNumberFormat="1" applyFont="1" applyBorder="1" applyAlignment="1">
      <alignment horizontal="right" vertical="center" wrapText="1"/>
    </xf>
    <xf numFmtId="0" fontId="0" fillId="3" borderId="0" xfId="0" applyFill="1"/>
    <xf numFmtId="0" fontId="26" fillId="5" borderId="0" xfId="0" applyFont="1" applyFill="1" applyAlignment="1">
      <alignment vertical="center" wrapText="1"/>
    </xf>
    <xf numFmtId="166" fontId="13" fillId="0" borderId="0" xfId="1" applyNumberFormat="1" applyFont="1"/>
    <xf numFmtId="166" fontId="26" fillId="5" borderId="0" xfId="1" applyNumberFormat="1" applyFont="1" applyFill="1" applyAlignment="1">
      <alignment horizontal="right" vertical="center" wrapText="1"/>
    </xf>
    <xf numFmtId="0" fontId="43" fillId="0" borderId="0" xfId="0" applyFont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43" fillId="0" borderId="8" xfId="0" applyFont="1" applyBorder="1" applyAlignment="1">
      <alignment vertical="center" wrapText="1"/>
    </xf>
    <xf numFmtId="0" fontId="43" fillId="0" borderId="0" xfId="0" applyFont="1" applyAlignment="1">
      <alignment vertical="center" wrapText="1"/>
    </xf>
    <xf numFmtId="0" fontId="46" fillId="0" borderId="0" xfId="0" applyFont="1"/>
    <xf numFmtId="165" fontId="44" fillId="0" borderId="0" xfId="1" applyNumberFormat="1" applyFont="1" applyAlignment="1">
      <alignment horizontal="right" vertical="center" wrapText="1"/>
    </xf>
    <xf numFmtId="165" fontId="21" fillId="0" borderId="0" xfId="1" applyNumberFormat="1" applyFont="1" applyAlignment="1">
      <alignment vertical="center" wrapText="1"/>
    </xf>
    <xf numFmtId="0" fontId="38" fillId="0" borderId="0" xfId="0" applyFont="1" applyAlignment="1">
      <alignment horizontal="justify" vertical="center" wrapText="1"/>
    </xf>
    <xf numFmtId="0" fontId="47" fillId="5" borderId="0" xfId="0" applyFont="1" applyFill="1" applyAlignment="1">
      <alignment horizontal="left" vertical="center" wrapText="1"/>
    </xf>
    <xf numFmtId="0" fontId="47" fillId="5" borderId="0" xfId="0" applyFont="1" applyFill="1" applyAlignment="1">
      <alignment horizontal="center" vertical="center" wrapText="1"/>
    </xf>
    <xf numFmtId="0" fontId="38" fillId="5" borderId="0" xfId="0" applyFont="1" applyFill="1" applyAlignment="1">
      <alignment horizontal="center" vertical="center" wrapText="1"/>
    </xf>
    <xf numFmtId="0" fontId="43" fillId="5" borderId="0" xfId="0" applyFont="1" applyFill="1" applyAlignment="1">
      <alignment horizontal="center" vertical="center" wrapText="1"/>
    </xf>
    <xf numFmtId="0" fontId="38" fillId="5" borderId="0" xfId="0" applyFont="1" applyFill="1" applyAlignment="1">
      <alignment horizontal="justify" vertical="center" wrapText="1"/>
    </xf>
    <xf numFmtId="0" fontId="38" fillId="5" borderId="0" xfId="0" applyFont="1" applyFill="1" applyAlignment="1">
      <alignment horizontal="right" vertical="center" wrapText="1"/>
    </xf>
    <xf numFmtId="164" fontId="5" fillId="6" borderId="0" xfId="1" applyNumberFormat="1" applyFont="1" applyFill="1" applyAlignment="1">
      <alignment horizontal="right" vertical="center" wrapText="1"/>
    </xf>
    <xf numFmtId="0" fontId="48" fillId="0" borderId="0" xfId="0" applyFont="1"/>
    <xf numFmtId="0" fontId="49" fillId="0" borderId="0" xfId="0" applyFont="1"/>
    <xf numFmtId="165" fontId="0" fillId="3" borderId="0" xfId="2" applyNumberFormat="1" applyFont="1" applyFill="1"/>
    <xf numFmtId="0" fontId="26" fillId="3" borderId="0" xfId="0" applyFont="1" applyFill="1" applyAlignment="1">
      <alignment horizontal="justify" vertical="center" wrapText="1"/>
    </xf>
    <xf numFmtId="0" fontId="26" fillId="3" borderId="0" xfId="0" applyFont="1" applyFill="1" applyAlignment="1">
      <alignment horizontal="center" vertical="center" wrapText="1"/>
    </xf>
    <xf numFmtId="165" fontId="26" fillId="3" borderId="0" xfId="0" applyNumberFormat="1" applyFont="1" applyFill="1" applyAlignment="1">
      <alignment vertical="center" wrapText="1"/>
    </xf>
    <xf numFmtId="0" fontId="25" fillId="3" borderId="0" xfId="0" applyFont="1" applyFill="1"/>
    <xf numFmtId="0" fontId="26" fillId="3" borderId="0" xfId="0" applyFont="1" applyFill="1" applyAlignment="1">
      <alignment horizontal="left" vertical="center" wrapText="1"/>
    </xf>
    <xf numFmtId="0" fontId="26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 wrapText="1"/>
    </xf>
    <xf numFmtId="0" fontId="10" fillId="3" borderId="0" xfId="0" applyFont="1" applyFill="1" applyAlignment="1">
      <alignment horizontal="justify" vertical="center" wrapText="1"/>
    </xf>
    <xf numFmtId="14" fontId="24" fillId="3" borderId="0" xfId="0" applyNumberFormat="1" applyFont="1" applyFill="1" applyAlignment="1">
      <alignment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vertical="center" wrapText="1"/>
    </xf>
    <xf numFmtId="165" fontId="26" fillId="3" borderId="3" xfId="0" applyNumberFormat="1" applyFont="1" applyFill="1" applyBorder="1" applyAlignment="1">
      <alignment horizontal="right" vertical="center" wrapText="1"/>
    </xf>
    <xf numFmtId="0" fontId="50" fillId="0" borderId="0" xfId="0" applyFont="1"/>
    <xf numFmtId="165" fontId="35" fillId="0" borderId="0" xfId="0" applyNumberFormat="1" applyFont="1" applyAlignment="1">
      <alignment horizontal="center" vertical="center" wrapText="1"/>
    </xf>
    <xf numFmtId="0" fontId="20" fillId="3" borderId="0" xfId="0" applyFont="1" applyFill="1" applyAlignment="1">
      <alignment horizontal="right" vertical="center" wrapText="1"/>
    </xf>
    <xf numFmtId="0" fontId="20" fillId="3" borderId="8" xfId="0" applyFont="1" applyFill="1" applyBorder="1" applyAlignment="1">
      <alignment horizontal="right" vertical="center" wrapText="1"/>
    </xf>
    <xf numFmtId="10" fontId="20" fillId="3" borderId="8" xfId="0" applyNumberFormat="1" applyFont="1" applyFill="1" applyBorder="1" applyAlignment="1">
      <alignment horizontal="right" vertical="center" wrapText="1"/>
    </xf>
    <xf numFmtId="0" fontId="4" fillId="5" borderId="0" xfId="0" applyFont="1" applyFill="1" applyAlignment="1">
      <alignment horizontal="left" vertical="center" wrapText="1"/>
    </xf>
    <xf numFmtId="164" fontId="2" fillId="0" borderId="0" xfId="0" applyNumberFormat="1" applyFont="1"/>
    <xf numFmtId="165" fontId="4" fillId="0" borderId="0" xfId="0" applyNumberFormat="1" applyFont="1"/>
    <xf numFmtId="41" fontId="5" fillId="5" borderId="0" xfId="2" applyFont="1" applyFill="1" applyAlignment="1">
      <alignment horizontal="right" vertical="center" wrapText="1"/>
    </xf>
    <xf numFmtId="0" fontId="25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164" fontId="26" fillId="0" borderId="0" xfId="1" applyNumberFormat="1" applyFont="1" applyAlignment="1">
      <alignment horizontal="right" vertical="center" wrapText="1"/>
    </xf>
    <xf numFmtId="0" fontId="38" fillId="5" borderId="0" xfId="0" applyFont="1" applyFill="1" applyAlignment="1">
      <alignment horizontal="left" vertical="center" wrapText="1"/>
    </xf>
    <xf numFmtId="165" fontId="10" fillId="0" borderId="0" xfId="0" applyNumberFormat="1" applyFont="1" applyAlignment="1">
      <alignment horizontal="right" vertical="center" wrapText="1"/>
    </xf>
    <xf numFmtId="3" fontId="28" fillId="0" borderId="0" xfId="0" applyNumberFormat="1" applyFont="1" applyAlignment="1">
      <alignment horizontal="right" vertical="center" wrapText="1"/>
    </xf>
    <xf numFmtId="3" fontId="29" fillId="0" borderId="0" xfId="0" applyNumberFormat="1" applyFont="1" applyAlignment="1">
      <alignment horizontal="right" vertical="center" wrapText="1"/>
    </xf>
    <xf numFmtId="3" fontId="25" fillId="0" borderId="0" xfId="0" applyNumberFormat="1" applyFont="1"/>
    <xf numFmtId="0" fontId="26" fillId="3" borderId="2" xfId="0" applyFont="1" applyFill="1" applyBorder="1" applyAlignment="1">
      <alignment horizontal="center" vertical="center" wrapText="1"/>
    </xf>
    <xf numFmtId="0" fontId="26" fillId="3" borderId="19" xfId="0" applyFont="1" applyFill="1" applyBorder="1" applyAlignment="1">
      <alignment horizontal="left" vertical="center" wrapText="1"/>
    </xf>
    <xf numFmtId="165" fontId="26" fillId="3" borderId="20" xfId="0" applyNumberFormat="1" applyFont="1" applyFill="1" applyBorder="1" applyAlignment="1">
      <alignment vertical="center" wrapText="1"/>
    </xf>
    <xf numFmtId="0" fontId="26" fillId="3" borderId="15" xfId="0" applyFont="1" applyFill="1" applyBorder="1" applyAlignment="1">
      <alignment horizontal="center" vertical="center" wrapText="1"/>
    </xf>
    <xf numFmtId="165" fontId="0" fillId="3" borderId="19" xfId="2" applyNumberFormat="1" applyFont="1" applyFill="1" applyBorder="1"/>
    <xf numFmtId="0" fontId="17" fillId="3" borderId="0" xfId="0" applyFont="1" applyFill="1"/>
    <xf numFmtId="0" fontId="38" fillId="3" borderId="0" xfId="0" applyFont="1" applyFill="1" applyAlignment="1">
      <alignment horizontal="left" vertical="center" wrapText="1"/>
    </xf>
    <xf numFmtId="0" fontId="26" fillId="3" borderId="17" xfId="0" applyFont="1" applyFill="1" applyBorder="1" applyAlignment="1">
      <alignment horizontal="left" vertical="center" wrapText="1"/>
    </xf>
    <xf numFmtId="165" fontId="0" fillId="3" borderId="17" xfId="2" applyNumberFormat="1" applyFont="1" applyFill="1" applyBorder="1"/>
    <xf numFmtId="165" fontId="0" fillId="3" borderId="1" xfId="2" applyNumberFormat="1" applyFont="1" applyFill="1" applyBorder="1"/>
    <xf numFmtId="165" fontId="26" fillId="3" borderId="18" xfId="0" applyNumberFormat="1" applyFont="1" applyFill="1" applyBorder="1" applyAlignment="1">
      <alignment vertical="center" wrapText="1"/>
    </xf>
    <xf numFmtId="0" fontId="30" fillId="3" borderId="0" xfId="0" applyFont="1" applyFill="1"/>
    <xf numFmtId="0" fontId="26" fillId="3" borderId="19" xfId="0" applyFont="1" applyFill="1" applyBorder="1" applyAlignment="1">
      <alignment horizontal="center" vertical="center" wrapText="1"/>
    </xf>
    <xf numFmtId="0" fontId="26" fillId="3" borderId="20" xfId="0" applyFont="1" applyFill="1" applyBorder="1" applyAlignment="1">
      <alignment vertical="center" wrapText="1"/>
    </xf>
    <xf numFmtId="0" fontId="26" fillId="3" borderId="20" xfId="0" applyFont="1" applyFill="1" applyBorder="1" applyAlignment="1">
      <alignment horizontal="center" vertical="center" wrapText="1"/>
    </xf>
    <xf numFmtId="0" fontId="26" fillId="3" borderId="17" xfId="0" applyFont="1" applyFill="1" applyBorder="1" applyAlignment="1">
      <alignment horizontal="center" vertical="center" wrapText="1"/>
    </xf>
    <xf numFmtId="0" fontId="26" fillId="3" borderId="18" xfId="0" applyFont="1" applyFill="1" applyBorder="1" applyAlignment="1">
      <alignment horizontal="center" vertical="center" wrapText="1"/>
    </xf>
    <xf numFmtId="14" fontId="24" fillId="3" borderId="2" xfId="0" applyNumberFormat="1" applyFont="1" applyFill="1" applyBorder="1" applyAlignment="1">
      <alignment vertical="center" wrapText="1"/>
    </xf>
    <xf numFmtId="0" fontId="25" fillId="3" borderId="15" xfId="0" applyFont="1" applyFill="1" applyBorder="1"/>
    <xf numFmtId="14" fontId="24" fillId="3" borderId="16" xfId="0" applyNumberFormat="1" applyFont="1" applyFill="1" applyBorder="1" applyAlignment="1">
      <alignment vertical="center" wrapText="1"/>
    </xf>
    <xf numFmtId="0" fontId="25" fillId="0" borderId="1" xfId="0" applyFont="1" applyBorder="1" applyAlignment="1">
      <alignment wrapText="1"/>
    </xf>
    <xf numFmtId="165" fontId="10" fillId="0" borderId="1" xfId="0" applyNumberFormat="1" applyFont="1" applyBorder="1" applyAlignment="1">
      <alignment horizontal="right" vertical="center" wrapText="1"/>
    </xf>
    <xf numFmtId="165" fontId="26" fillId="0" borderId="1" xfId="0" applyNumberFormat="1" applyFont="1" applyBorder="1" applyAlignment="1">
      <alignment horizontal="right" vertical="center" wrapText="1"/>
    </xf>
    <xf numFmtId="41" fontId="20" fillId="5" borderId="0" xfId="0" applyNumberFormat="1" applyFont="1" applyFill="1" applyAlignment="1">
      <alignment horizontal="right" vertical="center" wrapText="1"/>
    </xf>
    <xf numFmtId="41" fontId="20" fillId="5" borderId="9" xfId="0" applyNumberFormat="1" applyFont="1" applyFill="1" applyBorder="1" applyAlignment="1">
      <alignment horizontal="right" vertical="center" wrapText="1"/>
    </xf>
    <xf numFmtId="41" fontId="20" fillId="0" borderId="4" xfId="0" applyNumberFormat="1" applyFont="1" applyBorder="1" applyAlignment="1">
      <alignment horizontal="right" vertical="center"/>
    </xf>
    <xf numFmtId="41" fontId="20" fillId="5" borderId="8" xfId="0" applyNumberFormat="1" applyFont="1" applyFill="1" applyBorder="1" applyAlignment="1">
      <alignment horizontal="right" vertical="center" wrapText="1"/>
    </xf>
    <xf numFmtId="41" fontId="20" fillId="5" borderId="0" xfId="0" applyNumberFormat="1" applyFont="1" applyFill="1" applyAlignment="1">
      <alignment vertical="center" wrapText="1"/>
    </xf>
    <xf numFmtId="41" fontId="20" fillId="5" borderId="8" xfId="0" applyNumberFormat="1" applyFont="1" applyFill="1" applyBorder="1" applyAlignment="1">
      <alignment vertical="center" wrapText="1"/>
    </xf>
    <xf numFmtId="41" fontId="20" fillId="5" borderId="9" xfId="0" applyNumberFormat="1" applyFont="1" applyFill="1" applyBorder="1" applyAlignment="1">
      <alignment vertical="center" wrapText="1"/>
    </xf>
    <xf numFmtId="14" fontId="19" fillId="5" borderId="0" xfId="0" applyNumberFormat="1" applyFont="1" applyFill="1" applyAlignment="1">
      <alignment vertical="center" wrapText="1"/>
    </xf>
    <xf numFmtId="0" fontId="26" fillId="0" borderId="0" xfId="0" applyFont="1" applyAlignment="1">
      <alignment horizontal="justify" vertical="center"/>
    </xf>
    <xf numFmtId="0" fontId="19" fillId="5" borderId="0" xfId="0" applyFont="1" applyFill="1" applyAlignment="1">
      <alignment horizontal="left" vertical="center" wrapText="1"/>
    </xf>
    <xf numFmtId="41" fontId="3" fillId="5" borderId="0" xfId="0" applyNumberFormat="1" applyFont="1" applyFill="1" applyAlignment="1">
      <alignment horizontal="right" vertical="center" wrapText="1"/>
    </xf>
    <xf numFmtId="41" fontId="3" fillId="5" borderId="8" xfId="0" applyNumberFormat="1" applyFont="1" applyFill="1" applyBorder="1" applyAlignment="1">
      <alignment horizontal="right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/>
    </xf>
    <xf numFmtId="41" fontId="5" fillId="0" borderId="8" xfId="0" applyNumberFormat="1" applyFont="1" applyBorder="1" applyAlignment="1">
      <alignment horizontal="right" vertical="center"/>
    </xf>
    <xf numFmtId="41" fontId="5" fillId="0" borderId="4" xfId="0" applyNumberFormat="1" applyFont="1" applyBorder="1" applyAlignment="1">
      <alignment horizontal="right" vertical="center"/>
    </xf>
    <xf numFmtId="41" fontId="36" fillId="0" borderId="0" xfId="0" applyNumberFormat="1" applyFont="1" applyAlignment="1">
      <alignment horizontal="left" vertical="center"/>
    </xf>
    <xf numFmtId="41" fontId="5" fillId="0" borderId="0" xfId="0" applyNumberFormat="1" applyFont="1" applyAlignment="1">
      <alignment horizontal="right" vertical="center"/>
    </xf>
    <xf numFmtId="3" fontId="5" fillId="0" borderId="8" xfId="0" applyNumberFormat="1" applyFont="1" applyBorder="1" applyAlignment="1">
      <alignment horizontal="right" vertical="center" wrapText="1"/>
    </xf>
    <xf numFmtId="0" fontId="20" fillId="0" borderId="0" xfId="0" applyFont="1" applyAlignment="1">
      <alignment horizontal="justify" vertical="center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justify" vertical="center" wrapText="1"/>
    </xf>
    <xf numFmtId="41" fontId="35" fillId="0" borderId="0" xfId="0" applyNumberFormat="1" applyFont="1" applyAlignment="1">
      <alignment horizontal="right" vertical="center" wrapText="1"/>
    </xf>
    <xf numFmtId="41" fontId="3" fillId="0" borderId="0" xfId="0" applyNumberFormat="1" applyFont="1" applyAlignment="1">
      <alignment horizontal="justify" vertical="center" wrapText="1"/>
    </xf>
    <xf numFmtId="41" fontId="3" fillId="0" borderId="0" xfId="0" applyNumberFormat="1" applyFont="1" applyAlignment="1">
      <alignment horizontal="right" vertical="center" wrapText="1"/>
    </xf>
    <xf numFmtId="41" fontId="20" fillId="5" borderId="0" xfId="0" applyNumberFormat="1" applyFont="1" applyFill="1" applyAlignment="1">
      <alignment horizontal="left" vertical="center"/>
    </xf>
    <xf numFmtId="41" fontId="20" fillId="5" borderId="11" xfId="0" applyNumberFormat="1" applyFont="1" applyFill="1" applyBorder="1" applyAlignment="1">
      <alignment horizontal="right" vertical="center" wrapText="1"/>
    </xf>
    <xf numFmtId="0" fontId="42" fillId="0" borderId="0" xfId="0" applyFont="1" applyAlignment="1">
      <alignment horizontal="right"/>
    </xf>
    <xf numFmtId="0" fontId="51" fillId="0" borderId="0" xfId="0" applyFont="1"/>
    <xf numFmtId="173" fontId="35" fillId="5" borderId="0" xfId="3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vertical="top" wrapText="1"/>
    </xf>
    <xf numFmtId="0" fontId="38" fillId="0" borderId="0" xfId="0" applyFont="1" applyAlignment="1">
      <alignment horizontal="center" vertical="center" wrapText="1"/>
    </xf>
    <xf numFmtId="0" fontId="38" fillId="0" borderId="8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justify" vertical="center" wrapText="1"/>
    </xf>
    <xf numFmtId="0" fontId="3" fillId="0" borderId="0" xfId="0" applyFont="1" applyAlignment="1">
      <alignment horizontal="right" vertical="center" wrapText="1"/>
    </xf>
    <xf numFmtId="0" fontId="3" fillId="5" borderId="0" xfId="0" applyFont="1" applyFill="1" applyAlignment="1">
      <alignment vertical="center" wrapText="1"/>
    </xf>
    <xf numFmtId="14" fontId="34" fillId="5" borderId="0" xfId="0" applyNumberFormat="1" applyFont="1" applyFill="1" applyAlignment="1">
      <alignment vertical="center" wrapText="1"/>
    </xf>
    <xf numFmtId="0" fontId="34" fillId="5" borderId="0" xfId="0" applyFont="1" applyFill="1" applyAlignment="1">
      <alignment vertical="center" wrapText="1"/>
    </xf>
    <xf numFmtId="0" fontId="20" fillId="5" borderId="0" xfId="0" applyFont="1" applyFill="1" applyAlignment="1">
      <alignment vertical="center" wrapText="1"/>
    </xf>
    <xf numFmtId="14" fontId="20" fillId="5" borderId="1" xfId="0" applyNumberFormat="1" applyFont="1" applyFill="1" applyBorder="1" applyAlignment="1">
      <alignment horizontal="center" vertical="center" wrapText="1"/>
    </xf>
    <xf numFmtId="3" fontId="20" fillId="5" borderId="0" xfId="0" applyNumberFormat="1" applyFont="1" applyFill="1" applyAlignment="1">
      <alignment vertical="center" wrapText="1"/>
    </xf>
    <xf numFmtId="0" fontId="43" fillId="0" borderId="7" xfId="0" applyFont="1" applyBorder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8" fillId="0" borderId="8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8" xfId="0" applyFont="1" applyBorder="1" applyAlignment="1">
      <alignment vertical="center"/>
    </xf>
    <xf numFmtId="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5" fillId="0" borderId="8" xfId="0" applyNumberFormat="1" applyFont="1" applyBorder="1" applyAlignment="1">
      <alignment horizontal="right" vertical="center"/>
    </xf>
    <xf numFmtId="165" fontId="5" fillId="3" borderId="0" xfId="0" applyNumberFormat="1" applyFont="1" applyFill="1" applyAlignment="1">
      <alignment horizontal="right" vertical="center" wrapText="1"/>
    </xf>
    <xf numFmtId="164" fontId="5" fillId="3" borderId="0" xfId="1" applyNumberFormat="1" applyFont="1" applyFill="1" applyAlignment="1">
      <alignment horizontal="right" vertical="center" wrapText="1"/>
    </xf>
    <xf numFmtId="165" fontId="3" fillId="3" borderId="8" xfId="1" applyNumberFormat="1" applyFont="1" applyFill="1" applyBorder="1" applyAlignment="1">
      <alignment horizontal="right" vertical="center" wrapText="1"/>
    </xf>
    <xf numFmtId="165" fontId="20" fillId="3" borderId="0" xfId="0" applyNumberFormat="1" applyFont="1" applyFill="1" applyAlignment="1">
      <alignment horizontal="right" vertical="center" wrapText="1"/>
    </xf>
    <xf numFmtId="165" fontId="20" fillId="3" borderId="8" xfId="0" applyNumberFormat="1" applyFont="1" applyFill="1" applyBorder="1" applyAlignment="1">
      <alignment horizontal="right" vertical="center" wrapText="1"/>
    </xf>
    <xf numFmtId="14" fontId="13" fillId="0" borderId="1" xfId="0" applyNumberFormat="1" applyFont="1" applyBorder="1" applyAlignment="1">
      <alignment horizontal="center"/>
    </xf>
    <xf numFmtId="0" fontId="20" fillId="5" borderId="1" xfId="0" applyFont="1" applyFill="1" applyBorder="1" applyAlignment="1">
      <alignment horizontal="right" vertical="center" wrapText="1"/>
    </xf>
    <xf numFmtId="165" fontId="20" fillId="3" borderId="1" xfId="0" applyNumberFormat="1" applyFont="1" applyFill="1" applyBorder="1" applyAlignment="1">
      <alignment horizontal="right" vertical="center" wrapText="1"/>
    </xf>
    <xf numFmtId="10" fontId="43" fillId="0" borderId="0" xfId="3" applyNumberFormat="1" applyFont="1" applyAlignment="1">
      <alignment horizontal="center"/>
    </xf>
    <xf numFmtId="165" fontId="17" fillId="7" borderId="0" xfId="0" applyNumberFormat="1" applyFont="1" applyFill="1" applyAlignment="1">
      <alignment horizontal="right" vertical="center" wrapText="1"/>
    </xf>
    <xf numFmtId="165" fontId="17" fillId="7" borderId="8" xfId="0" applyNumberFormat="1" applyFont="1" applyFill="1" applyBorder="1" applyAlignment="1">
      <alignment horizontal="right" vertical="center" wrapText="1"/>
    </xf>
    <xf numFmtId="166" fontId="5" fillId="7" borderId="0" xfId="0" applyNumberFormat="1" applyFont="1" applyFill="1" applyAlignment="1">
      <alignment horizontal="right" vertical="center" wrapText="1"/>
    </xf>
    <xf numFmtId="166" fontId="0" fillId="7" borderId="0" xfId="0" applyNumberFormat="1" applyFill="1"/>
    <xf numFmtId="166" fontId="5" fillId="7" borderId="8" xfId="0" applyNumberFormat="1" applyFont="1" applyFill="1" applyBorder="1" applyAlignment="1">
      <alignment horizontal="right" vertical="center" wrapText="1"/>
    </xf>
    <xf numFmtId="165" fontId="5" fillId="7" borderId="0" xfId="0" applyNumberFormat="1" applyFont="1" applyFill="1" applyAlignment="1">
      <alignment horizontal="right" vertical="center" wrapText="1"/>
    </xf>
    <xf numFmtId="165" fontId="5" fillId="7" borderId="1" xfId="0" applyNumberFormat="1" applyFont="1" applyFill="1" applyBorder="1" applyAlignment="1">
      <alignment horizontal="right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10" fontId="20" fillId="3" borderId="0" xfId="0" applyNumberFormat="1" applyFont="1" applyFill="1" applyAlignment="1">
      <alignment horizontal="right" vertical="center" wrapText="1"/>
    </xf>
    <xf numFmtId="41" fontId="20" fillId="3" borderId="8" xfId="0" applyNumberFormat="1" applyFont="1" applyFill="1" applyBorder="1" applyAlignment="1">
      <alignment horizontal="right" vertical="center" wrapText="1"/>
    </xf>
    <xf numFmtId="41" fontId="5" fillId="0" borderId="0" xfId="2" applyFont="1" applyAlignment="1">
      <alignment horizontal="right" vertical="center"/>
    </xf>
    <xf numFmtId="41" fontId="5" fillId="0" borderId="8" xfId="2" applyFont="1" applyBorder="1" applyAlignment="1">
      <alignment horizontal="right" vertical="center"/>
    </xf>
    <xf numFmtId="166" fontId="2" fillId="0" borderId="0" xfId="0" applyNumberFormat="1" applyFont="1"/>
    <xf numFmtId="165" fontId="38" fillId="0" borderId="0" xfId="0" applyNumberFormat="1" applyFont="1" applyAlignment="1">
      <alignment horizontal="right" vertical="center" wrapText="1"/>
    </xf>
    <xf numFmtId="41" fontId="37" fillId="0" borderId="0" xfId="2" applyFont="1"/>
    <xf numFmtId="41" fontId="18" fillId="0" borderId="0" xfId="2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 indent="1"/>
    </xf>
    <xf numFmtId="3" fontId="10" fillId="0" borderId="0" xfId="0" applyNumberFormat="1" applyFont="1" applyAlignment="1">
      <alignment horizontal="right" vertical="center" wrapText="1"/>
    </xf>
    <xf numFmtId="3" fontId="10" fillId="0" borderId="9" xfId="0" applyNumberFormat="1" applyFont="1" applyBorder="1" applyAlignment="1">
      <alignment horizontal="right" vertical="center" wrapText="1"/>
    </xf>
    <xf numFmtId="0" fontId="56" fillId="0" borderId="0" xfId="0" applyFont="1" applyAlignment="1">
      <alignment horizontal="center" vertical="center"/>
    </xf>
    <xf numFmtId="14" fontId="56" fillId="0" borderId="0" xfId="0" applyNumberFormat="1" applyFont="1" applyAlignment="1">
      <alignment horizontal="center" vertical="center"/>
    </xf>
    <xf numFmtId="0" fontId="56" fillId="5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/>
    </xf>
    <xf numFmtId="3" fontId="17" fillId="5" borderId="1" xfId="0" applyNumberFormat="1" applyFont="1" applyFill="1" applyBorder="1" applyAlignment="1">
      <alignment horizontal="right" vertical="center" wrapText="1"/>
    </xf>
    <xf numFmtId="0" fontId="57" fillId="0" borderId="0" xfId="0" applyFont="1" applyAlignment="1">
      <alignment horizontal="center" vertical="center"/>
    </xf>
    <xf numFmtId="0" fontId="57" fillId="5" borderId="0" xfId="0" applyFont="1" applyFill="1" applyAlignment="1">
      <alignment horizontal="center" vertical="center"/>
    </xf>
    <xf numFmtId="0" fontId="37" fillId="3" borderId="0" xfId="0" applyFont="1" applyFill="1"/>
    <xf numFmtId="0" fontId="37" fillId="0" borderId="0" xfId="0" applyFont="1" applyAlignment="1">
      <alignment wrapText="1"/>
    </xf>
    <xf numFmtId="164" fontId="4" fillId="3" borderId="0" xfId="0" applyNumberFormat="1" applyFont="1" applyFill="1"/>
    <xf numFmtId="0" fontId="58" fillId="0" borderId="0" xfId="0" applyFont="1"/>
    <xf numFmtId="0" fontId="53" fillId="0" borderId="0" xfId="0" applyFont="1" applyAlignment="1">
      <alignment horizontal="left" vertical="center" wrapText="1"/>
    </xf>
    <xf numFmtId="0" fontId="61" fillId="0" borderId="0" xfId="0" applyFont="1"/>
    <xf numFmtId="0" fontId="61" fillId="0" borderId="1" xfId="0" applyFont="1" applyBorder="1"/>
    <xf numFmtId="0" fontId="61" fillId="0" borderId="5" xfId="0" applyFont="1" applyBorder="1"/>
    <xf numFmtId="0" fontId="61" fillId="0" borderId="0" xfId="0" applyFont="1" applyAlignment="1">
      <alignment horizontal="center"/>
    </xf>
    <xf numFmtId="0" fontId="61" fillId="0" borderId="0" xfId="0" applyFont="1" applyAlignment="1">
      <alignment wrapText="1"/>
    </xf>
    <xf numFmtId="166" fontId="61" fillId="0" borderId="0" xfId="0" applyNumberFormat="1" applyFont="1"/>
    <xf numFmtId="166" fontId="61" fillId="0" borderId="1" xfId="0" applyNumberFormat="1" applyFont="1" applyBorder="1"/>
    <xf numFmtId="166" fontId="61" fillId="0" borderId="5" xfId="0" applyNumberFormat="1" applyFont="1" applyBorder="1"/>
    <xf numFmtId="0" fontId="63" fillId="0" borderId="0" xfId="0" applyFont="1"/>
    <xf numFmtId="0" fontId="59" fillId="0" borderId="1" xfId="0" applyFont="1" applyBorder="1"/>
    <xf numFmtId="165" fontId="26" fillId="3" borderId="1" xfId="0" applyNumberFormat="1" applyFont="1" applyFill="1" applyBorder="1" applyAlignment="1">
      <alignment horizontal="right" vertical="center" wrapText="1"/>
    </xf>
    <xf numFmtId="165" fontId="10" fillId="3" borderId="1" xfId="0" applyNumberFormat="1" applyFont="1" applyFill="1" applyBorder="1" applyAlignment="1">
      <alignment horizontal="right" vertical="center" wrapText="1"/>
    </xf>
    <xf numFmtId="165" fontId="11" fillId="3" borderId="3" xfId="0" applyNumberFormat="1" applyFont="1" applyFill="1" applyBorder="1" applyAlignment="1">
      <alignment horizontal="right" vertical="center" wrapText="1"/>
    </xf>
    <xf numFmtId="14" fontId="24" fillId="3" borderId="0" xfId="0" applyNumberFormat="1" applyFont="1" applyFill="1" applyAlignment="1">
      <alignment horizontal="center" vertical="center" wrapText="1"/>
    </xf>
    <xf numFmtId="165" fontId="44" fillId="0" borderId="4" xfId="1" applyNumberFormat="1" applyFont="1" applyBorder="1" applyAlignment="1">
      <alignment horizontal="right" vertical="center" wrapText="1"/>
    </xf>
    <xf numFmtId="165" fontId="38" fillId="0" borderId="1" xfId="0" applyNumberFormat="1" applyFont="1" applyBorder="1" applyAlignment="1">
      <alignment horizontal="right" vertical="center" wrapText="1"/>
    </xf>
    <xf numFmtId="166" fontId="0" fillId="0" borderId="1" xfId="0" applyNumberFormat="1" applyBorder="1"/>
    <xf numFmtId="166" fontId="5" fillId="3" borderId="0" xfId="0" applyNumberFormat="1" applyFont="1" applyFill="1" applyAlignment="1">
      <alignment horizontal="right" vertical="center" wrapText="1"/>
    </xf>
    <xf numFmtId="41" fontId="20" fillId="3" borderId="8" xfId="2" applyFont="1" applyFill="1" applyBorder="1" applyAlignment="1">
      <alignment horizontal="right" vertical="center" wrapText="1"/>
    </xf>
    <xf numFmtId="41" fontId="5" fillId="3" borderId="0" xfId="2" applyFont="1" applyFill="1" applyAlignment="1">
      <alignment horizontal="right" vertical="center" wrapText="1"/>
    </xf>
    <xf numFmtId="165" fontId="17" fillId="3" borderId="9" xfId="0" applyNumberFormat="1" applyFont="1" applyFill="1" applyBorder="1" applyAlignment="1">
      <alignment vertical="center" wrapText="1"/>
    </xf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right" vertical="center" wrapText="1"/>
    </xf>
    <xf numFmtId="165" fontId="5" fillId="3" borderId="8" xfId="0" applyNumberFormat="1" applyFont="1" applyFill="1" applyBorder="1" applyAlignment="1">
      <alignment horizontal="right" vertical="center" wrapText="1"/>
    </xf>
    <xf numFmtId="165" fontId="17" fillId="3" borderId="8" xfId="0" applyNumberFormat="1" applyFont="1" applyFill="1" applyBorder="1" applyAlignment="1">
      <alignment horizontal="right" vertical="center" wrapText="1"/>
    </xf>
    <xf numFmtId="165" fontId="5" fillId="3" borderId="9" xfId="0" applyNumberFormat="1" applyFont="1" applyFill="1" applyBorder="1" applyAlignment="1">
      <alignment horizontal="right" vertical="center" wrapText="1"/>
    </xf>
    <xf numFmtId="0" fontId="37" fillId="3" borderId="0" xfId="0" applyFont="1" applyFill="1" applyAlignment="1">
      <alignment wrapText="1"/>
    </xf>
    <xf numFmtId="165" fontId="0" fillId="3" borderId="0" xfId="0" applyNumberFormat="1" applyFill="1"/>
    <xf numFmtId="165" fontId="20" fillId="3" borderId="0" xfId="1" applyNumberFormat="1" applyFont="1" applyFill="1" applyAlignment="1">
      <alignment horizontal="right" vertical="center" wrapText="1"/>
    </xf>
    <xf numFmtId="165" fontId="3" fillId="5" borderId="0" xfId="1" applyNumberFormat="1" applyFont="1" applyFill="1" applyAlignment="1">
      <alignment horizontal="right" vertical="center" wrapText="1"/>
    </xf>
    <xf numFmtId="165" fontId="20" fillId="3" borderId="9" xfId="0" applyNumberFormat="1" applyFont="1" applyFill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left" vertical="center" wrapText="1"/>
    </xf>
    <xf numFmtId="164" fontId="5" fillId="0" borderId="0" xfId="0" applyNumberFormat="1" applyFont="1" applyAlignment="1">
      <alignment horizontal="right" vertical="center" wrapText="1"/>
    </xf>
    <xf numFmtId="0" fontId="10" fillId="3" borderId="0" xfId="0" applyFont="1" applyFill="1" applyAlignment="1">
      <alignment horizontal="left" vertical="center" wrapText="1"/>
    </xf>
    <xf numFmtId="0" fontId="10" fillId="3" borderId="0" xfId="0" applyFont="1" applyFill="1" applyAlignment="1">
      <alignment horizontal="center" vertical="center" wrapText="1"/>
    </xf>
    <xf numFmtId="0" fontId="25" fillId="3" borderId="0" xfId="0" applyFont="1" applyFill="1" applyAlignment="1">
      <alignment wrapText="1"/>
    </xf>
    <xf numFmtId="165" fontId="25" fillId="3" borderId="0" xfId="0" applyNumberFormat="1" applyFont="1" applyFill="1"/>
    <xf numFmtId="0" fontId="65" fillId="0" borderId="0" xfId="0" applyFont="1" applyAlignment="1">
      <alignment horizontal="center" vertical="center"/>
    </xf>
    <xf numFmtId="41" fontId="1" fillId="0" borderId="0" xfId="2"/>
    <xf numFmtId="41" fontId="1" fillId="0" borderId="21" xfId="2" applyBorder="1"/>
    <xf numFmtId="0" fontId="64" fillId="0" borderId="0" xfId="0" applyFont="1" applyAlignment="1">
      <alignment vertical="center"/>
    </xf>
    <xf numFmtId="0" fontId="65" fillId="0" borderId="0" xfId="0" applyFont="1" applyAlignment="1">
      <alignment horizontal="left" vertical="center" indent="3"/>
    </xf>
    <xf numFmtId="0" fontId="3" fillId="0" borderId="0" xfId="0" applyFont="1" applyAlignment="1">
      <alignment vertical="center"/>
    </xf>
    <xf numFmtId="0" fontId="39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14" fontId="39" fillId="0" borderId="0" xfId="0" applyNumberFormat="1" applyFont="1" applyAlignment="1">
      <alignment horizontal="left" vertical="center" indent="2"/>
    </xf>
    <xf numFmtId="3" fontId="3" fillId="0" borderId="0" xfId="0" applyNumberFormat="1" applyFont="1" applyAlignment="1">
      <alignment horizontal="right" vertical="center" wrapText="1"/>
    </xf>
    <xf numFmtId="1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0" borderId="21" xfId="0" applyFont="1" applyBorder="1" applyAlignment="1">
      <alignment horizontal="left" vertical="center" indent="2"/>
    </xf>
    <xf numFmtId="3" fontId="3" fillId="0" borderId="21" xfId="0" applyNumberFormat="1" applyFont="1" applyBorder="1" applyAlignment="1">
      <alignment horizontal="right" vertical="center" indent="2"/>
    </xf>
    <xf numFmtId="3" fontId="3" fillId="0" borderId="0" xfId="0" applyNumberFormat="1" applyFont="1" applyAlignment="1">
      <alignment horizontal="right" vertical="center" indent="2"/>
    </xf>
    <xf numFmtId="9" fontId="3" fillId="0" borderId="0" xfId="0" applyNumberFormat="1" applyFont="1" applyAlignment="1">
      <alignment horizontal="right" vertical="center" indent="2"/>
    </xf>
    <xf numFmtId="9" fontId="3" fillId="0" borderId="21" xfId="0" applyNumberFormat="1" applyFont="1" applyBorder="1" applyAlignment="1">
      <alignment horizontal="right" vertical="center" indent="2"/>
    </xf>
    <xf numFmtId="3" fontId="3" fillId="0" borderId="21" xfId="0" applyNumberFormat="1" applyFont="1" applyBorder="1" applyAlignment="1">
      <alignment vertical="center"/>
    </xf>
    <xf numFmtId="0" fontId="10" fillId="3" borderId="0" xfId="0" applyFont="1" applyFill="1"/>
    <xf numFmtId="14" fontId="34" fillId="0" borderId="0" xfId="0" applyNumberFormat="1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20" fillId="0" borderId="8" xfId="0" applyFont="1" applyBorder="1" applyAlignment="1">
      <alignment horizontal="right" vertical="center"/>
    </xf>
    <xf numFmtId="0" fontId="10" fillId="5" borderId="22" xfId="0" applyFont="1" applyFill="1" applyBorder="1" applyAlignment="1">
      <alignment horizontal="justify" vertical="center" wrapText="1"/>
    </xf>
    <xf numFmtId="0" fontId="26" fillId="5" borderId="23" xfId="0" applyFont="1" applyFill="1" applyBorder="1" applyAlignment="1">
      <alignment horizontal="justify" vertical="center" wrapText="1"/>
    </xf>
    <xf numFmtId="0" fontId="26" fillId="5" borderId="14" xfId="0" applyFont="1" applyFill="1" applyBorder="1" applyAlignment="1">
      <alignment horizontal="justify" vertical="center" wrapText="1"/>
    </xf>
    <xf numFmtId="0" fontId="66" fillId="0" borderId="0" xfId="0" applyFont="1"/>
    <xf numFmtId="14" fontId="35" fillId="5" borderId="1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35" fillId="5" borderId="0" xfId="0" applyNumberFormat="1" applyFont="1" applyFill="1" applyAlignment="1">
      <alignment horizontal="center" vertical="center" wrapText="1"/>
    </xf>
    <xf numFmtId="0" fontId="20" fillId="5" borderId="7" xfId="0" applyFont="1" applyFill="1" applyBorder="1" applyAlignment="1">
      <alignment horizontal="left" vertical="center" wrapText="1"/>
    </xf>
    <xf numFmtId="0" fontId="0" fillId="0" borderId="7" xfId="0" applyBorder="1"/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9" fillId="5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26" fillId="5" borderId="0" xfId="0" applyFont="1" applyFill="1" applyAlignment="1">
      <alignment horizontal="left" vertical="center"/>
    </xf>
    <xf numFmtId="0" fontId="24" fillId="5" borderId="23" xfId="0" applyFont="1" applyFill="1" applyBorder="1" applyAlignment="1">
      <alignment horizontal="left" vertical="center"/>
    </xf>
    <xf numFmtId="0" fontId="26" fillId="3" borderId="19" xfId="0" applyFont="1" applyFill="1" applyBorder="1" applyAlignment="1">
      <alignment horizontal="left" vertical="center"/>
    </xf>
    <xf numFmtId="0" fontId="26" fillId="3" borderId="0" xfId="0" applyFont="1" applyFill="1" applyAlignment="1">
      <alignment horizontal="left" vertical="center"/>
    </xf>
    <xf numFmtId="0" fontId="26" fillId="3" borderId="20" xfId="0" applyFont="1" applyFill="1" applyBorder="1" applyAlignment="1">
      <alignment horizontal="left" vertical="center"/>
    </xf>
    <xf numFmtId="0" fontId="26" fillId="3" borderId="15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4" fillId="3" borderId="0" xfId="0" applyFont="1" applyFill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5" fillId="3" borderId="0" xfId="0" applyFont="1" applyFill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4" fontId="6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57" fillId="5" borderId="0" xfId="0" applyFont="1" applyFill="1" applyAlignment="1">
      <alignment horizontal="left" vertical="center"/>
    </xf>
    <xf numFmtId="0" fontId="67" fillId="3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68" fillId="0" borderId="0" xfId="0" applyFont="1" applyAlignment="1">
      <alignment horizontal="left" vertical="center"/>
    </xf>
    <xf numFmtId="0" fontId="69" fillId="0" borderId="0" xfId="0" applyFont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0" fillId="5" borderId="0" xfId="0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/>
    </xf>
    <xf numFmtId="14" fontId="20" fillId="3" borderId="0" xfId="0" applyNumberFormat="1" applyFont="1" applyFill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49" fillId="3" borderId="0" xfId="0" applyFont="1" applyFill="1" applyAlignment="1">
      <alignment horizontal="left" vertical="center"/>
    </xf>
    <xf numFmtId="0" fontId="47" fillId="5" borderId="0" xfId="0" applyFont="1" applyFill="1" applyAlignment="1">
      <alignment horizontal="left" vertical="center"/>
    </xf>
    <xf numFmtId="0" fontId="38" fillId="5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2" fillId="0" borderId="0" xfId="0" applyFont="1" applyAlignment="1">
      <alignment horizontal="left" vertical="center"/>
    </xf>
    <xf numFmtId="14" fontId="19" fillId="5" borderId="0" xfId="0" applyNumberFormat="1" applyFont="1" applyFill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14" fontId="34" fillId="0" borderId="0" xfId="0" applyNumberFormat="1" applyFont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59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61" fillId="0" borderId="5" xfId="0" applyFont="1" applyBorder="1" applyAlignment="1">
      <alignment horizontal="left" vertical="center"/>
    </xf>
    <xf numFmtId="0" fontId="61" fillId="0" borderId="0" xfId="0" applyFont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1" fillId="3" borderId="0" xfId="0" applyFont="1" applyFill="1" applyAlignment="1">
      <alignment horizontal="left" vertical="center"/>
    </xf>
    <xf numFmtId="164" fontId="5" fillId="0" borderId="0" xfId="0" applyNumberFormat="1" applyFont="1" applyAlignment="1">
      <alignment horizontal="center" vertical="center" wrapText="1"/>
    </xf>
    <xf numFmtId="0" fontId="5" fillId="0" borderId="0" xfId="0" quotePrefix="1" applyFont="1" applyAlignment="1">
      <alignment vertical="center" wrapText="1"/>
    </xf>
    <xf numFmtId="0" fontId="0" fillId="3" borderId="0" xfId="0" quotePrefix="1" applyFill="1" applyAlignment="1">
      <alignment horizontal="left" vertical="center"/>
    </xf>
    <xf numFmtId="164" fontId="5" fillId="0" borderId="0" xfId="1" applyNumberFormat="1" applyFont="1" applyAlignment="1">
      <alignment vertical="center" wrapText="1"/>
    </xf>
    <xf numFmtId="0" fontId="70" fillId="2" borderId="0" xfId="0" applyFont="1" applyFill="1"/>
    <xf numFmtId="14" fontId="0" fillId="0" borderId="0" xfId="0" applyNumberFormat="1" applyAlignment="1">
      <alignment vertical="center"/>
    </xf>
    <xf numFmtId="166" fontId="0" fillId="0" borderId="1" xfId="2" applyNumberFormat="1" applyFont="1" applyBorder="1"/>
    <xf numFmtId="0" fontId="0" fillId="0" borderId="21" xfId="0" applyBorder="1" applyAlignment="1">
      <alignment horizontal="left" vertical="center"/>
    </xf>
    <xf numFmtId="165" fontId="0" fillId="0" borderId="21" xfId="0" applyNumberFormat="1" applyBorder="1"/>
    <xf numFmtId="0" fontId="66" fillId="2" borderId="0" xfId="0" applyFont="1" applyFill="1" applyAlignment="1">
      <alignment horizontal="left" vertical="center"/>
    </xf>
    <xf numFmtId="0" fontId="71" fillId="2" borderId="0" xfId="0" applyFont="1" applyFill="1"/>
    <xf numFmtId="0" fontId="72" fillId="5" borderId="8" xfId="0" applyFont="1" applyFill="1" applyBorder="1" applyAlignment="1">
      <alignment horizontal="center" vertical="center" wrapText="1"/>
    </xf>
    <xf numFmtId="0" fontId="73" fillId="0" borderId="8" xfId="0" applyFont="1" applyBorder="1" applyAlignment="1">
      <alignment vertical="center" wrapText="1"/>
    </xf>
    <xf numFmtId="0" fontId="73" fillId="0" borderId="0" xfId="0" applyFont="1" applyAlignment="1">
      <alignment vertical="center"/>
    </xf>
    <xf numFmtId="0" fontId="73" fillId="0" borderId="0" xfId="0" applyFont="1" applyAlignment="1">
      <alignment horizontal="center" vertical="center"/>
    </xf>
    <xf numFmtId="0" fontId="73" fillId="5" borderId="0" xfId="0" applyFont="1" applyFill="1" applyAlignment="1">
      <alignment horizontal="right" vertical="center"/>
    </xf>
    <xf numFmtId="0" fontId="73" fillId="0" borderId="0" xfId="0" applyFont="1" applyAlignment="1">
      <alignment horizontal="right" vertical="center"/>
    </xf>
    <xf numFmtId="0" fontId="74" fillId="0" borderId="0" xfId="0" applyFont="1" applyAlignment="1">
      <alignment horizontal="right" vertical="center" wrapText="1"/>
    </xf>
    <xf numFmtId="0" fontId="73" fillId="5" borderId="8" xfId="0" applyFont="1" applyFill="1" applyBorder="1" applyAlignment="1">
      <alignment vertical="center"/>
    </xf>
    <xf numFmtId="0" fontId="73" fillId="5" borderId="8" xfId="0" applyFont="1" applyFill="1" applyBorder="1" applyAlignment="1">
      <alignment horizontal="center" vertical="center"/>
    </xf>
    <xf numFmtId="0" fontId="72" fillId="5" borderId="0" xfId="0" applyFont="1" applyFill="1" applyAlignment="1">
      <alignment vertical="center"/>
    </xf>
    <xf numFmtId="0" fontId="75" fillId="5" borderId="0" xfId="0" applyFont="1" applyFill="1" applyAlignment="1">
      <alignment vertical="center"/>
    </xf>
    <xf numFmtId="0" fontId="75" fillId="5" borderId="0" xfId="0" applyFont="1" applyFill="1" applyAlignment="1">
      <alignment horizontal="right" vertical="center"/>
    </xf>
    <xf numFmtId="0" fontId="75" fillId="5" borderId="8" xfId="0" applyFont="1" applyFill="1" applyBorder="1" applyAlignment="1">
      <alignment horizontal="right" vertical="center"/>
    </xf>
    <xf numFmtId="14" fontId="74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0" fontId="69" fillId="0" borderId="1" xfId="0" applyFont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3" fillId="3" borderId="21" xfId="0" applyFont="1" applyFill="1" applyBorder="1" applyAlignment="1">
      <alignment horizontal="left" vertical="center" indent="2"/>
    </xf>
    <xf numFmtId="0" fontId="76" fillId="0" borderId="0" xfId="0" applyFont="1"/>
    <xf numFmtId="0" fontId="18" fillId="0" borderId="0" xfId="0" applyFont="1" applyAlignment="1">
      <alignment horizontal="right" vertical="center"/>
    </xf>
    <xf numFmtId="0" fontId="36" fillId="5" borderId="0" xfId="0" applyFont="1" applyFill="1" applyAlignment="1">
      <alignment horizontal="right" vertical="center" wrapText="1"/>
    </xf>
    <xf numFmtId="0" fontId="17" fillId="0" borderId="0" xfId="0" applyFont="1" applyAlignment="1">
      <alignment horizontal="right" vertical="center"/>
    </xf>
    <xf numFmtId="0" fontId="76" fillId="5" borderId="0" xfId="0" applyFont="1" applyFill="1" applyAlignment="1">
      <alignment vertical="center" wrapText="1"/>
    </xf>
    <xf numFmtId="0" fontId="17" fillId="0" borderId="10" xfId="0" applyFont="1" applyBorder="1" applyAlignment="1">
      <alignment horizontal="right" vertical="center"/>
    </xf>
    <xf numFmtId="0" fontId="78" fillId="0" borderId="0" xfId="0" applyFont="1" applyAlignment="1">
      <alignment horizontal="justify" vertical="center"/>
    </xf>
    <xf numFmtId="0" fontId="79" fillId="0" borderId="0" xfId="0" applyFont="1" applyAlignment="1">
      <alignment horizontal="justify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6" fillId="0" borderId="0" xfId="0" applyFont="1" applyAlignment="1">
      <alignment vertical="center"/>
    </xf>
    <xf numFmtId="3" fontId="17" fillId="0" borderId="10" xfId="0" applyNumberFormat="1" applyFont="1" applyBorder="1" applyAlignment="1">
      <alignment horizontal="right" vertical="center"/>
    </xf>
    <xf numFmtId="0" fontId="26" fillId="0" borderId="0" xfId="0" applyFont="1" applyAlignment="1">
      <alignment horizontal="left" vertical="center" wrapText="1" indent="1"/>
    </xf>
    <xf numFmtId="0" fontId="7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55" fillId="0" borderId="0" xfId="0" applyFont="1" applyAlignment="1">
      <alignment vertical="center" wrapText="1"/>
    </xf>
    <xf numFmtId="0" fontId="26" fillId="0" borderId="8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14" fontId="55" fillId="0" borderId="0" xfId="0" applyNumberFormat="1" applyFont="1" applyAlignment="1">
      <alignment vertical="center" wrapText="1"/>
    </xf>
    <xf numFmtId="0" fontId="10" fillId="0" borderId="9" xfId="0" applyFont="1" applyBorder="1" applyAlignment="1">
      <alignment vertical="center" wrapText="1"/>
    </xf>
    <xf numFmtId="3" fontId="26" fillId="0" borderId="9" xfId="0" applyNumberFormat="1" applyFont="1" applyBorder="1" applyAlignment="1">
      <alignment vertical="center" wrapText="1"/>
    </xf>
    <xf numFmtId="3" fontId="26" fillId="0" borderId="8" xfId="0" applyNumberFormat="1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8" fillId="2" borderId="0" xfId="0" applyFont="1" applyFill="1" applyAlignment="1">
      <alignment horizontal="justify" vertical="center"/>
    </xf>
    <xf numFmtId="166" fontId="17" fillId="0" borderId="0" xfId="0" applyNumberFormat="1" applyFont="1" applyAlignment="1">
      <alignment vertical="center" wrapText="1"/>
    </xf>
    <xf numFmtId="41" fontId="5" fillId="0" borderId="0" xfId="0" applyNumberFormat="1" applyFont="1" applyAlignment="1">
      <alignment horizontal="right" vertical="center" wrapText="1"/>
    </xf>
    <xf numFmtId="0" fontId="5" fillId="0" borderId="1" xfId="0" applyFont="1" applyBorder="1" applyAlignment="1">
      <alignment horizontal="center" vertical="center" wrapText="1"/>
    </xf>
    <xf numFmtId="41" fontId="5" fillId="0" borderId="1" xfId="0" applyNumberFormat="1" applyFont="1" applyBorder="1" applyAlignment="1">
      <alignment horizontal="right" vertical="center" wrapText="1"/>
    </xf>
    <xf numFmtId="0" fontId="17" fillId="0" borderId="0" xfId="0" applyFont="1" applyAlignment="1">
      <alignment horizontal="left" vertical="center" wrapText="1" indent="1"/>
    </xf>
    <xf numFmtId="0" fontId="17" fillId="0" borderId="1" xfId="0" applyFont="1" applyBorder="1" applyAlignment="1">
      <alignment horizontal="center" vertical="center" wrapText="1"/>
    </xf>
    <xf numFmtId="41" fontId="5" fillId="0" borderId="1" xfId="2" applyFont="1" applyBorder="1" applyAlignment="1">
      <alignment horizontal="left" vertical="center" wrapText="1"/>
    </xf>
    <xf numFmtId="0" fontId="17" fillId="0" borderId="21" xfId="0" applyFont="1" applyBorder="1" applyAlignment="1">
      <alignment horizontal="left" vertical="center" wrapText="1"/>
    </xf>
    <xf numFmtId="41" fontId="5" fillId="0" borderId="21" xfId="2" applyFont="1" applyBorder="1" applyAlignment="1">
      <alignment horizontal="right" vertical="center" wrapText="1"/>
    </xf>
    <xf numFmtId="41" fontId="5" fillId="0" borderId="21" xfId="0" applyNumberFormat="1" applyFont="1" applyBorder="1" applyAlignment="1">
      <alignment horizontal="right" vertical="center" wrapText="1"/>
    </xf>
    <xf numFmtId="0" fontId="77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left" vertical="center" wrapText="1"/>
    </xf>
    <xf numFmtId="0" fontId="78" fillId="0" borderId="0" xfId="0" applyFont="1" applyAlignment="1">
      <alignment vertical="center"/>
    </xf>
    <xf numFmtId="0" fontId="20" fillId="0" borderId="9" xfId="0" applyFont="1" applyBorder="1" applyAlignment="1">
      <alignment horizontal="right" vertical="center"/>
    </xf>
    <xf numFmtId="0" fontId="20" fillId="0" borderId="9" xfId="0" applyFont="1" applyBorder="1" applyAlignment="1">
      <alignment vertical="center"/>
    </xf>
    <xf numFmtId="0" fontId="20" fillId="0" borderId="0" xfId="0" applyFont="1" applyAlignment="1">
      <alignment horizontal="right" vertical="center"/>
    </xf>
    <xf numFmtId="14" fontId="20" fillId="0" borderId="0" xfId="0" applyNumberFormat="1" applyFont="1" applyAlignment="1">
      <alignment horizontal="right" vertical="center"/>
    </xf>
    <xf numFmtId="0" fontId="20" fillId="0" borderId="8" xfId="0" applyFont="1" applyBorder="1" applyAlignment="1">
      <alignment vertical="center"/>
    </xf>
    <xf numFmtId="14" fontId="20" fillId="0" borderId="8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vertical="center" wrapText="1"/>
    </xf>
    <xf numFmtId="3" fontId="20" fillId="0" borderId="7" xfId="0" applyNumberFormat="1" applyFont="1" applyBorder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8" xfId="0" applyNumberFormat="1" applyFont="1" applyBorder="1" applyAlignment="1">
      <alignment vertical="center"/>
    </xf>
    <xf numFmtId="0" fontId="76" fillId="0" borderId="7" xfId="0" applyFont="1" applyBorder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20" fillId="0" borderId="9" xfId="0" applyFont="1" applyBorder="1" applyAlignment="1">
      <alignment vertical="top" wrapText="1"/>
    </xf>
    <xf numFmtId="0" fontId="8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2"/>
    </xf>
    <xf numFmtId="3" fontId="3" fillId="0" borderId="0" xfId="0" applyNumberFormat="1" applyFon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5" fillId="0" borderId="0" xfId="0" applyFont="1" applyAlignment="1">
      <alignment horizontal="left" vertical="center" wrapText="1" indent="1"/>
    </xf>
    <xf numFmtId="0" fontId="0" fillId="0" borderId="0" xfId="0"/>
    <xf numFmtId="0" fontId="19" fillId="0" borderId="0" xfId="0" applyFont="1" applyAlignment="1">
      <alignment horizontal="left" vertical="center" wrapText="1" indent="5"/>
    </xf>
    <xf numFmtId="14" fontId="0" fillId="0" borderId="13" xfId="0" applyNumberFormat="1" applyBorder="1" applyAlignment="1">
      <alignment horizontal="left" vertical="center"/>
    </xf>
    <xf numFmtId="0" fontId="0" fillId="0" borderId="21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1" fillId="3" borderId="0" xfId="0" applyFont="1" applyFill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left" vertical="center" wrapText="1" indent="5"/>
    </xf>
    <xf numFmtId="0" fontId="10" fillId="0" borderId="0" xfId="0" applyFont="1"/>
    <xf numFmtId="0" fontId="2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4" fontId="32" fillId="0" borderId="0" xfId="0" applyNumberFormat="1" applyFont="1" applyAlignment="1">
      <alignment horizontal="center" vertical="center" wrapText="1"/>
    </xf>
    <xf numFmtId="165" fontId="20" fillId="3" borderId="0" xfId="0" applyNumberFormat="1" applyFont="1" applyFill="1" applyAlignment="1">
      <alignment horizontal="right" vertical="center" wrapText="1"/>
    </xf>
    <xf numFmtId="0" fontId="20" fillId="5" borderId="0" xfId="0" applyFont="1" applyFill="1" applyAlignment="1">
      <alignment horizontal="justify" vertical="center" wrapText="1"/>
    </xf>
    <xf numFmtId="0" fontId="20" fillId="5" borderId="0" xfId="0" applyFont="1" applyFill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8" fillId="0" borderId="0" xfId="0" applyFont="1" applyAlignment="1">
      <alignment horizontal="left" vertical="center"/>
    </xf>
    <xf numFmtId="0" fontId="20" fillId="0" borderId="7" xfId="0" applyFont="1" applyBorder="1" applyAlignment="1">
      <alignment horizontal="center" vertical="center" wrapText="1"/>
    </xf>
    <xf numFmtId="0" fontId="0" fillId="0" borderId="7" xfId="0" applyBorder="1"/>
    <xf numFmtId="0" fontId="3" fillId="0" borderId="7" xfId="0" applyFont="1" applyBorder="1" applyAlignment="1">
      <alignment horizontal="right" vertical="center" wrapText="1"/>
    </xf>
    <xf numFmtId="0" fontId="26" fillId="0" borderId="0" xfId="0" applyFont="1" applyAlignment="1">
      <alignment horizontal="left" vertical="center" wrapText="1"/>
    </xf>
    <xf numFmtId="0" fontId="5" fillId="0" borderId="0" xfId="0" applyFont="1" applyAlignment="1">
      <alignment horizontal="justify" vertical="center" wrapText="1"/>
    </xf>
    <xf numFmtId="0" fontId="5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left" vertical="center" wrapText="1" indent="4"/>
    </xf>
    <xf numFmtId="0" fontId="17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 vertical="center" wrapText="1"/>
    </xf>
  </cellXfs>
  <cellStyles count="21">
    <cellStyle name="A3 297 x 420 mm" xfId="7" xr:uid="{00000000-0005-0000-0000-00000A000000}"/>
    <cellStyle name="Comma [0] 3" xfId="6" xr:uid="{00000000-0005-0000-0000-000007000000}"/>
    <cellStyle name="Comma_AF_CONTI_122003" xfId="11" xr:uid="{00000000-0005-0000-0000-000010000000}"/>
    <cellStyle name="Millares" xfId="1" builtinId="3"/>
    <cellStyle name="Millares [0]" xfId="2" builtinId="6"/>
    <cellStyle name="Millares [0] 2" xfId="20" xr:uid="{00000000-0005-0000-0000-00001B000000}"/>
    <cellStyle name="Millares [0] 2 9" xfId="10" xr:uid="{00000000-0005-0000-0000-00000F000000}"/>
    <cellStyle name="Millares [0] 3" xfId="18" xr:uid="{00000000-0005-0000-0000-000019000000}"/>
    <cellStyle name="Millares [0] 4" xfId="19" xr:uid="{00000000-0005-0000-0000-00001A000000}"/>
    <cellStyle name="Millares 38" xfId="12" xr:uid="{00000000-0005-0000-0000-000011000000}"/>
    <cellStyle name="Normal" xfId="0" builtinId="0"/>
    <cellStyle name="Normal 133" xfId="13" xr:uid="{00000000-0005-0000-0000-000012000000}"/>
    <cellStyle name="Normal 2 3" xfId="5" xr:uid="{00000000-0005-0000-0000-000006000000}"/>
    <cellStyle name="Normal 262" xfId="15" xr:uid="{00000000-0005-0000-0000-000014000000}"/>
    <cellStyle name="Normal 269 5" xfId="14" xr:uid="{00000000-0005-0000-0000-000013000000}"/>
    <cellStyle name="Normal 4" xfId="4" xr:uid="{00000000-0005-0000-0000-000005000000}"/>
    <cellStyle name="Normal 5" xfId="16" xr:uid="{00000000-0005-0000-0000-000017000000}"/>
    <cellStyle name="Normal 7 4 3 2" xfId="8" xr:uid="{00000000-0005-0000-0000-00000C000000}"/>
    <cellStyle name="Percent 2" xfId="17" xr:uid="{00000000-0005-0000-0000-000018000000}"/>
    <cellStyle name="Porcentaje" xfId="3" builtinId="5"/>
    <cellStyle name="Porcentaje 10" xfId="9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3:F35"/>
  <sheetViews>
    <sheetView showGridLines="0" tabSelected="1" zoomScale="80" zoomScaleNormal="80" workbookViewId="0">
      <selection activeCell="H15" sqref="H15"/>
    </sheetView>
  </sheetViews>
  <sheetFormatPr baseColWidth="10" defaultRowHeight="14.4" x14ac:dyDescent="0.3"/>
  <cols>
    <col min="1" max="1" width="27.6640625" customWidth="1"/>
    <col min="2" max="2" width="18.88671875" customWidth="1"/>
    <col min="3" max="3" width="17.88671875" customWidth="1"/>
    <col min="4" max="4" width="15.88671875" bestFit="1" customWidth="1"/>
    <col min="5" max="5" width="17.77734375" bestFit="1" customWidth="1"/>
    <col min="6" max="6" width="14.21875" bestFit="1" customWidth="1"/>
    <col min="7" max="7" width="12.5546875" bestFit="1" customWidth="1"/>
    <col min="8" max="8" width="14.5546875" bestFit="1" customWidth="1"/>
  </cols>
  <sheetData>
    <row r="3" spans="1:6" x14ac:dyDescent="0.3">
      <c r="A3" s="451" t="s">
        <v>552</v>
      </c>
      <c r="B3" s="531"/>
      <c r="C3" s="531"/>
      <c r="D3" s="531"/>
      <c r="F3" s="531"/>
    </row>
    <row r="4" spans="1:6" x14ac:dyDescent="0.3">
      <c r="B4" s="307" t="s">
        <v>55</v>
      </c>
      <c r="C4" s="388">
        <v>46022</v>
      </c>
      <c r="D4" s="303"/>
      <c r="F4" s="303"/>
    </row>
    <row r="5" spans="1:6" x14ac:dyDescent="0.3">
      <c r="A5" s="386" t="s">
        <v>56</v>
      </c>
      <c r="B5" s="303" t="s">
        <v>6</v>
      </c>
      <c r="C5" s="303" t="s">
        <v>6</v>
      </c>
      <c r="D5" s="303"/>
      <c r="F5" s="303"/>
    </row>
    <row r="6" spans="1:6" ht="24" customHeight="1" x14ac:dyDescent="0.3">
      <c r="A6" s="386" t="s">
        <v>57</v>
      </c>
      <c r="B6" s="4"/>
      <c r="C6" s="3"/>
    </row>
    <row r="7" spans="1:6" x14ac:dyDescent="0.3">
      <c r="A7" s="386" t="s">
        <v>58</v>
      </c>
      <c r="B7" s="4"/>
      <c r="C7" s="3"/>
    </row>
    <row r="8" spans="1:6" ht="15.75" customHeight="1" x14ac:dyDescent="0.3">
      <c r="A8" s="386" t="s">
        <v>59</v>
      </c>
      <c r="B8" s="4"/>
      <c r="C8" s="3"/>
    </row>
    <row r="9" spans="1:6" ht="15.75" customHeight="1" x14ac:dyDescent="0.3">
      <c r="A9" s="386" t="s">
        <v>60</v>
      </c>
      <c r="B9" s="4"/>
      <c r="C9" s="3"/>
    </row>
    <row r="10" spans="1:6" x14ac:dyDescent="0.3">
      <c r="A10" s="386" t="s">
        <v>61</v>
      </c>
      <c r="B10" s="11"/>
      <c r="C10" s="20"/>
    </row>
    <row r="11" spans="1:6" ht="15" customHeight="1" thickBot="1" x14ac:dyDescent="0.35">
      <c r="A11" s="386" t="s">
        <v>62</v>
      </c>
      <c r="B11" s="12">
        <f>SUM(B6:B10)</f>
        <v>0</v>
      </c>
      <c r="C11" s="12">
        <f>SUM(C6:C10)</f>
        <v>0</v>
      </c>
    </row>
    <row r="12" spans="1:6" ht="15" customHeight="1" thickTop="1" x14ac:dyDescent="0.3">
      <c r="B12" s="4"/>
    </row>
    <row r="13" spans="1:6" ht="15" customHeight="1" x14ac:dyDescent="0.3">
      <c r="A13" s="451" t="s">
        <v>553</v>
      </c>
      <c r="B13" s="4"/>
    </row>
    <row r="14" spans="1:6" x14ac:dyDescent="0.3">
      <c r="A14" s="386" t="s">
        <v>63</v>
      </c>
      <c r="B14" s="307" t="s">
        <v>55</v>
      </c>
      <c r="C14" s="388">
        <v>46022</v>
      </c>
    </row>
    <row r="15" spans="1:6" s="4" customFormat="1" x14ac:dyDescent="0.3">
      <c r="A15" s="298"/>
      <c r="B15" s="299" t="s">
        <v>6</v>
      </c>
      <c r="C15" s="299" t="s">
        <v>6</v>
      </c>
    </row>
    <row r="16" spans="1:6" x14ac:dyDescent="0.3">
      <c r="A16" s="389" t="s">
        <v>56</v>
      </c>
      <c r="B16" s="13"/>
      <c r="C16" s="13"/>
    </row>
    <row r="17" spans="1:5" x14ac:dyDescent="0.3">
      <c r="A17" s="390" t="s">
        <v>64</v>
      </c>
      <c r="B17" s="15"/>
    </row>
    <row r="18" spans="1:5" x14ac:dyDescent="0.3">
      <c r="A18" s="390" t="s">
        <v>65</v>
      </c>
      <c r="B18" s="15"/>
    </row>
    <row r="19" spans="1:5" x14ac:dyDescent="0.3">
      <c r="A19" s="390" t="s">
        <v>66</v>
      </c>
      <c r="B19" s="11"/>
      <c r="C19" s="11"/>
    </row>
    <row r="20" spans="1:5" ht="15" customHeight="1" thickBot="1" x14ac:dyDescent="0.35">
      <c r="A20" s="390" t="s">
        <v>62</v>
      </c>
      <c r="B20" s="12">
        <f>SUM(B17:B19)</f>
        <v>0</v>
      </c>
      <c r="C20" s="12">
        <f>SUM(C17:C19)</f>
        <v>0</v>
      </c>
    </row>
    <row r="21" spans="1:5" ht="15" customHeight="1" thickTop="1" x14ac:dyDescent="0.3"/>
    <row r="23" spans="1:5" x14ac:dyDescent="0.3">
      <c r="A23" s="451" t="s">
        <v>663</v>
      </c>
    </row>
    <row r="24" spans="1:5" x14ac:dyDescent="0.3">
      <c r="A24" t="s">
        <v>67</v>
      </c>
    </row>
    <row r="26" spans="1:5" ht="14.4" customHeight="1" x14ac:dyDescent="0.3">
      <c r="A26" s="306" t="s">
        <v>56</v>
      </c>
      <c r="B26" s="306" t="s">
        <v>68</v>
      </c>
      <c r="C26" s="391" t="s">
        <v>69</v>
      </c>
      <c r="D26" s="307" t="s">
        <v>55</v>
      </c>
      <c r="E26" s="530">
        <v>46022</v>
      </c>
    </row>
    <row r="27" spans="1:5" x14ac:dyDescent="0.3">
      <c r="D27" s="14" t="s">
        <v>6</v>
      </c>
      <c r="E27" s="14" t="s">
        <v>6</v>
      </c>
    </row>
    <row r="28" spans="1:5" x14ac:dyDescent="0.3">
      <c r="A28" s="233" t="s">
        <v>61</v>
      </c>
      <c r="B28" s="1"/>
      <c r="D28" s="450"/>
      <c r="E28" s="21"/>
    </row>
    <row r="29" spans="1:5" x14ac:dyDescent="0.3">
      <c r="A29" s="233" t="s">
        <v>61</v>
      </c>
      <c r="B29" s="1"/>
      <c r="D29" s="21"/>
      <c r="E29" s="450"/>
    </row>
    <row r="30" spans="1:5" x14ac:dyDescent="0.3">
      <c r="A30" s="233" t="s">
        <v>61</v>
      </c>
      <c r="B30" s="1"/>
      <c r="D30" s="450"/>
      <c r="E30" s="450"/>
    </row>
    <row r="31" spans="1:5" x14ac:dyDescent="0.3">
      <c r="A31" s="233" t="s">
        <v>61</v>
      </c>
      <c r="B31" s="1"/>
      <c r="D31" s="450"/>
      <c r="E31" s="450"/>
    </row>
    <row r="32" spans="1:5" x14ac:dyDescent="0.3">
      <c r="A32" s="233" t="s">
        <v>61</v>
      </c>
      <c r="B32" s="1"/>
      <c r="D32" s="450"/>
      <c r="E32" s="450"/>
    </row>
    <row r="33" spans="1:5" ht="15" customHeight="1" thickBot="1" x14ac:dyDescent="0.35">
      <c r="A33" s="233" t="s">
        <v>61</v>
      </c>
      <c r="B33" s="1"/>
      <c r="D33" s="450"/>
      <c r="E33" s="450"/>
    </row>
    <row r="34" spans="1:5" ht="15" customHeight="1" thickBot="1" x14ac:dyDescent="0.35">
      <c r="A34" s="233" t="s">
        <v>62</v>
      </c>
      <c r="B34" s="19"/>
      <c r="D34" s="22">
        <f>SUM(D28:D33)</f>
        <v>0</v>
      </c>
      <c r="E34" s="22">
        <f>SUM(E28:E33)</f>
        <v>0</v>
      </c>
    </row>
    <row r="35" spans="1:5" x14ac:dyDescent="0.3">
      <c r="D35" s="23"/>
    </row>
  </sheetData>
  <mergeCells count="4">
    <mergeCell ref="B3"/>
    <mergeCell ref="D3"/>
    <mergeCell ref="C3"/>
    <mergeCell ref="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C7"/>
  <sheetViews>
    <sheetView showGridLines="0" workbookViewId="0">
      <selection activeCell="A3" sqref="A1:XFD3"/>
    </sheetView>
  </sheetViews>
  <sheetFormatPr baseColWidth="10" defaultRowHeight="14.4" x14ac:dyDescent="0.3"/>
  <cols>
    <col min="1" max="1" width="38.5546875" customWidth="1"/>
    <col min="2" max="2" width="11.77734375" bestFit="1" customWidth="1"/>
    <col min="3" max="3" width="17.21875" bestFit="1" customWidth="1"/>
  </cols>
  <sheetData>
    <row r="1" spans="1:3" x14ac:dyDescent="0.3">
      <c r="A1" s="532"/>
      <c r="B1" s="533"/>
      <c r="C1" s="58"/>
    </row>
    <row r="2" spans="1:3" x14ac:dyDescent="0.3">
      <c r="A2" s="451" t="s">
        <v>554</v>
      </c>
      <c r="B2" s="301"/>
      <c r="C2" s="301"/>
    </row>
    <row r="3" spans="1:3" x14ac:dyDescent="0.3">
      <c r="A3" s="300"/>
      <c r="B3" s="307" t="s">
        <v>55</v>
      </c>
      <c r="C3" s="388">
        <v>46022</v>
      </c>
    </row>
    <row r="4" spans="1:3" x14ac:dyDescent="0.3">
      <c r="B4" s="58" t="s">
        <v>6</v>
      </c>
      <c r="C4" s="58" t="s">
        <v>6</v>
      </c>
    </row>
    <row r="5" spans="1:3" x14ac:dyDescent="0.3">
      <c r="A5" s="392" t="s">
        <v>56</v>
      </c>
    </row>
    <row r="6" spans="1:3" ht="15" customHeight="1" thickBot="1" x14ac:dyDescent="0.35">
      <c r="A6" s="300" t="s">
        <v>70</v>
      </c>
      <c r="B6" s="301"/>
      <c r="C6" s="301"/>
    </row>
    <row r="7" spans="1:3" ht="15" customHeight="1" thickBot="1" x14ac:dyDescent="0.35">
      <c r="A7" s="300" t="s">
        <v>62</v>
      </c>
      <c r="B7" s="302"/>
      <c r="C7" s="302"/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97558519241921"/>
  </sheetPr>
  <dimension ref="B2:D45"/>
  <sheetViews>
    <sheetView showGridLines="0" topLeftCell="A16" zoomScale="90" zoomScaleNormal="90" workbookViewId="0">
      <selection activeCell="F13" sqref="F13"/>
    </sheetView>
  </sheetViews>
  <sheetFormatPr baseColWidth="10" defaultRowHeight="14.4" x14ac:dyDescent="0.3"/>
  <cols>
    <col min="2" max="2" width="38.109375" customWidth="1"/>
    <col min="3" max="3" width="14.33203125" customWidth="1"/>
    <col min="4" max="4" width="18.109375" bestFit="1" customWidth="1"/>
    <col min="5" max="5" width="14" customWidth="1"/>
    <col min="6" max="6" width="15.77734375" bestFit="1" customWidth="1"/>
    <col min="7" max="7" width="9.44140625" bestFit="1" customWidth="1"/>
  </cols>
  <sheetData>
    <row r="2" spans="2:4" x14ac:dyDescent="0.3">
      <c r="B2" s="451" t="s">
        <v>555</v>
      </c>
      <c r="C2" s="303"/>
      <c r="D2" s="303"/>
    </row>
    <row r="3" spans="2:4" x14ac:dyDescent="0.3">
      <c r="C3" s="307" t="s">
        <v>55</v>
      </c>
      <c r="D3" s="388">
        <v>46022</v>
      </c>
    </row>
    <row r="4" spans="2:4" x14ac:dyDescent="0.3">
      <c r="B4" s="387" t="s">
        <v>56</v>
      </c>
      <c r="C4" s="303" t="s">
        <v>6</v>
      </c>
      <c r="D4" s="303" t="s">
        <v>6</v>
      </c>
    </row>
    <row r="6" spans="2:4" x14ac:dyDescent="0.3">
      <c r="B6" s="386" t="s">
        <v>71</v>
      </c>
      <c r="C6" s="25"/>
      <c r="D6" s="25"/>
    </row>
    <row r="7" spans="2:4" x14ac:dyDescent="0.3">
      <c r="B7" s="386" t="s">
        <v>72</v>
      </c>
      <c r="C7" s="26"/>
      <c r="D7" s="26"/>
    </row>
    <row r="8" spans="2:4" x14ac:dyDescent="0.3">
      <c r="B8" s="386" t="s">
        <v>73</v>
      </c>
      <c r="C8" s="25">
        <f>SUM(C6:C7)</f>
        <v>0</v>
      </c>
      <c r="D8" s="25">
        <f>SUM(D6:D7)</f>
        <v>0</v>
      </c>
    </row>
    <row r="9" spans="2:4" ht="11.25" customHeight="1" x14ac:dyDescent="0.3">
      <c r="C9" s="25"/>
      <c r="D9" s="25"/>
    </row>
    <row r="10" spans="2:4" x14ac:dyDescent="0.3">
      <c r="B10" s="386" t="s">
        <v>74</v>
      </c>
      <c r="C10" s="25"/>
      <c r="D10" s="25"/>
    </row>
    <row r="11" spans="2:4" x14ac:dyDescent="0.3">
      <c r="B11" s="386" t="s">
        <v>75</v>
      </c>
      <c r="C11" s="25"/>
      <c r="D11" s="25"/>
    </row>
    <row r="12" spans="2:4" x14ac:dyDescent="0.3">
      <c r="B12" s="386" t="s">
        <v>76</v>
      </c>
      <c r="C12" s="25"/>
      <c r="D12" s="25"/>
    </row>
    <row r="13" spans="2:4" x14ac:dyDescent="0.3">
      <c r="B13" s="386" t="s">
        <v>77</v>
      </c>
      <c r="C13" s="25"/>
      <c r="D13" s="25"/>
    </row>
    <row r="14" spans="2:4" x14ac:dyDescent="0.3">
      <c r="B14" s="386" t="s">
        <v>78</v>
      </c>
      <c r="C14" s="25"/>
      <c r="D14" s="25"/>
    </row>
    <row r="15" spans="2:4" ht="15" customHeight="1" thickBot="1" x14ac:dyDescent="0.35">
      <c r="B15" s="387" t="s">
        <v>62</v>
      </c>
      <c r="C15" s="27">
        <f>SUM(C8:C14)</f>
        <v>0</v>
      </c>
      <c r="D15" s="27">
        <f>SUM(D8:D14)</f>
        <v>0</v>
      </c>
    </row>
    <row r="16" spans="2:4" ht="15" customHeight="1" thickTop="1" x14ac:dyDescent="0.3"/>
    <row r="19" spans="2:4" x14ac:dyDescent="0.3">
      <c r="B19" s="451" t="s">
        <v>556</v>
      </c>
      <c r="C19" s="305"/>
      <c r="D19" s="305"/>
    </row>
    <row r="20" spans="2:4" ht="23.25" customHeight="1" x14ac:dyDescent="0.3">
      <c r="B20" s="393" t="s">
        <v>79</v>
      </c>
      <c r="C20" s="307" t="s">
        <v>55</v>
      </c>
      <c r="D20" s="388">
        <v>46022</v>
      </c>
    </row>
    <row r="21" spans="2:4" x14ac:dyDescent="0.3">
      <c r="B21" s="30"/>
      <c r="C21" s="304" t="s">
        <v>6</v>
      </c>
      <c r="D21" s="304" t="s">
        <v>6</v>
      </c>
    </row>
    <row r="22" spans="2:4" x14ac:dyDescent="0.3">
      <c r="B22" s="32"/>
      <c r="C22" s="33"/>
      <c r="D22" s="33"/>
    </row>
    <row r="23" spans="2:4" x14ac:dyDescent="0.3">
      <c r="B23" s="32"/>
      <c r="C23" s="33"/>
      <c r="D23" s="33"/>
    </row>
    <row r="24" spans="2:4" x14ac:dyDescent="0.3">
      <c r="B24" s="394" t="s">
        <v>80</v>
      </c>
      <c r="C24" s="164"/>
      <c r="D24" s="39"/>
    </row>
    <row r="25" spans="2:4" x14ac:dyDescent="0.3">
      <c r="B25" s="394" t="s">
        <v>81</v>
      </c>
      <c r="C25" s="164"/>
      <c r="D25" s="39"/>
    </row>
    <row r="26" spans="2:4" x14ac:dyDescent="0.3">
      <c r="B26" s="394" t="s">
        <v>82</v>
      </c>
      <c r="C26" s="164"/>
      <c r="D26" s="39"/>
    </row>
    <row r="27" spans="2:4" x14ac:dyDescent="0.3">
      <c r="B27" s="394" t="s">
        <v>83</v>
      </c>
      <c r="C27" s="164"/>
      <c r="D27" s="39"/>
    </row>
    <row r="28" spans="2:4" x14ac:dyDescent="0.3">
      <c r="B28" s="394" t="s">
        <v>84</v>
      </c>
      <c r="C28" s="164"/>
      <c r="D28" s="39"/>
    </row>
    <row r="29" spans="2:4" x14ac:dyDescent="0.3">
      <c r="B29" s="394" t="s">
        <v>85</v>
      </c>
      <c r="C29" s="164"/>
      <c r="D29" s="39"/>
    </row>
    <row r="30" spans="2:4" ht="15" customHeight="1" thickBot="1" x14ac:dyDescent="0.35">
      <c r="B30" s="394" t="s">
        <v>86</v>
      </c>
      <c r="C30" s="40"/>
      <c r="D30" s="40"/>
    </row>
    <row r="31" spans="2:4" ht="15" customHeight="1" thickBot="1" x14ac:dyDescent="0.35">
      <c r="B31" s="394" t="s">
        <v>87</v>
      </c>
      <c r="C31" s="35">
        <f>SUM(C24:C30)</f>
        <v>0</v>
      </c>
      <c r="D31" s="35">
        <f>SUM(D24:D30)</f>
        <v>0</v>
      </c>
    </row>
    <row r="34" spans="2:4" x14ac:dyDescent="0.3">
      <c r="B34" s="451" t="s">
        <v>557</v>
      </c>
    </row>
    <row r="35" spans="2:4" x14ac:dyDescent="0.3">
      <c r="B35" t="s">
        <v>88</v>
      </c>
    </row>
    <row r="37" spans="2:4" x14ac:dyDescent="0.3">
      <c r="C37" s="307" t="s">
        <v>55</v>
      </c>
      <c r="D37" s="388">
        <v>46022</v>
      </c>
    </row>
    <row r="38" spans="2:4" x14ac:dyDescent="0.3">
      <c r="B38" s="32"/>
      <c r="C38" s="304" t="s">
        <v>6</v>
      </c>
      <c r="D38" s="304" t="s">
        <v>6</v>
      </c>
    </row>
    <row r="39" spans="2:4" x14ac:dyDescent="0.3">
      <c r="B39" s="393" t="s">
        <v>89</v>
      </c>
      <c r="C39" s="33" t="s">
        <v>6</v>
      </c>
      <c r="D39" s="33" t="s">
        <v>6</v>
      </c>
    </row>
    <row r="40" spans="2:4" x14ac:dyDescent="0.3">
      <c r="B40" s="32"/>
      <c r="C40" s="32"/>
      <c r="D40" s="32"/>
    </row>
    <row r="41" spans="2:4" x14ac:dyDescent="0.3">
      <c r="B41" s="394" t="s">
        <v>90</v>
      </c>
      <c r="C41" s="36">
        <f>+D45</f>
        <v>0</v>
      </c>
      <c r="D41" s="36"/>
    </row>
    <row r="42" spans="2:4" x14ac:dyDescent="0.3">
      <c r="B42" s="395" t="s">
        <v>91</v>
      </c>
      <c r="C42" s="36"/>
      <c r="D42" s="36"/>
    </row>
    <row r="43" spans="2:4" x14ac:dyDescent="0.3">
      <c r="B43" s="395" t="s">
        <v>92</v>
      </c>
      <c r="C43" s="36"/>
      <c r="D43" s="36"/>
    </row>
    <row r="44" spans="2:4" x14ac:dyDescent="0.3">
      <c r="B44" s="395" t="s">
        <v>93</v>
      </c>
      <c r="C44" s="308"/>
      <c r="D44" s="308"/>
    </row>
    <row r="45" spans="2:4" ht="15" customHeight="1" thickBot="1" x14ac:dyDescent="0.35">
      <c r="B45" s="394" t="s">
        <v>94</v>
      </c>
      <c r="C45" s="37">
        <f>SUM(C41:C44)</f>
        <v>0</v>
      </c>
      <c r="D45" s="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39997558519241921"/>
  </sheetPr>
  <dimension ref="B1:G57"/>
  <sheetViews>
    <sheetView showGridLines="0" zoomScale="90" zoomScaleNormal="90" workbookViewId="0">
      <selection activeCell="C1" sqref="C1:H1048576"/>
    </sheetView>
  </sheetViews>
  <sheetFormatPr baseColWidth="10" defaultRowHeight="14.4" x14ac:dyDescent="0.3"/>
  <cols>
    <col min="1" max="1" width="5.44140625" customWidth="1"/>
    <col min="2" max="2" width="40.21875" customWidth="1"/>
    <col min="3" max="3" width="14.33203125" customWidth="1"/>
    <col min="4" max="4" width="18.109375" bestFit="1" customWidth="1"/>
    <col min="5" max="5" width="17.109375" bestFit="1" customWidth="1"/>
    <col min="6" max="6" width="11.88671875" bestFit="1" customWidth="1"/>
    <col min="7" max="7" width="16" bestFit="1" customWidth="1"/>
  </cols>
  <sheetData>
    <row r="1" spans="2:7" x14ac:dyDescent="0.3">
      <c r="B1" s="451" t="s">
        <v>558</v>
      </c>
      <c r="C1" s="5"/>
      <c r="D1" s="5"/>
      <c r="E1" s="5"/>
      <c r="G1" s="5"/>
    </row>
    <row r="2" spans="2:7" x14ac:dyDescent="0.3">
      <c r="B2" s="387" t="s">
        <v>95</v>
      </c>
    </row>
    <row r="3" spans="2:7" x14ac:dyDescent="0.3">
      <c r="C3" s="307" t="s">
        <v>55</v>
      </c>
      <c r="D3" s="388">
        <v>46022</v>
      </c>
      <c r="E3" s="72"/>
      <c r="G3" s="72"/>
    </row>
    <row r="4" spans="2:7" x14ac:dyDescent="0.3">
      <c r="B4" s="386" t="s">
        <v>56</v>
      </c>
      <c r="C4" s="9" t="s">
        <v>6</v>
      </c>
      <c r="D4" s="9" t="s">
        <v>6</v>
      </c>
    </row>
    <row r="6" spans="2:7" x14ac:dyDescent="0.3">
      <c r="B6" s="386" t="s">
        <v>96</v>
      </c>
      <c r="C6" s="188"/>
      <c r="D6" s="288"/>
      <c r="E6" s="188"/>
      <c r="G6" s="188"/>
    </row>
    <row r="7" spans="2:7" x14ac:dyDescent="0.3">
      <c r="B7" s="386" t="s">
        <v>97</v>
      </c>
      <c r="C7" s="188"/>
      <c r="D7" s="288"/>
      <c r="E7" s="188"/>
      <c r="G7" s="188"/>
    </row>
    <row r="8" spans="2:7" x14ac:dyDescent="0.3">
      <c r="B8" s="386" t="s">
        <v>98</v>
      </c>
      <c r="C8" s="188"/>
      <c r="D8" s="288"/>
      <c r="E8" s="188"/>
      <c r="G8" s="188"/>
    </row>
    <row r="9" spans="2:7" x14ac:dyDescent="0.3">
      <c r="B9" s="386" t="s">
        <v>99</v>
      </c>
      <c r="C9" s="188"/>
      <c r="D9" s="288"/>
      <c r="E9" s="188"/>
      <c r="G9" s="188"/>
    </row>
    <row r="10" spans="2:7" x14ac:dyDescent="0.3">
      <c r="B10" s="386" t="s">
        <v>100</v>
      </c>
      <c r="C10" s="188"/>
      <c r="D10" s="288"/>
      <c r="E10" s="188"/>
      <c r="G10" s="188"/>
    </row>
    <row r="11" spans="2:7" x14ac:dyDescent="0.3">
      <c r="B11" s="386" t="s">
        <v>101</v>
      </c>
      <c r="C11" s="188"/>
      <c r="D11" s="288"/>
      <c r="E11" s="188"/>
      <c r="G11" s="188"/>
    </row>
    <row r="12" spans="2:7" x14ac:dyDescent="0.3">
      <c r="B12" s="386" t="s">
        <v>102</v>
      </c>
      <c r="C12" s="188"/>
      <c r="D12" s="288"/>
      <c r="E12" s="188"/>
      <c r="G12" s="188"/>
    </row>
    <row r="13" spans="2:7" ht="15" customHeight="1" thickBot="1" x14ac:dyDescent="0.35">
      <c r="B13" s="386" t="s">
        <v>62</v>
      </c>
      <c r="C13" s="41">
        <f>SUM(C6:C12)</f>
        <v>0</v>
      </c>
      <c r="D13" s="41">
        <f>SUM(D6:D12)</f>
        <v>0</v>
      </c>
      <c r="E13" s="25"/>
      <c r="G13" s="4"/>
    </row>
    <row r="14" spans="2:7" ht="15" customHeight="1" thickTop="1" x14ac:dyDescent="0.3">
      <c r="C14" s="42"/>
    </row>
    <row r="15" spans="2:7" x14ac:dyDescent="0.3">
      <c r="C15" s="3"/>
    </row>
    <row r="17" spans="2:4" x14ac:dyDescent="0.3">
      <c r="B17" s="451" t="s">
        <v>559</v>
      </c>
    </row>
    <row r="18" spans="2:4" x14ac:dyDescent="0.3">
      <c r="B18" s="387" t="s">
        <v>103</v>
      </c>
    </row>
    <row r="19" spans="2:4" x14ac:dyDescent="0.3">
      <c r="B19" s="32"/>
      <c r="C19" s="307" t="s">
        <v>55</v>
      </c>
      <c r="D19" s="388">
        <v>46022</v>
      </c>
    </row>
    <row r="20" spans="2:4" x14ac:dyDescent="0.3">
      <c r="B20" s="44"/>
      <c r="C20" s="33" t="s">
        <v>104</v>
      </c>
      <c r="D20" s="33" t="s">
        <v>6</v>
      </c>
    </row>
    <row r="21" spans="2:4" x14ac:dyDescent="0.3">
      <c r="B21" s="394" t="s">
        <v>90</v>
      </c>
      <c r="C21" s="45"/>
      <c r="D21" s="167"/>
    </row>
    <row r="22" spans="2:4" x14ac:dyDescent="0.3">
      <c r="B22" s="394" t="s">
        <v>105</v>
      </c>
      <c r="C22" s="45"/>
      <c r="D22" s="167"/>
    </row>
    <row r="23" spans="2:4" x14ac:dyDescent="0.3">
      <c r="B23" s="394" t="s">
        <v>106</v>
      </c>
      <c r="C23" s="45"/>
      <c r="D23" s="28"/>
    </row>
    <row r="24" spans="2:4" ht="15" customHeight="1" thickBot="1" x14ac:dyDescent="0.35">
      <c r="B24" s="394" t="s">
        <v>107</v>
      </c>
      <c r="C24" s="46"/>
      <c r="D24" s="65"/>
    </row>
    <row r="25" spans="2:4" ht="15" customHeight="1" thickBot="1" x14ac:dyDescent="0.35">
      <c r="B25" s="394" t="s">
        <v>108</v>
      </c>
      <c r="C25" s="46">
        <f>SUM(C21:C24)</f>
        <v>0</v>
      </c>
      <c r="D25" s="46">
        <f>SUM(D21:D24)</f>
        <v>0</v>
      </c>
    </row>
    <row r="26" spans="2:4" ht="15" customHeight="1" x14ac:dyDescent="0.3">
      <c r="B26" s="394"/>
      <c r="C26" s="45"/>
      <c r="D26" s="45"/>
    </row>
    <row r="27" spans="2:4" x14ac:dyDescent="0.3">
      <c r="B27" s="451" t="s">
        <v>560</v>
      </c>
    </row>
    <row r="28" spans="2:4" x14ac:dyDescent="0.3">
      <c r="B28" s="387" t="s">
        <v>109</v>
      </c>
    </row>
    <row r="29" spans="2:4" x14ac:dyDescent="0.3">
      <c r="B29" s="32"/>
      <c r="C29" s="307" t="s">
        <v>55</v>
      </c>
      <c r="D29" s="388">
        <v>46022</v>
      </c>
    </row>
    <row r="30" spans="2:4" x14ac:dyDescent="0.3">
      <c r="B30" s="393" t="s">
        <v>110</v>
      </c>
      <c r="C30" s="13" t="s">
        <v>6</v>
      </c>
      <c r="D30" s="13" t="s">
        <v>6</v>
      </c>
    </row>
    <row r="31" spans="2:4" x14ac:dyDescent="0.3">
      <c r="B31" s="32"/>
      <c r="C31" s="1"/>
      <c r="D31" s="17"/>
    </row>
    <row r="32" spans="2:4" x14ac:dyDescent="0.3">
      <c r="B32" s="394" t="s">
        <v>90</v>
      </c>
      <c r="C32" s="49"/>
      <c r="D32" s="49"/>
    </row>
    <row r="33" spans="2:4" x14ac:dyDescent="0.3">
      <c r="B33" s="394" t="s">
        <v>111</v>
      </c>
      <c r="C33" s="49"/>
      <c r="D33" s="283"/>
    </row>
    <row r="34" spans="2:4" x14ac:dyDescent="0.3">
      <c r="B34" s="394" t="s">
        <v>112</v>
      </c>
      <c r="C34" s="49"/>
      <c r="D34" s="283"/>
    </row>
    <row r="35" spans="2:4" x14ac:dyDescent="0.3">
      <c r="B35" s="394" t="s">
        <v>113</v>
      </c>
      <c r="C35" s="49"/>
      <c r="D35" s="283"/>
    </row>
    <row r="36" spans="2:4" x14ac:dyDescent="0.3">
      <c r="B36" s="394" t="s">
        <v>114</v>
      </c>
      <c r="C36" s="49"/>
      <c r="D36" s="283"/>
    </row>
    <row r="37" spans="2:4" x14ac:dyDescent="0.3">
      <c r="B37" s="394" t="s">
        <v>115</v>
      </c>
      <c r="C37" s="49"/>
      <c r="D37" s="283"/>
    </row>
    <row r="38" spans="2:4" ht="15" customHeight="1" thickBot="1" x14ac:dyDescent="0.35">
      <c r="B38" s="394" t="s">
        <v>116</v>
      </c>
      <c r="C38" s="51"/>
      <c r="D38" s="284"/>
    </row>
    <row r="39" spans="2:4" ht="15" customHeight="1" thickBot="1" x14ac:dyDescent="0.35">
      <c r="B39" s="394" t="s">
        <v>62</v>
      </c>
      <c r="C39" s="52">
        <f>SUM(C33:C38)</f>
        <v>0</v>
      </c>
      <c r="D39" s="52">
        <f>SUM(D33:D38)</f>
        <v>0</v>
      </c>
    </row>
    <row r="40" spans="2:4" x14ac:dyDescent="0.3">
      <c r="B40" s="54"/>
    </row>
    <row r="41" spans="2:4" x14ac:dyDescent="0.3">
      <c r="B41" s="1"/>
      <c r="C41" s="28"/>
      <c r="D41" s="28"/>
    </row>
    <row r="42" spans="2:4" x14ac:dyDescent="0.3">
      <c r="B42" s="451" t="s">
        <v>561</v>
      </c>
    </row>
    <row r="43" spans="2:4" x14ac:dyDescent="0.3">
      <c r="B43" s="387" t="s">
        <v>117</v>
      </c>
    </row>
    <row r="44" spans="2:4" x14ac:dyDescent="0.3">
      <c r="B44" s="5"/>
    </row>
    <row r="45" spans="2:4" x14ac:dyDescent="0.3">
      <c r="B45" s="43"/>
      <c r="C45" s="5"/>
      <c r="D45" s="5"/>
    </row>
    <row r="46" spans="2:4" x14ac:dyDescent="0.3">
      <c r="B46" s="534" t="s">
        <v>2</v>
      </c>
      <c r="C46" s="307" t="s">
        <v>55</v>
      </c>
      <c r="D46" s="388">
        <v>46022</v>
      </c>
    </row>
    <row r="47" spans="2:4" x14ac:dyDescent="0.3">
      <c r="B47" s="533"/>
      <c r="C47" s="14" t="s">
        <v>6</v>
      </c>
      <c r="D47" s="14" t="s">
        <v>6</v>
      </c>
    </row>
    <row r="48" spans="2:4" x14ac:dyDescent="0.3">
      <c r="B48" s="233" t="s">
        <v>118</v>
      </c>
      <c r="C48" s="128"/>
      <c r="D48" s="285"/>
    </row>
    <row r="49" spans="2:4" x14ac:dyDescent="0.3">
      <c r="B49" s="233" t="s">
        <v>119</v>
      </c>
      <c r="C49" s="128"/>
      <c r="D49" s="285"/>
    </row>
    <row r="50" spans="2:4" x14ac:dyDescent="0.3">
      <c r="B50" s="233" t="s">
        <v>120</v>
      </c>
      <c r="C50" s="128"/>
      <c r="D50" s="285"/>
    </row>
    <row r="51" spans="2:4" x14ac:dyDescent="0.3">
      <c r="B51" s="233" t="s">
        <v>121</v>
      </c>
      <c r="C51" s="128"/>
      <c r="D51" s="285"/>
    </row>
    <row r="52" spans="2:4" x14ac:dyDescent="0.3">
      <c r="B52" s="233" t="s">
        <v>18</v>
      </c>
      <c r="C52" s="128"/>
      <c r="D52" s="285"/>
    </row>
    <row r="53" spans="2:4" x14ac:dyDescent="0.3">
      <c r="B53" s="233" t="s">
        <v>16</v>
      </c>
      <c r="C53" s="128"/>
      <c r="D53" s="285"/>
    </row>
    <row r="54" spans="2:4" x14ac:dyDescent="0.3">
      <c r="B54" s="233" t="s">
        <v>122</v>
      </c>
      <c r="C54" s="128"/>
      <c r="D54" s="286"/>
    </row>
    <row r="55" spans="2:4" x14ac:dyDescent="0.3">
      <c r="B55" s="233" t="s">
        <v>123</v>
      </c>
      <c r="C55" s="128"/>
      <c r="D55" s="285"/>
    </row>
    <row r="56" spans="2:4" ht="15" customHeight="1" thickBot="1" x14ac:dyDescent="0.35">
      <c r="B56" s="233" t="s">
        <v>124</v>
      </c>
      <c r="C56" s="129"/>
      <c r="D56" s="287"/>
    </row>
    <row r="57" spans="2:4" ht="15" customHeight="1" thickBot="1" x14ac:dyDescent="0.35">
      <c r="B57" s="233" t="s">
        <v>62</v>
      </c>
      <c r="C57" s="129">
        <f>SUM(C48:C56)</f>
        <v>0</v>
      </c>
      <c r="D57" s="129">
        <f>SUM(D48:D56)</f>
        <v>0</v>
      </c>
    </row>
  </sheetData>
  <mergeCells count="1">
    <mergeCell ref="B46:B4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39997558519241921"/>
  </sheetPr>
  <dimension ref="C2:O49"/>
  <sheetViews>
    <sheetView showGridLines="0" zoomScale="70" zoomScaleNormal="70" workbookViewId="0">
      <selection activeCell="K23" sqref="K23"/>
    </sheetView>
  </sheetViews>
  <sheetFormatPr baseColWidth="10" defaultRowHeight="14.4" x14ac:dyDescent="0.3"/>
  <cols>
    <col min="3" max="3" width="40.109375" customWidth="1"/>
    <col min="4" max="4" width="13.5546875" customWidth="1"/>
    <col min="5" max="5" width="15.6640625" customWidth="1"/>
    <col min="6" max="6" width="12.33203125" customWidth="1"/>
    <col min="7" max="7" width="11.5546875" customWidth="1"/>
    <col min="8" max="8" width="15.44140625" customWidth="1"/>
    <col min="9" max="9" width="11.5546875" customWidth="1"/>
    <col min="10" max="10" width="5.21875" customWidth="1"/>
    <col min="11" max="11" width="13" customWidth="1"/>
    <col min="12" max="12" width="13.33203125" bestFit="1" customWidth="1"/>
    <col min="13" max="13" width="14.5546875" customWidth="1"/>
    <col min="14" max="14" width="16.77734375" customWidth="1"/>
    <col min="15" max="15" width="12.33203125" bestFit="1" customWidth="1"/>
  </cols>
  <sheetData>
    <row r="2" spans="3:13" x14ac:dyDescent="0.3">
      <c r="C2" s="387" t="s">
        <v>125</v>
      </c>
    </row>
    <row r="3" spans="3:13" x14ac:dyDescent="0.3">
      <c r="C3" s="5"/>
    </row>
    <row r="4" spans="3:13" x14ac:dyDescent="0.3">
      <c r="C4" s="451" t="s">
        <v>565</v>
      </c>
      <c r="K4" s="538"/>
      <c r="L4" s="533"/>
      <c r="M4" s="533"/>
    </row>
    <row r="5" spans="3:13" x14ac:dyDescent="0.3">
      <c r="C5" s="5" t="s">
        <v>55</v>
      </c>
      <c r="D5" s="9"/>
      <c r="E5" s="9"/>
      <c r="F5" s="9"/>
      <c r="K5" s="9"/>
      <c r="L5" s="9"/>
      <c r="M5" s="9"/>
    </row>
    <row r="6" spans="3:13" ht="28.8" customHeight="1" x14ac:dyDescent="0.3">
      <c r="C6" s="391" t="s">
        <v>56</v>
      </c>
      <c r="D6" s="391" t="s">
        <v>126</v>
      </c>
      <c r="E6" s="391" t="s">
        <v>127</v>
      </c>
      <c r="F6" s="38" t="s">
        <v>128</v>
      </c>
      <c r="L6" s="88"/>
    </row>
    <row r="7" spans="3:13" x14ac:dyDescent="0.3">
      <c r="D7" t="s">
        <v>6</v>
      </c>
      <c r="E7" t="s">
        <v>6</v>
      </c>
      <c r="F7" t="s">
        <v>6</v>
      </c>
    </row>
    <row r="8" spans="3:13" x14ac:dyDescent="0.3">
      <c r="C8" s="386" t="s">
        <v>129</v>
      </c>
      <c r="D8" s="123"/>
      <c r="E8" s="123"/>
      <c r="F8" s="123">
        <f>+D8+E8</f>
        <v>0</v>
      </c>
      <c r="K8" s="70"/>
      <c r="L8" s="70"/>
      <c r="M8" s="70"/>
    </row>
    <row r="9" spans="3:13" x14ac:dyDescent="0.3">
      <c r="C9" s="386" t="s">
        <v>130</v>
      </c>
      <c r="D9" s="123"/>
      <c r="E9" s="123"/>
      <c r="F9" s="123">
        <f>+D9+E9</f>
        <v>0</v>
      </c>
      <c r="K9" s="70"/>
      <c r="L9" s="70"/>
      <c r="M9" s="70"/>
    </row>
    <row r="10" spans="3:13" x14ac:dyDescent="0.3">
      <c r="C10" s="386" t="s">
        <v>131</v>
      </c>
      <c r="D10" s="130"/>
      <c r="E10" s="130"/>
      <c r="F10" s="123">
        <f>+D10+E10</f>
        <v>0</v>
      </c>
      <c r="K10" s="70"/>
      <c r="L10" s="70"/>
      <c r="M10" s="70"/>
    </row>
    <row r="11" spans="3:13" x14ac:dyDescent="0.3">
      <c r="C11" s="391" t="s">
        <v>132</v>
      </c>
      <c r="D11" s="453"/>
      <c r="E11" s="453"/>
      <c r="F11" s="332">
        <f>SUM(D11:E11)</f>
        <v>0</v>
      </c>
      <c r="K11" s="70"/>
      <c r="L11" s="70"/>
      <c r="M11" s="70"/>
    </row>
    <row r="12" spans="3:13" ht="15" customHeight="1" x14ac:dyDescent="0.3">
      <c r="C12" s="454" t="s">
        <v>62</v>
      </c>
      <c r="D12" s="455">
        <f>SUM(D8:D11)</f>
        <v>0</v>
      </c>
      <c r="E12" s="455">
        <f>SUM(E8:E11)</f>
        <v>0</v>
      </c>
      <c r="F12" s="455">
        <f>SUM(F8:F11)</f>
        <v>0</v>
      </c>
      <c r="K12" s="70"/>
      <c r="L12" s="70"/>
      <c r="M12" s="70"/>
    </row>
    <row r="13" spans="3:13" ht="15" customHeight="1" x14ac:dyDescent="0.3"/>
    <row r="14" spans="3:13" x14ac:dyDescent="0.3">
      <c r="C14" s="8"/>
      <c r="F14" s="25"/>
      <c r="I14" s="25"/>
      <c r="M14" s="25"/>
    </row>
    <row r="15" spans="3:13" x14ac:dyDescent="0.3">
      <c r="C15" s="8"/>
      <c r="F15" s="25"/>
      <c r="I15" s="25"/>
      <c r="M15" s="25"/>
    </row>
    <row r="16" spans="3:13" x14ac:dyDescent="0.3">
      <c r="C16" s="5" t="s">
        <v>564</v>
      </c>
      <c r="D16" s="452"/>
      <c r="I16" s="25"/>
      <c r="M16" s="25"/>
    </row>
    <row r="17" spans="3:15" ht="28.8" customHeight="1" x14ac:dyDescent="0.3">
      <c r="C17" s="391" t="s">
        <v>133</v>
      </c>
      <c r="D17" s="391" t="s">
        <v>126</v>
      </c>
      <c r="E17" s="391" t="s">
        <v>127</v>
      </c>
      <c r="F17" s="38" t="s">
        <v>128</v>
      </c>
      <c r="I17" s="25"/>
      <c r="M17" s="25"/>
    </row>
    <row r="18" spans="3:15" x14ac:dyDescent="0.3">
      <c r="D18" t="s">
        <v>6</v>
      </c>
      <c r="E18" t="s">
        <v>6</v>
      </c>
      <c r="F18" t="s">
        <v>6</v>
      </c>
      <c r="I18" s="25"/>
      <c r="M18" s="25"/>
    </row>
    <row r="19" spans="3:15" x14ac:dyDescent="0.3">
      <c r="C19" s="386" t="s">
        <v>129</v>
      </c>
      <c r="D19" s="123"/>
      <c r="E19" s="123"/>
      <c r="F19" s="123">
        <f>SUM(D19:E19)</f>
        <v>0</v>
      </c>
      <c r="I19" s="25"/>
      <c r="M19" s="25"/>
    </row>
    <row r="20" spans="3:15" x14ac:dyDescent="0.3">
      <c r="C20" s="386" t="s">
        <v>130</v>
      </c>
      <c r="D20" s="123"/>
      <c r="E20" s="123"/>
      <c r="F20" s="123">
        <f>+D20+E20</f>
        <v>0</v>
      </c>
      <c r="I20" s="25"/>
      <c r="M20" s="25"/>
    </row>
    <row r="21" spans="3:15" x14ac:dyDescent="0.3">
      <c r="C21" s="386" t="s">
        <v>131</v>
      </c>
      <c r="D21" s="130"/>
      <c r="E21" s="130"/>
      <c r="F21" s="123">
        <f>+D21+E21</f>
        <v>0</v>
      </c>
      <c r="I21" s="25"/>
      <c r="M21" s="25"/>
    </row>
    <row r="22" spans="3:15" x14ac:dyDescent="0.3">
      <c r="C22" s="386" t="s">
        <v>132</v>
      </c>
      <c r="D22" s="130"/>
      <c r="E22" s="130"/>
      <c r="F22" s="123">
        <f>SUM(D22:E22)</f>
        <v>0</v>
      </c>
      <c r="I22" s="25"/>
      <c r="M22" s="25"/>
    </row>
    <row r="23" spans="3:15" ht="15" customHeight="1" x14ac:dyDescent="0.3">
      <c r="C23" s="454" t="s">
        <v>62</v>
      </c>
      <c r="D23" s="455">
        <f>SUM(D19:D22)</f>
        <v>0</v>
      </c>
      <c r="E23" s="455">
        <f>SUM(E19:E22)</f>
        <v>0</v>
      </c>
      <c r="F23" s="455">
        <f>SUM(F19:F22)</f>
        <v>0</v>
      </c>
      <c r="I23" s="25"/>
      <c r="M23" s="25"/>
    </row>
    <row r="24" spans="3:15" ht="15" customHeight="1" x14ac:dyDescent="0.3">
      <c r="C24" s="8"/>
      <c r="I24" s="25"/>
      <c r="M24" s="25"/>
    </row>
    <row r="25" spans="3:15" x14ac:dyDescent="0.3">
      <c r="C25" s="8"/>
      <c r="I25" s="25"/>
      <c r="M25" s="25"/>
    </row>
    <row r="26" spans="3:15" x14ac:dyDescent="0.3">
      <c r="C26" s="8"/>
      <c r="I26" s="25"/>
      <c r="M26" s="25"/>
    </row>
    <row r="27" spans="3:15" x14ac:dyDescent="0.3">
      <c r="C27" s="8"/>
      <c r="I27" s="25"/>
      <c r="M27" s="25"/>
    </row>
    <row r="29" spans="3:15" x14ac:dyDescent="0.3">
      <c r="C29" s="387" t="s">
        <v>134</v>
      </c>
      <c r="E29" s="5"/>
      <c r="K29" s="538"/>
      <c r="L29" s="533"/>
      <c r="M29" s="533"/>
    </row>
    <row r="30" spans="3:15" x14ac:dyDescent="0.3">
      <c r="C30" s="451" t="s">
        <v>566</v>
      </c>
      <c r="E30" s="5"/>
      <c r="K30" s="9"/>
    </row>
    <row r="31" spans="3:15" x14ac:dyDescent="0.3">
      <c r="D31" s="539" t="s">
        <v>55</v>
      </c>
      <c r="E31" s="536"/>
      <c r="F31" s="537"/>
    </row>
    <row r="32" spans="3:15" ht="28.8" customHeight="1" x14ac:dyDescent="0.3">
      <c r="D32" s="391" t="s">
        <v>129</v>
      </c>
      <c r="E32" s="391" t="s">
        <v>118</v>
      </c>
      <c r="F32" s="38" t="s">
        <v>135</v>
      </c>
      <c r="G32" s="66" t="s">
        <v>132</v>
      </c>
      <c r="H32" s="66" t="s">
        <v>136</v>
      </c>
      <c r="M32" s="88"/>
      <c r="N32" s="88"/>
      <c r="O32" s="88"/>
    </row>
    <row r="33" spans="3:15" x14ac:dyDescent="0.3">
      <c r="D33" t="s">
        <v>6</v>
      </c>
      <c r="E33" t="s">
        <v>6</v>
      </c>
      <c r="H33" t="s">
        <v>6</v>
      </c>
    </row>
    <row r="35" spans="3:15" x14ac:dyDescent="0.3">
      <c r="C35" s="386" t="s">
        <v>137</v>
      </c>
      <c r="D35" s="25">
        <f>+D48</f>
        <v>0</v>
      </c>
      <c r="E35" s="25">
        <f>+E48</f>
        <v>0</v>
      </c>
      <c r="F35" s="25">
        <f>+F48</f>
        <v>0</v>
      </c>
      <c r="G35" s="25">
        <f>+G48</f>
        <v>0</v>
      </c>
      <c r="H35" s="25">
        <f>SUM(D35:G35)</f>
        <v>0</v>
      </c>
      <c r="K35" s="25"/>
      <c r="L35" s="25"/>
      <c r="M35" s="25"/>
      <c r="N35" s="25"/>
      <c r="O35" s="25"/>
    </row>
    <row r="36" spans="3:15" x14ac:dyDescent="0.3">
      <c r="C36" s="386" t="s">
        <v>138</v>
      </c>
      <c r="D36" s="25">
        <f>+D9-D19</f>
        <v>0</v>
      </c>
      <c r="E36" s="25">
        <f>+D9-D20</f>
        <v>0</v>
      </c>
      <c r="F36" s="123">
        <f>+D10-D21</f>
        <v>0</v>
      </c>
      <c r="G36" s="123">
        <f>+D11-D22</f>
        <v>0</v>
      </c>
      <c r="H36" s="25">
        <f>SUM(D36:G36)</f>
        <v>0</v>
      </c>
      <c r="K36" s="25"/>
      <c r="L36" s="25"/>
      <c r="M36" s="25"/>
      <c r="O36" s="25"/>
    </row>
    <row r="37" spans="3:15" x14ac:dyDescent="0.3">
      <c r="C37" s="386" t="s">
        <v>139</v>
      </c>
      <c r="D37" s="26">
        <f>+E8-E19</f>
        <v>0</v>
      </c>
      <c r="E37" s="26">
        <f>+E9-E20</f>
        <v>0</v>
      </c>
      <c r="F37" s="332">
        <f>+E10-E21</f>
        <v>0</v>
      </c>
      <c r="G37" s="332">
        <f>+E11-E22</f>
        <v>0</v>
      </c>
      <c r="H37" s="26">
        <f>SUM(D37:G37)</f>
        <v>0</v>
      </c>
      <c r="K37" s="28"/>
      <c r="L37" s="28"/>
      <c r="M37" s="28"/>
      <c r="N37" s="28"/>
      <c r="O37" s="25"/>
    </row>
    <row r="38" spans="3:15" ht="15" customHeight="1" thickBot="1" x14ac:dyDescent="0.35">
      <c r="C38" s="386" t="s">
        <v>140</v>
      </c>
      <c r="D38" s="69">
        <f>SUM(D35:D37)</f>
        <v>0</v>
      </c>
      <c r="E38" s="69">
        <f>SUM(E35:E37)</f>
        <v>0</v>
      </c>
      <c r="F38" s="69">
        <f>SUM(F35:F37)</f>
        <v>0</v>
      </c>
      <c r="G38" s="69">
        <f>SUM(G35:G37)</f>
        <v>0</v>
      </c>
      <c r="H38" s="69">
        <f>SUM(H35:H37)</f>
        <v>0</v>
      </c>
      <c r="K38" s="28"/>
      <c r="L38" s="28"/>
      <c r="M38" s="28"/>
      <c r="N38" s="28"/>
      <c r="O38" s="28"/>
    </row>
    <row r="39" spans="3:15" ht="15" customHeight="1" thickTop="1" x14ac:dyDescent="0.3">
      <c r="C39" s="8"/>
      <c r="D39" s="25"/>
      <c r="H39" s="25"/>
      <c r="L39" s="25"/>
      <c r="O39" s="25"/>
    </row>
    <row r="40" spans="3:15" x14ac:dyDescent="0.3">
      <c r="C40" s="8"/>
      <c r="K40" s="28"/>
      <c r="L40" s="28"/>
      <c r="M40" s="28"/>
      <c r="O40" s="25"/>
    </row>
    <row r="41" spans="3:15" x14ac:dyDescent="0.3">
      <c r="D41" s="535">
        <v>46022</v>
      </c>
      <c r="E41" s="536"/>
      <c r="F41" s="537"/>
      <c r="K41" s="28"/>
      <c r="L41" s="28"/>
      <c r="M41" s="28"/>
      <c r="O41" s="25"/>
    </row>
    <row r="42" spans="3:15" ht="28.8" customHeight="1" x14ac:dyDescent="0.3">
      <c r="D42" s="391" t="s">
        <v>129</v>
      </c>
      <c r="E42" s="391" t="s">
        <v>118</v>
      </c>
      <c r="F42" s="38" t="s">
        <v>135</v>
      </c>
      <c r="G42" s="66" t="s">
        <v>132</v>
      </c>
      <c r="H42" s="66" t="s">
        <v>136</v>
      </c>
      <c r="K42" s="28"/>
      <c r="L42" s="28"/>
      <c r="M42" s="28"/>
      <c r="O42" s="25"/>
    </row>
    <row r="43" spans="3:15" x14ac:dyDescent="0.3">
      <c r="D43" t="s">
        <v>6</v>
      </c>
      <c r="E43" t="s">
        <v>6</v>
      </c>
      <c r="H43" t="s">
        <v>6</v>
      </c>
    </row>
    <row r="45" spans="3:15" x14ac:dyDescent="0.3">
      <c r="C45" s="386" t="s">
        <v>137</v>
      </c>
      <c r="D45" s="25"/>
      <c r="E45" s="25"/>
      <c r="H45" s="25">
        <f>SUM(D45:G45)</f>
        <v>0</v>
      </c>
    </row>
    <row r="46" spans="3:15" x14ac:dyDescent="0.3">
      <c r="C46" s="386" t="s">
        <v>138</v>
      </c>
      <c r="D46" s="25"/>
      <c r="E46" s="25"/>
      <c r="H46" s="25">
        <f>SUM(D46:G46)</f>
        <v>0</v>
      </c>
    </row>
    <row r="47" spans="3:15" x14ac:dyDescent="0.3">
      <c r="C47" s="386" t="s">
        <v>139</v>
      </c>
      <c r="D47" s="26"/>
      <c r="E47" s="26"/>
      <c r="F47" s="38"/>
      <c r="G47" s="38"/>
      <c r="H47" s="26">
        <f>SUM(D47:G47)</f>
        <v>0</v>
      </c>
    </row>
    <row r="48" spans="3:15" ht="15" customHeight="1" thickBot="1" x14ac:dyDescent="0.35">
      <c r="C48" s="386" t="s">
        <v>140</v>
      </c>
      <c r="D48" s="69">
        <f>SUM(D45:D47)</f>
        <v>0</v>
      </c>
      <c r="E48" s="69">
        <f>SUM(E45:E47)</f>
        <v>0</v>
      </c>
      <c r="F48" s="69">
        <f>SUM(F45:F47)</f>
        <v>0</v>
      </c>
      <c r="G48" s="69">
        <f>SUM(G45:G47)</f>
        <v>0</v>
      </c>
      <c r="H48" s="69">
        <f>SUM(H45:H47)</f>
        <v>0</v>
      </c>
    </row>
    <row r="49" ht="15" customHeight="1" thickTop="1" x14ac:dyDescent="0.3"/>
  </sheetData>
  <mergeCells count="4">
    <mergeCell ref="D41:F41"/>
    <mergeCell ref="K4:M4"/>
    <mergeCell ref="K29:M29"/>
    <mergeCell ref="D31:F3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P42"/>
  <sheetViews>
    <sheetView showGridLines="0" zoomScale="70" zoomScaleNormal="70" workbookViewId="0">
      <selection activeCell="B29" sqref="B29"/>
    </sheetView>
  </sheetViews>
  <sheetFormatPr baseColWidth="10" defaultColWidth="11.44140625" defaultRowHeight="13.8" x14ac:dyDescent="0.3"/>
  <cols>
    <col min="1" max="1" width="34.33203125" style="55" customWidth="1"/>
    <col min="2" max="2" width="33.109375" style="55" customWidth="1"/>
    <col min="3" max="3" width="13.44140625" style="55" customWidth="1"/>
    <col min="4" max="4" width="21.44140625" style="55" customWidth="1"/>
    <col min="5" max="5" width="15" style="55" customWidth="1"/>
    <col min="6" max="6" width="18.5546875" style="55" bestFit="1" customWidth="1"/>
    <col min="7" max="7" width="12.77734375" style="55" customWidth="1"/>
    <col min="8" max="8" width="18" style="55" bestFit="1" customWidth="1"/>
    <col min="9" max="9" width="25.5546875" style="55" customWidth="1"/>
    <col min="10" max="10" width="14.88671875" style="55" customWidth="1"/>
    <col min="11" max="11" width="13.5546875" style="55" bestFit="1" customWidth="1"/>
    <col min="12" max="12" width="14.77734375" style="55" bestFit="1" customWidth="1"/>
    <col min="13" max="13" width="13.77734375" style="55" bestFit="1" customWidth="1"/>
    <col min="14" max="14" width="12" style="55" bestFit="1" customWidth="1"/>
    <col min="15" max="15" width="12.77734375" style="55" bestFit="1" customWidth="1"/>
    <col min="16" max="16" width="12" style="55" bestFit="1" customWidth="1"/>
    <col min="17" max="17" width="15.109375" style="55" bestFit="1" customWidth="1"/>
    <col min="18" max="18" width="12.77734375" style="55" bestFit="1" customWidth="1"/>
    <col min="19" max="19" width="14.5546875" style="55" bestFit="1" customWidth="1"/>
    <col min="20" max="21" width="12" style="55" bestFit="1" customWidth="1"/>
    <col min="22" max="22" width="13.77734375" style="55" bestFit="1" customWidth="1"/>
    <col min="23" max="23" width="14.77734375" style="55" bestFit="1" customWidth="1"/>
    <col min="24" max="24" width="11.6640625" style="55" customWidth="1"/>
    <col min="25" max="27" width="11.44140625" style="55" customWidth="1"/>
    <col min="28" max="16384" width="11.44140625" style="55"/>
  </cols>
  <sheetData>
    <row r="1" spans="1:8" x14ac:dyDescent="0.3">
      <c r="B1" s="451" t="s">
        <v>567</v>
      </c>
    </row>
    <row r="2" spans="1:8" x14ac:dyDescent="0.3">
      <c r="B2" s="379"/>
    </row>
    <row r="3" spans="1:8" x14ac:dyDescent="0.3">
      <c r="B3" s="376"/>
      <c r="C3" s="215"/>
      <c r="D3" s="214" t="s">
        <v>0</v>
      </c>
      <c r="E3" s="216"/>
      <c r="F3" s="215"/>
      <c r="G3" s="214" t="s">
        <v>1</v>
      </c>
      <c r="H3" s="216"/>
    </row>
    <row r="4" spans="1:8" x14ac:dyDescent="0.3">
      <c r="B4" s="377"/>
      <c r="C4" s="209"/>
      <c r="D4" s="174"/>
      <c r="E4" s="210"/>
      <c r="F4" s="209"/>
      <c r="G4" s="174"/>
      <c r="H4" s="210"/>
    </row>
    <row r="5" spans="1:8" ht="25.5" customHeight="1" x14ac:dyDescent="0.3">
      <c r="B5" s="396" t="s">
        <v>2</v>
      </c>
      <c r="C5" s="397" t="s">
        <v>3</v>
      </c>
      <c r="D5" s="398" t="s">
        <v>4</v>
      </c>
      <c r="E5" s="399" t="s">
        <v>5</v>
      </c>
      <c r="F5" s="209" t="s">
        <v>3</v>
      </c>
      <c r="G5" s="173" t="s">
        <v>4</v>
      </c>
      <c r="H5" s="210" t="s">
        <v>5</v>
      </c>
    </row>
    <row r="6" spans="1:8" x14ac:dyDescent="0.3">
      <c r="B6" s="377"/>
      <c r="C6" s="209" t="s">
        <v>6</v>
      </c>
      <c r="D6" s="169" t="s">
        <v>6</v>
      </c>
      <c r="E6" s="211" t="s">
        <v>6</v>
      </c>
      <c r="F6" s="209" t="s">
        <v>6</v>
      </c>
      <c r="G6" s="169" t="s">
        <v>6</v>
      </c>
      <c r="H6" s="211" t="s">
        <v>6</v>
      </c>
    </row>
    <row r="7" spans="1:8" x14ac:dyDescent="0.3">
      <c r="B7" s="378"/>
      <c r="C7" s="212"/>
      <c r="D7" s="177"/>
      <c r="E7" s="213"/>
      <c r="F7" s="212"/>
      <c r="G7" s="177"/>
      <c r="H7" s="213"/>
    </row>
    <row r="8" spans="1:8" x14ac:dyDescent="0.3">
      <c r="B8" s="400" t="s">
        <v>7</v>
      </c>
      <c r="C8" s="200"/>
      <c r="D8" s="197"/>
      <c r="E8" s="199">
        <f t="shared" ref="E8:E23" si="0">SUM(C8:D8)</f>
        <v>0</v>
      </c>
      <c r="F8" s="200"/>
      <c r="G8" s="197"/>
      <c r="H8" s="199">
        <f t="shared" ref="H8:H23" si="1">SUM(F8:G8)</f>
        <v>0</v>
      </c>
    </row>
    <row r="9" spans="1:8" ht="20.100000000000001" customHeight="1" x14ac:dyDescent="0.3">
      <c r="A9" s="192"/>
      <c r="B9" s="198" t="s">
        <v>8</v>
      </c>
      <c r="C9" s="201"/>
      <c r="D9" s="167"/>
      <c r="E9" s="199">
        <f t="shared" si="0"/>
        <v>0</v>
      </c>
      <c r="F9" s="201"/>
      <c r="G9" s="167"/>
      <c r="H9" s="199">
        <f t="shared" si="1"/>
        <v>0</v>
      </c>
    </row>
    <row r="10" spans="1:8" ht="20.100000000000001" customHeight="1" x14ac:dyDescent="0.3">
      <c r="A10" s="192"/>
      <c r="B10" s="198" t="s">
        <v>9</v>
      </c>
      <c r="C10" s="201"/>
      <c r="D10" s="167"/>
      <c r="E10" s="199">
        <f t="shared" si="0"/>
        <v>0</v>
      </c>
      <c r="F10" s="201"/>
      <c r="G10" s="167"/>
      <c r="H10" s="199">
        <f t="shared" si="1"/>
        <v>0</v>
      </c>
    </row>
    <row r="11" spans="1:8" ht="20.100000000000001" customHeight="1" x14ac:dyDescent="0.3">
      <c r="A11" s="192"/>
      <c r="B11" s="198" t="s">
        <v>10</v>
      </c>
      <c r="C11" s="201"/>
      <c r="D11" s="167"/>
      <c r="E11" s="199">
        <f t="shared" si="0"/>
        <v>0</v>
      </c>
      <c r="F11" s="201"/>
      <c r="G11" s="167"/>
      <c r="H11" s="199">
        <f t="shared" si="1"/>
        <v>0</v>
      </c>
    </row>
    <row r="12" spans="1:8" ht="20.100000000000001" customHeight="1" x14ac:dyDescent="0.3">
      <c r="A12" s="192"/>
      <c r="B12" s="198" t="s">
        <v>11</v>
      </c>
      <c r="C12" s="201"/>
      <c r="D12" s="167"/>
      <c r="E12" s="199">
        <f t="shared" si="0"/>
        <v>0</v>
      </c>
      <c r="F12" s="201"/>
      <c r="G12" s="167"/>
      <c r="H12" s="199">
        <f t="shared" si="1"/>
        <v>0</v>
      </c>
    </row>
    <row r="13" spans="1:8" ht="20.100000000000001" customHeight="1" x14ac:dyDescent="0.3">
      <c r="A13" s="192"/>
      <c r="B13" s="198" t="s">
        <v>12</v>
      </c>
      <c r="C13" s="201"/>
      <c r="D13" s="167"/>
      <c r="E13" s="199">
        <f t="shared" si="0"/>
        <v>0</v>
      </c>
      <c r="F13" s="201"/>
      <c r="G13" s="167"/>
      <c r="H13" s="199">
        <f t="shared" si="1"/>
        <v>0</v>
      </c>
    </row>
    <row r="14" spans="1:8" ht="20.100000000000001" customHeight="1" x14ac:dyDescent="0.3">
      <c r="A14" s="192"/>
      <c r="B14" s="198" t="s">
        <v>13</v>
      </c>
      <c r="C14" s="201"/>
      <c r="D14" s="167"/>
      <c r="E14" s="199">
        <f t="shared" si="0"/>
        <v>0</v>
      </c>
      <c r="F14" s="201"/>
      <c r="G14" s="167"/>
      <c r="H14" s="199">
        <f t="shared" si="1"/>
        <v>0</v>
      </c>
    </row>
    <row r="15" spans="1:8" ht="20.100000000000001" customHeight="1" x14ac:dyDescent="0.3">
      <c r="A15" s="192"/>
      <c r="B15" s="198" t="s">
        <v>14</v>
      </c>
      <c r="C15" s="201"/>
      <c r="D15" s="167"/>
      <c r="E15" s="199">
        <f t="shared" si="0"/>
        <v>0</v>
      </c>
      <c r="F15" s="201"/>
      <c r="G15" s="167"/>
      <c r="H15" s="199">
        <f t="shared" si="1"/>
        <v>0</v>
      </c>
    </row>
    <row r="16" spans="1:8" ht="20.100000000000001" customHeight="1" x14ac:dyDescent="0.3">
      <c r="A16" s="192"/>
      <c r="B16" s="198" t="s">
        <v>15</v>
      </c>
      <c r="C16" s="201"/>
      <c r="D16" s="167"/>
      <c r="E16" s="199">
        <f t="shared" si="0"/>
        <v>0</v>
      </c>
      <c r="F16" s="201"/>
      <c r="G16" s="167"/>
      <c r="H16" s="199">
        <f t="shared" si="1"/>
        <v>0</v>
      </c>
    </row>
    <row r="17" spans="1:16" ht="20.100000000000001" customHeight="1" x14ac:dyDescent="0.3">
      <c r="A17" s="192"/>
      <c r="B17" s="198" t="s">
        <v>16</v>
      </c>
      <c r="C17" s="201"/>
      <c r="D17" s="167"/>
      <c r="E17" s="199">
        <f t="shared" si="0"/>
        <v>0</v>
      </c>
      <c r="F17" s="201"/>
      <c r="G17" s="167"/>
      <c r="H17" s="199">
        <f t="shared" si="1"/>
        <v>0</v>
      </c>
    </row>
    <row r="18" spans="1:16" ht="20.100000000000001" customHeight="1" x14ac:dyDescent="0.3">
      <c r="A18" s="192"/>
      <c r="B18" s="198" t="s">
        <v>17</v>
      </c>
      <c r="C18" s="201"/>
      <c r="D18" s="167"/>
      <c r="E18" s="199">
        <f t="shared" si="0"/>
        <v>0</v>
      </c>
      <c r="F18" s="201"/>
      <c r="G18" s="167"/>
      <c r="H18" s="199">
        <f t="shared" si="1"/>
        <v>0</v>
      </c>
    </row>
    <row r="19" spans="1:16" ht="20.100000000000001" customHeight="1" x14ac:dyDescent="0.3">
      <c r="A19" s="192"/>
      <c r="B19" s="198" t="s">
        <v>18</v>
      </c>
      <c r="C19" s="201"/>
      <c r="D19" s="167"/>
      <c r="E19" s="199">
        <f t="shared" si="0"/>
        <v>0</v>
      </c>
      <c r="F19" s="201"/>
      <c r="G19" s="167"/>
      <c r="H19" s="199">
        <f t="shared" si="1"/>
        <v>0</v>
      </c>
    </row>
    <row r="20" spans="1:16" ht="20.100000000000001" customHeight="1" x14ac:dyDescent="0.3">
      <c r="A20" s="192"/>
      <c r="B20" s="198" t="s">
        <v>19</v>
      </c>
      <c r="C20" s="201"/>
      <c r="D20" s="167"/>
      <c r="E20" s="199">
        <f t="shared" si="0"/>
        <v>0</v>
      </c>
      <c r="F20" s="201"/>
      <c r="G20" s="167"/>
      <c r="H20" s="199">
        <f t="shared" si="1"/>
        <v>0</v>
      </c>
    </row>
    <row r="21" spans="1:16" s="171" customFormat="1" ht="20.100000000000001" customHeight="1" x14ac:dyDescent="0.3">
      <c r="A21" s="203"/>
      <c r="B21" s="198" t="s">
        <v>20</v>
      </c>
      <c r="C21" s="201"/>
      <c r="D21" s="167"/>
      <c r="E21" s="199">
        <f t="shared" si="0"/>
        <v>0</v>
      </c>
      <c r="F21" s="201"/>
      <c r="G21" s="167"/>
      <c r="H21" s="199">
        <f t="shared" si="1"/>
        <v>0</v>
      </c>
    </row>
    <row r="22" spans="1:16" s="171" customFormat="1" ht="20.100000000000001" customHeight="1" x14ac:dyDescent="0.3">
      <c r="B22" s="198" t="s">
        <v>21</v>
      </c>
      <c r="C22" s="201"/>
      <c r="D22" s="167"/>
      <c r="E22" s="199">
        <f t="shared" si="0"/>
        <v>0</v>
      </c>
      <c r="F22" s="201"/>
      <c r="G22" s="167"/>
      <c r="H22" s="199">
        <f t="shared" si="1"/>
        <v>0</v>
      </c>
    </row>
    <row r="23" spans="1:16" s="171" customFormat="1" ht="20.100000000000001" customHeight="1" x14ac:dyDescent="0.3">
      <c r="B23" s="204" t="s">
        <v>22</v>
      </c>
      <c r="C23" s="205"/>
      <c r="D23" s="206"/>
      <c r="E23" s="207">
        <f t="shared" si="0"/>
        <v>0</v>
      </c>
      <c r="F23" s="205"/>
      <c r="G23" s="206"/>
      <c r="H23" s="207">
        <f t="shared" si="1"/>
        <v>0</v>
      </c>
    </row>
    <row r="24" spans="1:16" s="171" customFormat="1" ht="20.100000000000001" customHeight="1" x14ac:dyDescent="0.3">
      <c r="B24" s="172"/>
      <c r="C24" s="167"/>
      <c r="D24" s="167"/>
      <c r="E24" s="170"/>
      <c r="F24" s="167"/>
      <c r="G24" s="167"/>
      <c r="H24" s="170"/>
    </row>
    <row r="25" spans="1:16" s="171" customFormat="1" ht="20.100000000000001" customHeight="1" thickBot="1" x14ac:dyDescent="0.35">
      <c r="B25" s="172" t="s">
        <v>23</v>
      </c>
      <c r="C25" s="179">
        <f t="shared" ref="C25:H25" si="2">SUM(C9:C23)</f>
        <v>0</v>
      </c>
      <c r="D25" s="179">
        <f t="shared" si="2"/>
        <v>0</v>
      </c>
      <c r="E25" s="179">
        <f t="shared" si="2"/>
        <v>0</v>
      </c>
      <c r="F25" s="179">
        <f t="shared" si="2"/>
        <v>0</v>
      </c>
      <c r="G25" s="179">
        <f t="shared" si="2"/>
        <v>0</v>
      </c>
      <c r="H25" s="179">
        <f t="shared" si="2"/>
        <v>0</v>
      </c>
    </row>
    <row r="26" spans="1:16" s="171" customFormat="1" ht="20.100000000000001" customHeight="1" thickTop="1" x14ac:dyDescent="0.3">
      <c r="F26" s="55"/>
      <c r="G26" s="55"/>
      <c r="H26" s="55"/>
    </row>
    <row r="27" spans="1:16" s="171" customFormat="1" ht="13.2" customHeight="1" x14ac:dyDescent="0.3"/>
    <row r="28" spans="1:16" x14ac:dyDescent="0.3">
      <c r="B28" s="456" t="s">
        <v>568</v>
      </c>
    </row>
    <row r="29" spans="1:16" x14ac:dyDescent="0.3">
      <c r="B29" s="55">
        <v>2026</v>
      </c>
    </row>
    <row r="30" spans="1:16" x14ac:dyDescent="0.3">
      <c r="B30" s="57"/>
      <c r="C30" s="58"/>
      <c r="D30" s="401" t="s">
        <v>24</v>
      </c>
      <c r="E30" s="401" t="s">
        <v>25</v>
      </c>
      <c r="F30" s="58" t="s">
        <v>26</v>
      </c>
      <c r="G30" s="58" t="s">
        <v>27</v>
      </c>
      <c r="H30" s="58" t="s">
        <v>28</v>
      </c>
      <c r="I30" s="58" t="s">
        <v>29</v>
      </c>
      <c r="J30" s="58" t="s">
        <v>27</v>
      </c>
      <c r="K30" s="58" t="s">
        <v>30</v>
      </c>
      <c r="L30" s="58" t="s">
        <v>31</v>
      </c>
      <c r="M30" s="58" t="s">
        <v>32</v>
      </c>
      <c r="N30" s="58" t="s">
        <v>33</v>
      </c>
      <c r="O30" s="58" t="s">
        <v>34</v>
      </c>
    </row>
    <row r="31" spans="1:16" x14ac:dyDescent="0.3">
      <c r="B31" s="57"/>
      <c r="C31" s="401" t="s">
        <v>7</v>
      </c>
      <c r="D31" s="401" t="s">
        <v>35</v>
      </c>
      <c r="E31" s="401" t="s">
        <v>36</v>
      </c>
      <c r="F31" s="58" t="s">
        <v>37</v>
      </c>
      <c r="G31" s="58" t="s">
        <v>38</v>
      </c>
      <c r="H31" s="58" t="s">
        <v>39</v>
      </c>
      <c r="I31" s="58" t="s">
        <v>40</v>
      </c>
      <c r="J31" s="58" t="s">
        <v>41</v>
      </c>
      <c r="K31" s="58" t="s">
        <v>42</v>
      </c>
      <c r="L31" s="58" t="s">
        <v>43</v>
      </c>
      <c r="M31" s="58" t="s">
        <v>44</v>
      </c>
      <c r="N31" s="58" t="s">
        <v>45</v>
      </c>
      <c r="O31" s="58" t="s">
        <v>46</v>
      </c>
      <c r="P31" s="58" t="s">
        <v>47</v>
      </c>
    </row>
    <row r="32" spans="1:16" x14ac:dyDescent="0.3">
      <c r="B32" s="57"/>
      <c r="C32" s="59" t="s">
        <v>40</v>
      </c>
      <c r="D32" s="59" t="s">
        <v>40</v>
      </c>
      <c r="E32" s="59" t="s">
        <v>40</v>
      </c>
      <c r="F32" s="59" t="s">
        <v>40</v>
      </c>
      <c r="G32" s="59" t="s">
        <v>40</v>
      </c>
      <c r="H32" s="59" t="s">
        <v>40</v>
      </c>
      <c r="I32" s="217"/>
      <c r="J32" s="59" t="s">
        <v>40</v>
      </c>
      <c r="K32" s="59" t="s">
        <v>40</v>
      </c>
      <c r="L32" s="59" t="s">
        <v>40</v>
      </c>
      <c r="M32" s="59" t="s">
        <v>40</v>
      </c>
      <c r="N32" s="59" t="s">
        <v>40</v>
      </c>
      <c r="O32" s="59" t="s">
        <v>40</v>
      </c>
      <c r="P32" s="59" t="s">
        <v>40</v>
      </c>
    </row>
    <row r="33" spans="2:16" x14ac:dyDescent="0.3">
      <c r="B33" s="190" t="s">
        <v>48</v>
      </c>
      <c r="C33" s="191">
        <f>+H8</f>
        <v>0</v>
      </c>
      <c r="D33" s="191">
        <f>+H9</f>
        <v>0</v>
      </c>
      <c r="E33" s="191">
        <f>+H10</f>
        <v>0</v>
      </c>
      <c r="F33" s="191">
        <f>+H11</f>
        <v>0</v>
      </c>
      <c r="G33" s="191">
        <f>+H13</f>
        <v>0</v>
      </c>
      <c r="H33" s="191">
        <f>+H12</f>
        <v>0</v>
      </c>
      <c r="I33" s="191">
        <f>+H15</f>
        <v>0</v>
      </c>
      <c r="J33" s="191">
        <f>+H14</f>
        <v>0</v>
      </c>
      <c r="K33" s="191">
        <f>+E16</f>
        <v>0</v>
      </c>
      <c r="L33" s="191">
        <f>+E20</f>
        <v>0</v>
      </c>
      <c r="M33" s="191">
        <f>+E17</f>
        <v>0</v>
      </c>
      <c r="N33" s="191">
        <f>+E18</f>
        <v>0</v>
      </c>
      <c r="O33" s="191">
        <f>+E19</f>
        <v>0</v>
      </c>
      <c r="P33" s="193">
        <f t="shared" ref="P33:P39" si="3">SUM(C34:O34)</f>
        <v>0</v>
      </c>
    </row>
    <row r="34" spans="2:16" x14ac:dyDescent="0.3">
      <c r="B34" s="57" t="s">
        <v>49</v>
      </c>
      <c r="C34" s="193">
        <v>0</v>
      </c>
      <c r="D34" s="193">
        <v>0</v>
      </c>
      <c r="E34" s="193">
        <v>0</v>
      </c>
      <c r="F34" s="193">
        <v>0</v>
      </c>
      <c r="G34" s="193">
        <v>0</v>
      </c>
      <c r="H34" s="193">
        <v>0</v>
      </c>
      <c r="I34" s="193">
        <v>0</v>
      </c>
      <c r="J34" s="193">
        <v>0</v>
      </c>
      <c r="K34" s="193">
        <v>0</v>
      </c>
      <c r="L34" s="193">
        <v>0</v>
      </c>
      <c r="M34" s="193">
        <v>0</v>
      </c>
      <c r="N34" s="193">
        <v>0</v>
      </c>
      <c r="O34" s="193">
        <v>0</v>
      </c>
      <c r="P34" s="193">
        <f t="shared" si="3"/>
        <v>0</v>
      </c>
    </row>
    <row r="35" spans="2:16" x14ac:dyDescent="0.3">
      <c r="B35" s="402" t="s">
        <v>50</v>
      </c>
      <c r="C35" s="193">
        <v>0</v>
      </c>
      <c r="D35" s="193">
        <v>0</v>
      </c>
      <c r="E35" s="193">
        <v>0</v>
      </c>
      <c r="F35" s="193">
        <v>0</v>
      </c>
      <c r="G35" s="193">
        <v>0</v>
      </c>
      <c r="H35" s="193">
        <v>0</v>
      </c>
      <c r="I35" s="193">
        <v>0</v>
      </c>
      <c r="J35" s="193">
        <v>0</v>
      </c>
      <c r="K35" s="193">
        <v>0</v>
      </c>
      <c r="L35" s="193">
        <v>0</v>
      </c>
      <c r="M35" s="193">
        <v>0</v>
      </c>
      <c r="N35" s="193">
        <v>0</v>
      </c>
      <c r="O35" s="193">
        <v>0</v>
      </c>
      <c r="P35" s="193">
        <f t="shared" si="3"/>
        <v>0</v>
      </c>
    </row>
    <row r="36" spans="2:16" x14ac:dyDescent="0.3">
      <c r="B36" s="57" t="s">
        <v>51</v>
      </c>
      <c r="C36" s="193">
        <v>0</v>
      </c>
      <c r="D36" s="193">
        <v>0</v>
      </c>
      <c r="E36" s="193">
        <v>0</v>
      </c>
      <c r="F36" s="193">
        <v>0</v>
      </c>
      <c r="G36" s="193">
        <v>0</v>
      </c>
      <c r="H36" s="193">
        <v>0</v>
      </c>
      <c r="I36" s="193">
        <v>0</v>
      </c>
      <c r="J36" s="193">
        <v>0</v>
      </c>
      <c r="K36" s="193">
        <v>0</v>
      </c>
      <c r="L36" s="193">
        <v>0</v>
      </c>
      <c r="M36" s="193">
        <v>0</v>
      </c>
      <c r="N36" s="193">
        <v>0</v>
      </c>
      <c r="O36" s="193">
        <v>0</v>
      </c>
      <c r="P36" s="193">
        <f t="shared" si="3"/>
        <v>0</v>
      </c>
    </row>
    <row r="37" spans="2:16" x14ac:dyDescent="0.3">
      <c r="B37" s="57" t="s">
        <v>52</v>
      </c>
      <c r="C37" s="193">
        <v>0</v>
      </c>
      <c r="D37" s="193">
        <v>0</v>
      </c>
      <c r="E37" s="193">
        <v>0</v>
      </c>
      <c r="F37" s="193">
        <v>0</v>
      </c>
      <c r="G37" s="193">
        <v>0</v>
      </c>
      <c r="H37" s="193">
        <v>0</v>
      </c>
      <c r="I37" s="193">
        <v>0</v>
      </c>
      <c r="J37" s="193">
        <v>0</v>
      </c>
      <c r="K37" s="193">
        <v>0</v>
      </c>
      <c r="L37" s="193">
        <v>0</v>
      </c>
      <c r="M37" s="193">
        <v>0</v>
      </c>
      <c r="N37" s="193">
        <v>0</v>
      </c>
      <c r="O37" s="193">
        <v>0</v>
      </c>
      <c r="P37" s="193">
        <f t="shared" si="3"/>
        <v>0</v>
      </c>
    </row>
    <row r="38" spans="2:16" x14ac:dyDescent="0.3">
      <c r="B38" s="57" t="s">
        <v>53</v>
      </c>
      <c r="C38" s="218"/>
      <c r="D38" s="218"/>
      <c r="E38" s="219"/>
      <c r="F38" s="219"/>
      <c r="G38" s="219"/>
      <c r="H38" s="326"/>
      <c r="I38" s="326"/>
      <c r="J38" s="326"/>
      <c r="K38" s="326">
        <v>0</v>
      </c>
      <c r="L38" s="327"/>
      <c r="M38" s="219"/>
      <c r="N38" s="219"/>
      <c r="O38" s="218"/>
      <c r="P38" s="193">
        <f t="shared" si="3"/>
        <v>0</v>
      </c>
    </row>
    <row r="39" spans="2:16" x14ac:dyDescent="0.3">
      <c r="B39" s="190" t="s">
        <v>54</v>
      </c>
      <c r="C39" s="61">
        <f>+E8</f>
        <v>0</v>
      </c>
      <c r="D39" s="61">
        <f>+E9</f>
        <v>0</v>
      </c>
      <c r="E39" s="62">
        <f>+E10</f>
        <v>0</v>
      </c>
      <c r="F39" s="61">
        <f>+E11</f>
        <v>0</v>
      </c>
      <c r="G39" s="61">
        <f>+E13</f>
        <v>0</v>
      </c>
      <c r="H39" s="328">
        <f>+E12</f>
        <v>0</v>
      </c>
      <c r="I39" s="328">
        <f>+E15</f>
        <v>0</v>
      </c>
      <c r="J39" s="328">
        <f>+E14</f>
        <v>0</v>
      </c>
      <c r="K39" s="328">
        <f>+E16</f>
        <v>0</v>
      </c>
      <c r="L39" s="328">
        <f>+E20</f>
        <v>0</v>
      </c>
      <c r="M39" s="61">
        <f>+E17</f>
        <v>0</v>
      </c>
      <c r="N39" s="61">
        <f>+E18</f>
        <v>0</v>
      </c>
      <c r="O39" s="61">
        <f>+E19</f>
        <v>0</v>
      </c>
      <c r="P39" s="61">
        <f t="shared" si="3"/>
        <v>0</v>
      </c>
    </row>
    <row r="40" spans="2:16" ht="14.4" customHeight="1" thickBot="1" x14ac:dyDescent="0.35">
      <c r="D40" s="194"/>
      <c r="E40" s="195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</row>
    <row r="41" spans="2:16" ht="14.4" customHeight="1" thickTop="1" x14ac:dyDescent="0.3"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60"/>
    </row>
    <row r="42" spans="2:16" x14ac:dyDescent="0.3">
      <c r="B42" s="189"/>
      <c r="C42" s="189"/>
      <c r="D42" s="6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39997558519241921"/>
  </sheetPr>
  <dimension ref="B2:AL44"/>
  <sheetViews>
    <sheetView showGridLines="0" zoomScale="70" zoomScaleNormal="70" workbookViewId="0">
      <selection activeCell="B37" sqref="B37"/>
    </sheetView>
  </sheetViews>
  <sheetFormatPr baseColWidth="10" defaultColWidth="11.44140625" defaultRowHeight="13.8" x14ac:dyDescent="0.3"/>
  <cols>
    <col min="1" max="1" width="11.44140625" style="55" customWidth="1"/>
    <col min="2" max="2" width="33.109375" style="55" customWidth="1"/>
    <col min="3" max="3" width="13.88671875" style="55" customWidth="1"/>
    <col min="4" max="4" width="13.44140625" style="55" customWidth="1"/>
    <col min="5" max="5" width="15.109375" style="55" customWidth="1"/>
    <col min="6" max="6" width="13.88671875" style="55" bestFit="1" customWidth="1"/>
    <col min="7" max="7" width="23.109375" style="55" bestFit="1" customWidth="1"/>
    <col min="8" max="8" width="13.33203125" style="55" bestFit="1" customWidth="1"/>
    <col min="9" max="9" width="5.109375" style="55" customWidth="1"/>
    <col min="10" max="10" width="18.5546875" style="55" bestFit="1" customWidth="1"/>
    <col min="11" max="11" width="12.77734375" style="55" customWidth="1"/>
    <col min="12" max="12" width="18" style="55" bestFit="1" customWidth="1"/>
    <col min="13" max="13" width="11.44140625" style="55" customWidth="1"/>
    <col min="14" max="14" width="25.5546875" style="55" customWidth="1"/>
    <col min="15" max="15" width="14.88671875" style="55" customWidth="1"/>
    <col min="16" max="16" width="13.5546875" style="55" bestFit="1" customWidth="1"/>
    <col min="17" max="17" width="14.77734375" style="55" bestFit="1" customWidth="1"/>
    <col min="18" max="18" width="13.77734375" style="55" bestFit="1" customWidth="1"/>
    <col min="19" max="19" width="12" style="55" bestFit="1" customWidth="1"/>
    <col min="20" max="20" width="12.77734375" style="55" bestFit="1" customWidth="1"/>
    <col min="21" max="21" width="12" style="55" bestFit="1" customWidth="1"/>
    <col min="22" max="22" width="15.109375" style="55" bestFit="1" customWidth="1"/>
    <col min="23" max="23" width="12.77734375" style="55" bestFit="1" customWidth="1"/>
    <col min="24" max="24" width="14.5546875" style="55" bestFit="1" customWidth="1"/>
    <col min="25" max="25" width="13.77734375" style="55" bestFit="1" customWidth="1"/>
    <col min="26" max="27" width="12" style="55" bestFit="1" customWidth="1"/>
    <col min="28" max="28" width="13.77734375" style="55" bestFit="1" customWidth="1"/>
    <col min="29" max="29" width="13.77734375" style="55" customWidth="1"/>
    <col min="30" max="30" width="14.77734375" style="55" bestFit="1" customWidth="1"/>
    <col min="31" max="31" width="12.44140625" style="55" bestFit="1" customWidth="1"/>
    <col min="32" max="32" width="12" style="55" bestFit="1" customWidth="1"/>
    <col min="33" max="38" width="11.44140625" style="55" customWidth="1"/>
    <col min="39" max="39" width="11.6640625" style="55" bestFit="1" customWidth="1"/>
    <col min="40" max="40" width="11.6640625" style="55" customWidth="1"/>
    <col min="41" max="43" width="11.44140625" style="55" customWidth="1"/>
    <col min="44" max="16384" width="11.44140625" style="55"/>
  </cols>
  <sheetData>
    <row r="2" spans="2:38" x14ac:dyDescent="0.3">
      <c r="B2" s="451" t="s">
        <v>569</v>
      </c>
      <c r="C2" s="540"/>
      <c r="D2" s="541"/>
      <c r="E2" s="541"/>
      <c r="F2" s="540"/>
      <c r="G2" s="541"/>
      <c r="H2" s="541"/>
      <c r="J2" s="542"/>
      <c r="K2" s="541"/>
      <c r="L2" s="54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</row>
    <row r="3" spans="2:38" x14ac:dyDescent="0.3">
      <c r="B3" s="175"/>
      <c r="C3" s="171"/>
      <c r="D3" s="176" t="s">
        <v>0</v>
      </c>
      <c r="E3" s="176"/>
      <c r="F3" s="171"/>
      <c r="G3" s="176" t="s">
        <v>141</v>
      </c>
      <c r="H3" s="176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  <c r="AB3" s="171"/>
      <c r="AC3" s="171"/>
      <c r="AD3" s="171"/>
      <c r="AE3" s="171"/>
      <c r="AF3" s="171"/>
      <c r="AG3" s="171"/>
      <c r="AH3" s="171"/>
      <c r="AI3" s="171"/>
      <c r="AJ3" s="171"/>
      <c r="AK3" s="171"/>
      <c r="AL3" s="171"/>
    </row>
    <row r="4" spans="2:38" ht="25.5" customHeight="1" x14ac:dyDescent="0.3">
      <c r="B4" s="403" t="s">
        <v>2</v>
      </c>
      <c r="C4" s="404" t="s">
        <v>3</v>
      </c>
      <c r="D4" s="404" t="s">
        <v>4</v>
      </c>
      <c r="E4" s="404" t="s">
        <v>5</v>
      </c>
      <c r="F4" s="177" t="s">
        <v>3</v>
      </c>
      <c r="G4" s="178" t="s">
        <v>4</v>
      </c>
      <c r="H4" s="178" t="s">
        <v>5</v>
      </c>
      <c r="J4" s="56"/>
      <c r="K4" s="147"/>
      <c r="L4" s="147"/>
      <c r="N4" s="349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0"/>
      <c r="AC4" s="350"/>
      <c r="AD4" s="350"/>
      <c r="AE4" s="171"/>
      <c r="AF4" s="171"/>
      <c r="AG4" s="171"/>
      <c r="AH4" s="171"/>
      <c r="AI4" s="171"/>
      <c r="AJ4" s="171"/>
      <c r="AK4" s="171"/>
      <c r="AL4" s="171"/>
    </row>
    <row r="5" spans="2:38" x14ac:dyDescent="0.3">
      <c r="B5" s="168"/>
      <c r="C5" s="169" t="s">
        <v>6</v>
      </c>
      <c r="D5" s="169" t="s">
        <v>6</v>
      </c>
      <c r="E5" s="169" t="s">
        <v>6</v>
      </c>
      <c r="F5" s="169" t="s">
        <v>6</v>
      </c>
      <c r="G5" s="169" t="s">
        <v>6</v>
      </c>
      <c r="H5" s="169" t="s">
        <v>6</v>
      </c>
      <c r="J5" s="56"/>
      <c r="K5" s="56"/>
      <c r="L5" s="56"/>
      <c r="N5" s="349"/>
      <c r="O5" s="350"/>
      <c r="P5" s="350"/>
      <c r="Q5" s="350"/>
      <c r="R5" s="350"/>
      <c r="S5" s="350"/>
      <c r="T5" s="350"/>
      <c r="U5" s="351"/>
      <c r="V5" s="350"/>
      <c r="W5" s="350"/>
      <c r="X5" s="350"/>
      <c r="Y5" s="351"/>
      <c r="Z5" s="350"/>
      <c r="AA5" s="350"/>
      <c r="AB5" s="350"/>
      <c r="AC5" s="350"/>
      <c r="AD5" s="350"/>
      <c r="AE5" s="171"/>
      <c r="AF5" s="171"/>
      <c r="AG5" s="171"/>
      <c r="AH5" s="171"/>
      <c r="AI5" s="171"/>
      <c r="AJ5" s="171"/>
      <c r="AK5" s="171"/>
      <c r="AL5" s="171"/>
    </row>
    <row r="6" spans="2:38" x14ac:dyDescent="0.3">
      <c r="B6" s="168"/>
      <c r="C6" s="169"/>
      <c r="D6" s="169"/>
      <c r="E6" s="169"/>
      <c r="F6" s="169"/>
      <c r="G6" s="169"/>
      <c r="H6" s="169"/>
      <c r="J6" s="56"/>
      <c r="K6" s="56"/>
      <c r="L6" s="56"/>
      <c r="N6" s="349"/>
      <c r="O6" s="350"/>
      <c r="P6" s="350"/>
      <c r="Q6" s="350"/>
      <c r="R6" s="350"/>
      <c r="S6" s="350"/>
      <c r="T6" s="350"/>
      <c r="U6" s="351"/>
      <c r="V6" s="350"/>
      <c r="W6" s="350"/>
      <c r="X6" s="350"/>
      <c r="Y6" s="351"/>
      <c r="Z6" s="350"/>
      <c r="AA6" s="350"/>
      <c r="AB6" s="350"/>
      <c r="AC6" s="350"/>
      <c r="AD6" s="350"/>
      <c r="AE6" s="171"/>
      <c r="AF6" s="171"/>
      <c r="AG6" s="171"/>
      <c r="AH6" s="171"/>
      <c r="AI6" s="171"/>
      <c r="AJ6" s="171"/>
      <c r="AK6" s="171"/>
      <c r="AL6" s="171"/>
    </row>
    <row r="7" spans="2:38" ht="20.100000000000001" customHeight="1" x14ac:dyDescent="0.3">
      <c r="B7" s="405" t="s">
        <v>142</v>
      </c>
      <c r="C7" s="170">
        <v>0</v>
      </c>
      <c r="D7" s="170">
        <v>0</v>
      </c>
      <c r="E7" s="170">
        <f>SUM(C7:D7)</f>
        <v>0</v>
      </c>
      <c r="F7" s="170">
        <v>0</v>
      </c>
      <c r="G7" s="170">
        <v>0</v>
      </c>
      <c r="H7" s="170">
        <f>SUM(F7:G7)</f>
        <v>0</v>
      </c>
      <c r="J7" s="148"/>
      <c r="K7" s="148"/>
      <c r="L7" s="148"/>
      <c r="N7" s="352"/>
      <c r="O7" s="352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1"/>
      <c r="AC7" s="171"/>
      <c r="AD7" s="171"/>
      <c r="AE7" s="171"/>
      <c r="AF7" s="171"/>
      <c r="AG7" s="171"/>
      <c r="AH7" s="171"/>
      <c r="AI7" s="171"/>
      <c r="AJ7" s="171"/>
      <c r="AK7" s="171"/>
      <c r="AL7" s="171"/>
    </row>
    <row r="8" spans="2:38" ht="20.100000000000001" customHeight="1" x14ac:dyDescent="0.3">
      <c r="B8" s="172"/>
      <c r="C8" s="167"/>
      <c r="D8" s="167"/>
      <c r="E8" s="170"/>
      <c r="F8" s="167"/>
      <c r="G8" s="167"/>
      <c r="H8" s="170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</row>
    <row r="9" spans="2:38" ht="20.100000000000001" customHeight="1" thickBot="1" x14ac:dyDescent="0.35">
      <c r="B9" s="172" t="s">
        <v>23</v>
      </c>
      <c r="C9" s="179">
        <f t="shared" ref="C9:H9" si="0">SUM(C7:C8)</f>
        <v>0</v>
      </c>
      <c r="D9" s="179">
        <f t="shared" si="0"/>
        <v>0</v>
      </c>
      <c r="E9" s="179">
        <f t="shared" si="0"/>
        <v>0</v>
      </c>
      <c r="F9" s="179">
        <f t="shared" si="0"/>
        <v>0</v>
      </c>
      <c r="G9" s="179">
        <f t="shared" si="0"/>
        <v>0</v>
      </c>
      <c r="H9" s="179">
        <f t="shared" si="0"/>
        <v>0</v>
      </c>
      <c r="J9" s="149"/>
      <c r="K9" s="149"/>
      <c r="L9" s="149"/>
      <c r="N9" s="171"/>
      <c r="O9" s="208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</row>
    <row r="10" spans="2:38" ht="20.100000000000001" customHeight="1" thickTop="1" x14ac:dyDescent="0.3">
      <c r="B10" s="171"/>
      <c r="C10" s="171"/>
      <c r="D10" s="171"/>
      <c r="E10" s="171"/>
      <c r="F10" s="7"/>
      <c r="G10" s="7"/>
      <c r="H10" s="7"/>
      <c r="N10" s="171"/>
      <c r="O10" s="202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  <c r="AB10" s="171"/>
      <c r="AC10" s="171"/>
      <c r="AD10" s="171"/>
      <c r="AE10" s="171"/>
      <c r="AF10" s="171"/>
      <c r="AG10" s="171"/>
      <c r="AH10" s="171"/>
      <c r="AI10" s="171"/>
      <c r="AJ10" s="171"/>
      <c r="AK10" s="171"/>
      <c r="AL10" s="171"/>
    </row>
    <row r="11" spans="2:38" x14ac:dyDescent="0.3">
      <c r="B11" s="180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171"/>
      <c r="AJ11" s="171"/>
      <c r="AK11" s="171"/>
      <c r="AL11" s="171"/>
    </row>
    <row r="12" spans="2:38" x14ac:dyDescent="0.3">
      <c r="B12" s="451" t="s">
        <v>570</v>
      </c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  <c r="AB12" s="171"/>
      <c r="AC12" s="171"/>
      <c r="AD12" s="171"/>
      <c r="AE12" s="171"/>
      <c r="AF12" s="171"/>
      <c r="AG12" s="171"/>
      <c r="AH12" s="171"/>
      <c r="AI12" s="171"/>
      <c r="AJ12" s="171"/>
      <c r="AK12" s="171"/>
      <c r="AL12" s="171"/>
    </row>
    <row r="13" spans="2:38" x14ac:dyDescent="0.3">
      <c r="B13" s="402" t="s">
        <v>143</v>
      </c>
      <c r="C13" s="154"/>
      <c r="D13" s="154"/>
      <c r="E13" s="154"/>
    </row>
    <row r="14" spans="2:38" ht="29.4" customHeight="1" x14ac:dyDescent="0.3">
      <c r="B14" s="136"/>
      <c r="C14" s="176" t="s">
        <v>0</v>
      </c>
      <c r="D14" s="176" t="s">
        <v>141</v>
      </c>
      <c r="E14" s="154"/>
    </row>
    <row r="15" spans="2:38" x14ac:dyDescent="0.3">
      <c r="B15" s="153"/>
      <c r="C15" s="150" t="s">
        <v>6</v>
      </c>
      <c r="D15" s="150" t="s">
        <v>6</v>
      </c>
      <c r="E15" s="154"/>
    </row>
    <row r="16" spans="2:38" x14ac:dyDescent="0.3">
      <c r="B16" s="406" t="s">
        <v>48</v>
      </c>
      <c r="C16" s="155">
        <v>0</v>
      </c>
      <c r="D16" s="155">
        <v>0</v>
      </c>
      <c r="E16" s="154"/>
    </row>
    <row r="17" spans="2:5" x14ac:dyDescent="0.3">
      <c r="B17" s="406" t="s">
        <v>49</v>
      </c>
      <c r="C17" s="297">
        <v>0</v>
      </c>
      <c r="D17" s="297">
        <v>0</v>
      </c>
      <c r="E17" s="154"/>
    </row>
    <row r="18" spans="2:5" x14ac:dyDescent="0.3">
      <c r="B18" s="406" t="s">
        <v>50</v>
      </c>
      <c r="C18" s="297">
        <v>0</v>
      </c>
      <c r="D18" s="297">
        <v>0</v>
      </c>
      <c r="E18" s="154"/>
    </row>
    <row r="19" spans="2:5" x14ac:dyDescent="0.3">
      <c r="B19" s="406" t="s">
        <v>144</v>
      </c>
      <c r="C19" s="297">
        <v>0</v>
      </c>
      <c r="D19" s="297">
        <v>0</v>
      </c>
      <c r="E19" s="154"/>
    </row>
    <row r="20" spans="2:5" ht="14.4" customHeight="1" x14ac:dyDescent="0.3">
      <c r="B20" s="406" t="s">
        <v>53</v>
      </c>
      <c r="C20" s="331">
        <v>0</v>
      </c>
      <c r="D20" s="331">
        <v>0</v>
      </c>
      <c r="E20" s="154"/>
    </row>
    <row r="21" spans="2:5" ht="14.4" customHeight="1" thickBot="1" x14ac:dyDescent="0.35">
      <c r="B21" s="407" t="s">
        <v>145</v>
      </c>
      <c r="C21" s="330">
        <f>SUM(C16:C20)</f>
        <v>0</v>
      </c>
      <c r="D21" s="330">
        <f>SUM(D16:D20)</f>
        <v>0</v>
      </c>
      <c r="E21" s="154"/>
    </row>
    <row r="22" spans="2:5" ht="14.4" customHeight="1" thickTop="1" x14ac:dyDescent="0.3">
      <c r="B22" s="18"/>
      <c r="C22" s="156"/>
      <c r="D22" s="18"/>
      <c r="E22" s="154"/>
    </row>
    <row r="23" spans="2:5" x14ac:dyDescent="0.3">
      <c r="E23" s="154"/>
    </row>
    <row r="25" spans="2:5" ht="14.4" customHeight="1" x14ac:dyDescent="0.3">
      <c r="B25" s="402" t="s">
        <v>146</v>
      </c>
    </row>
    <row r="26" spans="2:5" ht="14.4" customHeight="1" x14ac:dyDescent="0.3">
      <c r="B26" s="451" t="s">
        <v>571</v>
      </c>
    </row>
    <row r="27" spans="2:5" ht="14.4" customHeight="1" x14ac:dyDescent="0.3">
      <c r="C27" s="329" t="s">
        <v>0</v>
      </c>
      <c r="D27" s="329" t="s">
        <v>141</v>
      </c>
    </row>
    <row r="28" spans="2:5" x14ac:dyDescent="0.3">
      <c r="B28" s="408" t="s">
        <v>147</v>
      </c>
      <c r="C28" s="290" t="s">
        <v>6</v>
      </c>
      <c r="D28" s="290" t="s">
        <v>6</v>
      </c>
    </row>
    <row r="29" spans="2:5" ht="14.4" customHeight="1" x14ac:dyDescent="0.3"/>
    <row r="30" spans="2:5" x14ac:dyDescent="0.3">
      <c r="B30" s="408" t="s">
        <v>148</v>
      </c>
      <c r="C30" s="297">
        <v>0</v>
      </c>
      <c r="D30" s="297">
        <v>0</v>
      </c>
    </row>
    <row r="31" spans="2:5" x14ac:dyDescent="0.3">
      <c r="B31" s="408" t="s">
        <v>149</v>
      </c>
      <c r="C31" s="297">
        <v>0</v>
      </c>
      <c r="D31" s="297">
        <v>0</v>
      </c>
    </row>
    <row r="32" spans="2:5" ht="14.4" customHeight="1" x14ac:dyDescent="0.3">
      <c r="B32" s="408" t="s">
        <v>150</v>
      </c>
      <c r="C32" s="331">
        <v>0</v>
      </c>
      <c r="D32" s="331">
        <v>0</v>
      </c>
    </row>
    <row r="33" spans="2:5" ht="14.4" customHeight="1" thickBot="1" x14ac:dyDescent="0.35">
      <c r="B33" s="408" t="s">
        <v>62</v>
      </c>
      <c r="C33" s="330">
        <f>SUM(C30:C32)</f>
        <v>0</v>
      </c>
      <c r="D33" s="330">
        <f>SUM(D30:D32)</f>
        <v>0</v>
      </c>
    </row>
    <row r="34" spans="2:5" ht="14.4" customHeight="1" thickTop="1" x14ac:dyDescent="0.3"/>
    <row r="35" spans="2:5" x14ac:dyDescent="0.3">
      <c r="B35" s="402" t="s">
        <v>151</v>
      </c>
    </row>
    <row r="36" spans="2:5" ht="14.4" customHeight="1" x14ac:dyDescent="0.3">
      <c r="B36" s="451" t="s">
        <v>662</v>
      </c>
    </row>
    <row r="37" spans="2:5" ht="14.4" customHeight="1" x14ac:dyDescent="0.3">
      <c r="C37" s="408" t="s">
        <v>152</v>
      </c>
      <c r="D37" s="408" t="s">
        <v>153</v>
      </c>
      <c r="E37" s="408" t="s">
        <v>154</v>
      </c>
    </row>
    <row r="38" spans="2:5" x14ac:dyDescent="0.3">
      <c r="B38" s="408" t="s">
        <v>147</v>
      </c>
      <c r="C38" s="290" t="s">
        <v>6</v>
      </c>
      <c r="D38" s="290" t="s">
        <v>6</v>
      </c>
      <c r="E38" s="290" t="s">
        <v>6</v>
      </c>
    </row>
    <row r="39" spans="2:5" ht="14.4" customHeight="1" x14ac:dyDescent="0.3"/>
    <row r="40" spans="2:5" x14ac:dyDescent="0.3">
      <c r="B40" s="408" t="s">
        <v>148</v>
      </c>
      <c r="C40" s="297">
        <v>0</v>
      </c>
      <c r="D40" s="297">
        <v>0</v>
      </c>
      <c r="E40" s="297">
        <v>0</v>
      </c>
    </row>
    <row r="41" spans="2:5" x14ac:dyDescent="0.3">
      <c r="B41" s="408" t="s">
        <v>149</v>
      </c>
      <c r="C41" s="297">
        <v>0</v>
      </c>
      <c r="D41" s="297">
        <v>0</v>
      </c>
      <c r="E41" s="297">
        <v>0</v>
      </c>
    </row>
    <row r="42" spans="2:5" ht="14.4" customHeight="1" x14ac:dyDescent="0.3">
      <c r="B42" s="408" t="s">
        <v>155</v>
      </c>
      <c r="C42" s="331">
        <v>0</v>
      </c>
      <c r="D42" s="331">
        <v>0</v>
      </c>
      <c r="E42" s="331">
        <v>0</v>
      </c>
    </row>
    <row r="43" spans="2:5" ht="14.4" customHeight="1" thickBot="1" x14ac:dyDescent="0.35">
      <c r="B43" s="408" t="s">
        <v>62</v>
      </c>
      <c r="C43" s="330">
        <f>SUM(C40:C42)</f>
        <v>0</v>
      </c>
      <c r="D43" s="330">
        <f t="shared" ref="D43:E43" si="1">SUM(D40:D42)</f>
        <v>0</v>
      </c>
      <c r="E43" s="330">
        <f t="shared" si="1"/>
        <v>0</v>
      </c>
    </row>
    <row r="44" spans="2:5" ht="14.4" thickTop="1" x14ac:dyDescent="0.3"/>
  </sheetData>
  <mergeCells count="3">
    <mergeCell ref="C2:E2"/>
    <mergeCell ref="J2:L2"/>
    <mergeCell ref="F2:H2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5" tint="0.39997558519241921"/>
  </sheetPr>
  <dimension ref="B2:D6"/>
  <sheetViews>
    <sheetView showGridLines="0" workbookViewId="0">
      <selection activeCell="G11" sqref="G11"/>
    </sheetView>
  </sheetViews>
  <sheetFormatPr baseColWidth="10" defaultRowHeight="14.4" x14ac:dyDescent="0.3"/>
  <cols>
    <col min="2" max="2" width="47.77734375" customWidth="1"/>
  </cols>
  <sheetData>
    <row r="2" spans="2:4" x14ac:dyDescent="0.3">
      <c r="B2" s="451" t="s">
        <v>572</v>
      </c>
    </row>
    <row r="3" spans="2:4" x14ac:dyDescent="0.3">
      <c r="C3" s="409">
        <v>46022</v>
      </c>
      <c r="D3" s="409">
        <v>45657</v>
      </c>
    </row>
    <row r="4" spans="2:4" x14ac:dyDescent="0.3">
      <c r="B4" s="356"/>
      <c r="C4" s="353" t="s">
        <v>6</v>
      </c>
      <c r="D4" s="353" t="s">
        <v>6</v>
      </c>
    </row>
    <row r="5" spans="2:4" x14ac:dyDescent="0.3">
      <c r="B5" s="386" t="s">
        <v>159</v>
      </c>
      <c r="C5" s="354">
        <v>0</v>
      </c>
      <c r="D5" s="354">
        <v>0</v>
      </c>
    </row>
    <row r="6" spans="2:4" x14ac:dyDescent="0.3">
      <c r="B6" s="357" t="s">
        <v>62</v>
      </c>
      <c r="C6" s="355">
        <f>+C5</f>
        <v>0</v>
      </c>
      <c r="D6" s="355">
        <f>+D5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39997558519241921"/>
  </sheetPr>
  <dimension ref="C1:J23"/>
  <sheetViews>
    <sheetView showGridLines="0" topLeftCell="B1" zoomScale="90" zoomScaleNormal="90" workbookViewId="0">
      <selection activeCell="D1" sqref="D1:L1048576"/>
    </sheetView>
  </sheetViews>
  <sheetFormatPr baseColWidth="10" defaultRowHeight="13.2" x14ac:dyDescent="0.25"/>
  <cols>
    <col min="1" max="2" width="11.5546875" style="73" customWidth="1"/>
    <col min="3" max="3" width="35.6640625" style="73" customWidth="1"/>
    <col min="4" max="4" width="14.33203125" style="73" customWidth="1"/>
    <col min="5" max="5" width="12.44140625" style="73" bestFit="1" customWidth="1"/>
    <col min="6" max="6" width="6.21875" style="73" customWidth="1"/>
    <col min="7" max="9" width="11.5546875" style="73" customWidth="1"/>
    <col min="10" max="16384" width="11.5546875" style="73"/>
  </cols>
  <sheetData>
    <row r="1" spans="3:10" s="371" customFormat="1" x14ac:dyDescent="0.25"/>
    <row r="3" spans="3:10" x14ac:dyDescent="0.25">
      <c r="C3" s="451" t="s">
        <v>562</v>
      </c>
    </row>
    <row r="4" spans="3:10" ht="21" customHeight="1" x14ac:dyDescent="0.25">
      <c r="C4" s="543" t="s">
        <v>160</v>
      </c>
      <c r="D4" s="74" t="s">
        <v>0</v>
      </c>
      <c r="E4" s="74" t="s">
        <v>141</v>
      </c>
    </row>
    <row r="5" spans="3:10" x14ac:dyDescent="0.25">
      <c r="C5" s="544"/>
      <c r="D5" s="181" t="s">
        <v>6</v>
      </c>
      <c r="E5" s="181" t="s">
        <v>6</v>
      </c>
    </row>
    <row r="6" spans="3:10" x14ac:dyDescent="0.25">
      <c r="C6" s="410" t="s">
        <v>161</v>
      </c>
      <c r="D6" s="75"/>
      <c r="E6" s="76"/>
    </row>
    <row r="7" spans="3:10" x14ac:dyDescent="0.25">
      <c r="C7" s="410" t="s">
        <v>162</v>
      </c>
      <c r="D7" s="75"/>
      <c r="E7" s="76">
        <v>0</v>
      </c>
    </row>
    <row r="8" spans="3:10" x14ac:dyDescent="0.25">
      <c r="C8" s="410" t="s">
        <v>163</v>
      </c>
      <c r="D8" s="77">
        <v>0</v>
      </c>
      <c r="E8" s="78">
        <v>0</v>
      </c>
      <c r="J8" s="134"/>
    </row>
    <row r="9" spans="3:10" ht="13.8" customHeight="1" thickBot="1" x14ac:dyDescent="0.3">
      <c r="C9" s="410" t="s">
        <v>164</v>
      </c>
      <c r="D9" s="79">
        <f>SUM(D6:D8)</f>
        <v>0</v>
      </c>
      <c r="E9" s="79">
        <f>SUM(E6:E8)</f>
        <v>0</v>
      </c>
      <c r="J9" s="134"/>
    </row>
    <row r="10" spans="3:10" x14ac:dyDescent="0.25">
      <c r="D10" s="76"/>
      <c r="E10" s="76"/>
      <c r="H10" s="134"/>
      <c r="I10" s="134"/>
      <c r="J10" s="134"/>
    </row>
    <row r="11" spans="3:10" x14ac:dyDescent="0.25">
      <c r="C11" s="451" t="s">
        <v>563</v>
      </c>
      <c r="D11" s="76"/>
      <c r="E11" s="76"/>
      <c r="G11" s="134"/>
      <c r="H11" s="134"/>
      <c r="I11" s="134"/>
    </row>
    <row r="12" spans="3:10" x14ac:dyDescent="0.25">
      <c r="C12" s="545" t="s">
        <v>165</v>
      </c>
      <c r="D12" s="80" t="s">
        <v>141</v>
      </c>
      <c r="E12" s="80" t="s">
        <v>141</v>
      </c>
      <c r="G12" s="134"/>
      <c r="H12" s="134"/>
    </row>
    <row r="13" spans="3:10" x14ac:dyDescent="0.25">
      <c r="C13" s="544"/>
      <c r="D13" s="181" t="s">
        <v>6</v>
      </c>
      <c r="E13" s="181" t="s">
        <v>6</v>
      </c>
    </row>
    <row r="14" spans="3:10" x14ac:dyDescent="0.25">
      <c r="C14" s="410" t="s">
        <v>166</v>
      </c>
      <c r="D14" s="75"/>
      <c r="E14" s="76"/>
    </row>
    <row r="15" spans="3:10" x14ac:dyDescent="0.25">
      <c r="C15" s="410" t="s">
        <v>167</v>
      </c>
      <c r="D15" s="75"/>
      <c r="E15" s="135"/>
    </row>
    <row r="16" spans="3:10" ht="18" customHeight="1" x14ac:dyDescent="0.25">
      <c r="C16" s="410" t="s">
        <v>168</v>
      </c>
      <c r="D16" s="75"/>
      <c r="E16" s="135"/>
    </row>
    <row r="17" spans="3:5" x14ac:dyDescent="0.25">
      <c r="C17" s="410" t="s">
        <v>169</v>
      </c>
      <c r="D17" s="75"/>
      <c r="E17" s="76"/>
    </row>
    <row r="18" spans="3:5" ht="13.8" customHeight="1" thickBot="1" x14ac:dyDescent="0.3">
      <c r="C18" s="410" t="s">
        <v>170</v>
      </c>
      <c r="D18" s="75"/>
      <c r="E18" s="76"/>
    </row>
    <row r="19" spans="3:5" ht="13.8" customHeight="1" thickBot="1" x14ac:dyDescent="0.3">
      <c r="C19" s="410" t="s">
        <v>171</v>
      </c>
      <c r="D19" s="81">
        <f>SUM(D14:D18)</f>
        <v>0</v>
      </c>
      <c r="E19" s="81">
        <f>SUM(E14:E18)</f>
        <v>0</v>
      </c>
    </row>
    <row r="20" spans="3:5" ht="13.8" customHeight="1" thickBot="1" x14ac:dyDescent="0.3">
      <c r="C20" s="410" t="s">
        <v>172</v>
      </c>
      <c r="D20" s="81">
        <f>D9-D19</f>
        <v>0</v>
      </c>
      <c r="E20" s="81">
        <f>E9-E19</f>
        <v>0</v>
      </c>
    </row>
    <row r="21" spans="3:5" x14ac:dyDescent="0.25">
      <c r="D21" s="76"/>
      <c r="E21" s="76"/>
    </row>
    <row r="23" spans="3:5" x14ac:dyDescent="0.25">
      <c r="E23" s="76"/>
    </row>
  </sheetData>
  <mergeCells count="2">
    <mergeCell ref="C4:C5"/>
    <mergeCell ref="C12:C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B2:M39"/>
  <sheetViews>
    <sheetView showGridLines="0" zoomScale="70" zoomScaleNormal="70" workbookViewId="0">
      <selection activeCell="B40" sqref="B40"/>
    </sheetView>
  </sheetViews>
  <sheetFormatPr baseColWidth="10" defaultRowHeight="13.8" outlineLevelRow="1" x14ac:dyDescent="0.25"/>
  <cols>
    <col min="1" max="1" width="16.5546875" style="119" customWidth="1"/>
    <col min="2" max="2" width="40.5546875" style="119" bestFit="1" customWidth="1"/>
    <col min="3" max="3" width="18.5546875" style="119" customWidth="1"/>
    <col min="4" max="4" width="14" style="119" customWidth="1"/>
    <col min="5" max="5" width="12" style="119" customWidth="1"/>
    <col min="6" max="6" width="11.5546875" style="119" customWidth="1"/>
    <col min="7" max="7" width="13.44140625" style="119" customWidth="1"/>
    <col min="8" max="8" width="12.44140625" style="119" bestFit="1" customWidth="1"/>
    <col min="9" max="9" width="14.5546875" style="119" bestFit="1" customWidth="1"/>
    <col min="10" max="10" width="13" style="119" bestFit="1" customWidth="1"/>
    <col min="11" max="11" width="13.33203125" style="119" bestFit="1" customWidth="1"/>
    <col min="12" max="12" width="12" style="119" bestFit="1" customWidth="1"/>
    <col min="13" max="13" width="34.21875" style="119" bestFit="1" customWidth="1"/>
    <col min="14" max="15" width="11.5546875" style="119" customWidth="1"/>
    <col min="16" max="16384" width="11.5546875" style="119"/>
  </cols>
  <sheetData>
    <row r="2" spans="2:6" x14ac:dyDescent="0.25">
      <c r="B2" s="451" t="s">
        <v>573</v>
      </c>
    </row>
    <row r="3" spans="2:6" x14ac:dyDescent="0.25">
      <c r="C3" s="309" t="s">
        <v>173</v>
      </c>
      <c r="D3" s="309" t="s">
        <v>173</v>
      </c>
      <c r="E3" s="309" t="s">
        <v>141</v>
      </c>
      <c r="F3" s="309" t="s">
        <v>141</v>
      </c>
    </row>
    <row r="4" spans="2:6" x14ac:dyDescent="0.25">
      <c r="B4" s="393" t="s">
        <v>2</v>
      </c>
      <c r="C4" s="411" t="s">
        <v>174</v>
      </c>
      <c r="D4" s="411" t="s">
        <v>175</v>
      </c>
      <c r="E4" s="411" t="s">
        <v>174</v>
      </c>
      <c r="F4" s="310" t="s">
        <v>175</v>
      </c>
    </row>
    <row r="5" spans="2:6" x14ac:dyDescent="0.25">
      <c r="B5" s="32"/>
      <c r="C5" s="310" t="s">
        <v>6</v>
      </c>
      <c r="D5" s="310" t="s">
        <v>6</v>
      </c>
      <c r="E5" s="310" t="s">
        <v>6</v>
      </c>
      <c r="F5" s="310" t="s">
        <v>6</v>
      </c>
    </row>
    <row r="6" spans="2:6" ht="15" customHeight="1" x14ac:dyDescent="0.25">
      <c r="B6" s="394" t="s">
        <v>176</v>
      </c>
      <c r="C6" s="333"/>
      <c r="D6" s="333"/>
      <c r="E6" s="333"/>
      <c r="F6" s="333"/>
    </row>
    <row r="7" spans="2:6" ht="15" customHeight="1" x14ac:dyDescent="0.25">
      <c r="B7" s="394" t="s">
        <v>177</v>
      </c>
      <c r="C7" s="333"/>
      <c r="D7" s="333"/>
      <c r="E7" s="333"/>
      <c r="F7" s="333"/>
    </row>
    <row r="8" spans="2:6" ht="15" customHeight="1" x14ac:dyDescent="0.25">
      <c r="B8" s="394" t="s">
        <v>178</v>
      </c>
      <c r="C8" s="333"/>
      <c r="D8" s="333"/>
      <c r="E8" s="333"/>
      <c r="F8" s="333"/>
    </row>
    <row r="9" spans="2:6" ht="15" customHeight="1" x14ac:dyDescent="0.25">
      <c r="B9" s="394" t="s">
        <v>179</v>
      </c>
      <c r="C9" s="333"/>
      <c r="D9" s="333"/>
      <c r="E9" s="333"/>
      <c r="F9" s="333"/>
    </row>
    <row r="10" spans="2:6" ht="15" customHeight="1" x14ac:dyDescent="0.25">
      <c r="B10" s="394" t="s">
        <v>180</v>
      </c>
      <c r="C10" s="333"/>
      <c r="D10" s="333"/>
      <c r="E10" s="333"/>
      <c r="F10" s="333"/>
    </row>
    <row r="11" spans="2:6" ht="15" customHeight="1" x14ac:dyDescent="0.25">
      <c r="B11" s="394" t="s">
        <v>181</v>
      </c>
      <c r="C11" s="333"/>
      <c r="D11" s="333"/>
      <c r="E11" s="333"/>
      <c r="F11" s="333"/>
    </row>
    <row r="12" spans="2:6" ht="15" customHeight="1" thickBot="1" x14ac:dyDescent="0.3">
      <c r="B12" s="394" t="s">
        <v>182</v>
      </c>
      <c r="C12" s="333"/>
      <c r="D12" s="333"/>
      <c r="E12" s="333"/>
      <c r="F12" s="333"/>
    </row>
    <row r="13" spans="2:6" ht="14.4" customHeight="1" thickBot="1" x14ac:dyDescent="0.3">
      <c r="B13" s="394" t="s">
        <v>87</v>
      </c>
      <c r="C13" s="84">
        <f>SUM(C6:C12)</f>
        <v>0</v>
      </c>
      <c r="D13" s="84">
        <f>SUM(D6:D12)</f>
        <v>0</v>
      </c>
      <c r="E13" s="84">
        <f>SUM(E6:E12)</f>
        <v>0</v>
      </c>
      <c r="F13" s="84">
        <f>SUM(F6:F12)</f>
        <v>0</v>
      </c>
    </row>
    <row r="14" spans="2:6" ht="15" customHeight="1" x14ac:dyDescent="0.25"/>
    <row r="18" spans="2:11" x14ac:dyDescent="0.25">
      <c r="B18" s="456" t="s">
        <v>574</v>
      </c>
    </row>
    <row r="19" spans="2:11" outlineLevel="1" x14ac:dyDescent="0.25">
      <c r="B19" s="412" t="s">
        <v>183</v>
      </c>
      <c r="C19" s="311"/>
    </row>
    <row r="20" spans="2:11" ht="24" customHeight="1" outlineLevel="1" x14ac:dyDescent="0.25">
      <c r="B20" s="16" t="s">
        <v>184</v>
      </c>
      <c r="C20" s="413" t="s">
        <v>185</v>
      </c>
      <c r="D20" s="413" t="s">
        <v>186</v>
      </c>
      <c r="E20" s="414" t="s">
        <v>187</v>
      </c>
      <c r="F20" s="71" t="s">
        <v>188</v>
      </c>
      <c r="G20" s="71" t="s">
        <v>189</v>
      </c>
      <c r="H20" s="85" t="s">
        <v>190</v>
      </c>
    </row>
    <row r="21" spans="2:11" outlineLevel="1" x14ac:dyDescent="0.25">
      <c r="B21" s="82"/>
      <c r="C21" s="14" t="s">
        <v>6</v>
      </c>
      <c r="D21" s="14" t="s">
        <v>6</v>
      </c>
      <c r="E21" s="14" t="s">
        <v>6</v>
      </c>
      <c r="F21" s="14" t="s">
        <v>6</v>
      </c>
      <c r="G21" s="14" t="s">
        <v>6</v>
      </c>
      <c r="H21" s="14" t="s">
        <v>6</v>
      </c>
    </row>
    <row r="22" spans="2:11" ht="15" customHeight="1" outlineLevel="1" thickBot="1" x14ac:dyDescent="0.3">
      <c r="B22" s="82" t="s">
        <v>191</v>
      </c>
      <c r="C22" s="183"/>
      <c r="D22" s="183"/>
      <c r="E22" s="275">
        <f>SUM(C22:D22)</f>
        <v>0</v>
      </c>
      <c r="F22" s="334">
        <v>0</v>
      </c>
      <c r="G22" s="334">
        <v>0</v>
      </c>
      <c r="H22" s="335">
        <f>SUM(F22:G22)</f>
        <v>0</v>
      </c>
      <c r="I22" s="311"/>
    </row>
    <row r="23" spans="2:11" ht="15" customHeight="1" outlineLevel="1" thickBot="1" x14ac:dyDescent="0.3">
      <c r="B23" s="233" t="s">
        <v>87</v>
      </c>
      <c r="C23" s="336">
        <f t="shared" ref="C23:H23" si="0">+C22</f>
        <v>0</v>
      </c>
      <c r="D23" s="336">
        <f t="shared" si="0"/>
        <v>0</v>
      </c>
      <c r="E23" s="336">
        <f t="shared" si="0"/>
        <v>0</v>
      </c>
      <c r="F23" s="336">
        <f t="shared" si="0"/>
        <v>0</v>
      </c>
      <c r="G23" s="336">
        <f t="shared" si="0"/>
        <v>0</v>
      </c>
      <c r="H23" s="336">
        <f t="shared" si="0"/>
        <v>0</v>
      </c>
      <c r="I23" s="311"/>
    </row>
    <row r="24" spans="2:11" outlineLevel="1" x14ac:dyDescent="0.25">
      <c r="B24" s="1"/>
      <c r="C24" s="337"/>
      <c r="D24" s="338"/>
      <c r="E24" s="338"/>
      <c r="F24" s="338"/>
      <c r="G24" s="338"/>
      <c r="H24" s="338"/>
      <c r="I24" s="311"/>
    </row>
    <row r="25" spans="2:11" outlineLevel="1" x14ac:dyDescent="0.25">
      <c r="B25" s="1"/>
      <c r="C25" s="337"/>
      <c r="D25" s="338"/>
      <c r="E25" s="338"/>
      <c r="F25" s="338"/>
      <c r="G25" s="338"/>
      <c r="H25" s="338"/>
      <c r="I25" s="311"/>
    </row>
    <row r="26" spans="2:11" outlineLevel="1" x14ac:dyDescent="0.25">
      <c r="B26" s="1"/>
      <c r="C26" s="82"/>
      <c r="D26" s="19"/>
      <c r="E26" s="19"/>
      <c r="F26" s="19"/>
      <c r="G26" s="19"/>
      <c r="H26" s="19"/>
    </row>
    <row r="27" spans="2:11" outlineLevel="1" x14ac:dyDescent="0.25">
      <c r="B27" s="1"/>
      <c r="C27" s="82"/>
      <c r="D27" s="19"/>
      <c r="E27" s="19"/>
      <c r="F27" s="19"/>
      <c r="G27" s="19"/>
      <c r="H27" s="19"/>
    </row>
    <row r="28" spans="2:11" outlineLevel="1" x14ac:dyDescent="0.25">
      <c r="B28" s="1"/>
      <c r="C28" s="82"/>
      <c r="D28" s="19"/>
      <c r="E28" s="19"/>
      <c r="F28" s="19"/>
      <c r="G28" s="19"/>
      <c r="H28" s="19"/>
    </row>
    <row r="29" spans="2:11" x14ac:dyDescent="0.25">
      <c r="B29" s="456" t="s">
        <v>665</v>
      </c>
    </row>
    <row r="30" spans="2:11" outlineLevel="1" x14ac:dyDescent="0.25">
      <c r="B30" s="412" t="s">
        <v>192</v>
      </c>
      <c r="J30" s="89"/>
    </row>
    <row r="31" spans="2:11" outlineLevel="1" x14ac:dyDescent="0.25">
      <c r="B31" s="86"/>
      <c r="C31" s="312"/>
      <c r="D31" s="312"/>
      <c r="F31" s="312"/>
      <c r="G31" s="312"/>
      <c r="H31" s="312"/>
      <c r="I31" s="119" t="s">
        <v>193</v>
      </c>
      <c r="K31" s="312"/>
    </row>
    <row r="32" spans="2:11" ht="20.399999999999999" customHeight="1" outlineLevel="1" x14ac:dyDescent="0.25">
      <c r="B32" s="104" t="s">
        <v>194</v>
      </c>
      <c r="C32" s="415" t="s">
        <v>48</v>
      </c>
      <c r="D32" s="415" t="s">
        <v>195</v>
      </c>
      <c r="E32" s="415" t="s">
        <v>196</v>
      </c>
      <c r="F32" s="105" t="s">
        <v>197</v>
      </c>
      <c r="G32" s="104" t="s">
        <v>198</v>
      </c>
      <c r="H32" s="86" t="s">
        <v>199</v>
      </c>
      <c r="I32" s="105" t="s">
        <v>200</v>
      </c>
      <c r="J32" s="86" t="s">
        <v>201</v>
      </c>
      <c r="K32" s="86" t="s">
        <v>202</v>
      </c>
    </row>
    <row r="33" spans="2:13" outlineLevel="1" x14ac:dyDescent="0.25">
      <c r="C33" s="87" t="s">
        <v>6</v>
      </c>
      <c r="D33" s="87" t="s">
        <v>6</v>
      </c>
      <c r="E33" s="87" t="s">
        <v>6</v>
      </c>
      <c r="F33" s="87" t="s">
        <v>6</v>
      </c>
      <c r="G33" s="87" t="s">
        <v>6</v>
      </c>
      <c r="H33" s="87" t="s">
        <v>6</v>
      </c>
      <c r="I33" s="87" t="s">
        <v>6</v>
      </c>
      <c r="J33" s="87" t="s">
        <v>6</v>
      </c>
      <c r="K33" s="87" t="s">
        <v>6</v>
      </c>
    </row>
    <row r="34" spans="2:13" outlineLevel="1" x14ac:dyDescent="0.25"/>
    <row r="35" spans="2:13" ht="15" customHeight="1" outlineLevel="1" thickBot="1" x14ac:dyDescent="0.3">
      <c r="B35" s="82" t="s">
        <v>191</v>
      </c>
      <c r="C35" s="339">
        <v>0</v>
      </c>
      <c r="D35" s="340"/>
      <c r="E35" s="340"/>
      <c r="F35" s="340"/>
      <c r="G35" s="340"/>
      <c r="H35" s="340"/>
      <c r="I35" s="340"/>
      <c r="J35" s="340"/>
      <c r="K35" s="340">
        <f>SUM(C35:J35)</f>
        <v>0</v>
      </c>
      <c r="L35" s="202"/>
    </row>
    <row r="36" spans="2:13" ht="15" customHeight="1" outlineLevel="1" thickBot="1" x14ac:dyDescent="0.3">
      <c r="B36" s="95" t="s">
        <v>87</v>
      </c>
      <c r="C36" s="341">
        <f t="shared" ref="C36:K36" si="1">+C35</f>
        <v>0</v>
      </c>
      <c r="D36" s="341">
        <f t="shared" si="1"/>
        <v>0</v>
      </c>
      <c r="E36" s="341">
        <f t="shared" si="1"/>
        <v>0</v>
      </c>
      <c r="F36" s="341">
        <f t="shared" si="1"/>
        <v>0</v>
      </c>
      <c r="G36" s="341">
        <f t="shared" si="1"/>
        <v>0</v>
      </c>
      <c r="H36" s="341">
        <f t="shared" si="1"/>
        <v>0</v>
      </c>
      <c r="I36" s="341">
        <f t="shared" si="1"/>
        <v>0</v>
      </c>
      <c r="J36" s="341">
        <f t="shared" si="1"/>
        <v>0</v>
      </c>
      <c r="K36" s="341">
        <f t="shared" si="1"/>
        <v>0</v>
      </c>
      <c r="L36" s="311"/>
    </row>
    <row r="37" spans="2:13" outlineLevel="1" x14ac:dyDescent="0.25">
      <c r="C37" s="311"/>
      <c r="D37" s="311"/>
      <c r="E37" s="311"/>
      <c r="F37" s="311"/>
      <c r="G37" s="311"/>
      <c r="H37" s="311"/>
      <c r="I37" s="311"/>
      <c r="J37" s="311"/>
      <c r="K37" s="313"/>
      <c r="L37" s="311"/>
      <c r="M37" s="314"/>
    </row>
    <row r="38" spans="2:13" x14ac:dyDescent="0.25">
      <c r="C38" s="311"/>
      <c r="D38" s="311"/>
      <c r="E38" s="311"/>
      <c r="F38" s="311"/>
      <c r="G38" s="311"/>
      <c r="H38" s="311"/>
      <c r="I38" s="311"/>
      <c r="J38" s="311"/>
      <c r="K38" s="311"/>
      <c r="L38" s="311"/>
    </row>
    <row r="39" spans="2:13" x14ac:dyDescent="0.25">
      <c r="B39" s="86"/>
      <c r="C39" s="342"/>
      <c r="D39" s="342"/>
      <c r="E39" s="311"/>
      <c r="F39" s="342"/>
      <c r="G39" s="342"/>
      <c r="H39" s="342"/>
      <c r="I39" s="311"/>
      <c r="J39" s="311"/>
      <c r="K39" s="342"/>
      <c r="L39" s="3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O145"/>
  <sheetViews>
    <sheetView showGridLines="0" zoomScale="90" zoomScaleNormal="90" workbookViewId="0">
      <selection activeCell="C11" sqref="C1:K1048576"/>
    </sheetView>
  </sheetViews>
  <sheetFormatPr baseColWidth="10" defaultRowHeight="14.4" x14ac:dyDescent="0.3"/>
  <cols>
    <col min="1" max="1" width="19.6640625" customWidth="1"/>
    <col min="2" max="2" width="24.77734375" customWidth="1"/>
    <col min="3" max="3" width="13" customWidth="1"/>
    <col min="4" max="4" width="16.88671875" customWidth="1"/>
    <col min="5" max="5" width="12" customWidth="1"/>
    <col min="6" max="7" width="13.33203125" customWidth="1"/>
    <col min="8" max="8" width="11.5546875" customWidth="1"/>
    <col min="9" max="9" width="13.33203125" bestFit="1" customWidth="1"/>
    <col min="10" max="10" width="13" customWidth="1"/>
    <col min="11" max="12" width="13.33203125" bestFit="1" customWidth="1"/>
  </cols>
  <sheetData>
    <row r="1" spans="2:11" x14ac:dyDescent="0.3">
      <c r="B1" s="417" t="s">
        <v>636</v>
      </c>
    </row>
    <row r="2" spans="2:11" x14ac:dyDescent="0.3">
      <c r="B2" s="456" t="s">
        <v>575</v>
      </c>
    </row>
    <row r="3" spans="2:11" x14ac:dyDescent="0.3">
      <c r="B3" s="491"/>
      <c r="C3" s="495">
        <v>46022</v>
      </c>
      <c r="D3" s="495"/>
      <c r="E3" s="495">
        <v>45657</v>
      </c>
      <c r="F3" s="495"/>
      <c r="G3" s="495"/>
      <c r="J3" s="495"/>
      <c r="K3" s="495"/>
    </row>
    <row r="4" spans="2:11" x14ac:dyDescent="0.3">
      <c r="B4" s="499" t="s">
        <v>630</v>
      </c>
      <c r="C4" s="499" t="s">
        <v>156</v>
      </c>
      <c r="D4" s="499" t="s">
        <v>157</v>
      </c>
      <c r="E4" s="499" t="s">
        <v>156</v>
      </c>
      <c r="F4" s="499" t="s">
        <v>203</v>
      </c>
      <c r="G4" s="495"/>
      <c r="K4" s="492"/>
    </row>
    <row r="5" spans="2:11" x14ac:dyDescent="0.3">
      <c r="B5" s="491"/>
      <c r="C5" s="491" t="s">
        <v>6</v>
      </c>
      <c r="D5" s="491" t="s">
        <v>6</v>
      </c>
      <c r="E5" s="491" t="s">
        <v>6</v>
      </c>
      <c r="F5" s="491" t="s">
        <v>6</v>
      </c>
      <c r="G5" s="495"/>
      <c r="K5" s="491"/>
    </row>
    <row r="6" spans="2:11" ht="27" thickBot="1" x14ac:dyDescent="0.35">
      <c r="B6" s="489" t="s">
        <v>631</v>
      </c>
      <c r="C6" s="493">
        <v>0</v>
      </c>
      <c r="D6" s="493">
        <v>0</v>
      </c>
      <c r="E6" s="493">
        <v>0</v>
      </c>
      <c r="F6" s="498">
        <v>0</v>
      </c>
      <c r="G6" s="495"/>
      <c r="K6" s="490"/>
    </row>
    <row r="7" spans="2:11" ht="27" thickBot="1" x14ac:dyDescent="0.35">
      <c r="B7" s="300" t="s">
        <v>632</v>
      </c>
      <c r="C7" s="494">
        <v>0</v>
      </c>
      <c r="D7" s="496">
        <v>0</v>
      </c>
      <c r="E7" s="494">
        <v>0</v>
      </c>
      <c r="F7" s="497">
        <v>0</v>
      </c>
      <c r="G7" s="495"/>
      <c r="K7" s="490"/>
    </row>
    <row r="8" spans="2:11" x14ac:dyDescent="0.3">
      <c r="G8" s="495"/>
    </row>
    <row r="9" spans="2:11" x14ac:dyDescent="0.3">
      <c r="G9" s="495"/>
    </row>
    <row r="10" spans="2:11" x14ac:dyDescent="0.3">
      <c r="B10" s="417" t="s">
        <v>637</v>
      </c>
    </row>
    <row r="11" spans="2:11" x14ac:dyDescent="0.3">
      <c r="B11" s="456" t="s">
        <v>633</v>
      </c>
    </row>
    <row r="12" spans="2:11" x14ac:dyDescent="0.3">
      <c r="B12" s="48"/>
      <c r="C12" s="547" t="s">
        <v>0</v>
      </c>
      <c r="D12" s="533"/>
      <c r="E12" s="547" t="s">
        <v>141</v>
      </c>
      <c r="F12" s="533"/>
      <c r="H12" s="47"/>
    </row>
    <row r="13" spans="2:11" ht="15" customHeight="1" x14ac:dyDescent="0.3">
      <c r="B13" s="389" t="s">
        <v>56</v>
      </c>
      <c r="C13" s="389" t="s">
        <v>156</v>
      </c>
      <c r="D13" s="389" t="s">
        <v>157</v>
      </c>
      <c r="E13" s="389" t="s">
        <v>156</v>
      </c>
      <c r="F13" s="99" t="s">
        <v>203</v>
      </c>
      <c r="H13" s="99"/>
    </row>
    <row r="14" spans="2:11" x14ac:dyDescent="0.3">
      <c r="B14" s="48"/>
      <c r="C14" s="13" t="s">
        <v>6</v>
      </c>
      <c r="D14" s="13" t="s">
        <v>6</v>
      </c>
      <c r="E14" s="13" t="s">
        <v>6</v>
      </c>
      <c r="F14" s="13" t="s">
        <v>6</v>
      </c>
      <c r="H14" s="13"/>
    </row>
    <row r="15" spans="2:11" x14ac:dyDescent="0.3">
      <c r="B15" s="82" t="s">
        <v>204</v>
      </c>
      <c r="C15" s="21">
        <v>0</v>
      </c>
      <c r="D15" s="21">
        <v>0</v>
      </c>
      <c r="E15" s="21">
        <v>0</v>
      </c>
      <c r="F15" s="21">
        <v>0</v>
      </c>
      <c r="H15" s="50"/>
      <c r="I15" s="123"/>
    </row>
    <row r="16" spans="2:11" x14ac:dyDescent="0.3">
      <c r="B16" s="82" t="s">
        <v>205</v>
      </c>
      <c r="C16" s="21">
        <v>0</v>
      </c>
      <c r="D16" s="21">
        <v>0</v>
      </c>
      <c r="E16" s="21">
        <v>0</v>
      </c>
      <c r="F16" s="21">
        <v>0</v>
      </c>
      <c r="H16" s="50"/>
      <c r="I16" s="123"/>
    </row>
    <row r="17" spans="2:9" ht="22.8" customHeight="1" x14ac:dyDescent="0.3">
      <c r="B17" s="82" t="s">
        <v>206</v>
      </c>
      <c r="C17" s="21">
        <v>0</v>
      </c>
      <c r="D17" s="21">
        <v>0</v>
      </c>
      <c r="E17" s="21">
        <v>0</v>
      </c>
      <c r="F17" s="21">
        <v>0</v>
      </c>
      <c r="H17" s="50"/>
      <c r="I17" s="123"/>
    </row>
    <row r="18" spans="2:9" ht="23.4" customHeight="1" thickBot="1" x14ac:dyDescent="0.35">
      <c r="B18" s="82" t="s">
        <v>207</v>
      </c>
      <c r="C18" s="21">
        <v>0</v>
      </c>
      <c r="D18" s="21">
        <v>0</v>
      </c>
      <c r="E18" s="21">
        <v>0</v>
      </c>
      <c r="F18" s="21">
        <v>0</v>
      </c>
      <c r="H18" s="50"/>
      <c r="I18" s="123"/>
    </row>
    <row r="19" spans="2:9" ht="23.4" customHeight="1" thickBot="1" x14ac:dyDescent="0.35">
      <c r="B19" s="83" t="s">
        <v>158</v>
      </c>
      <c r="C19" s="84">
        <f>SUM(C15:C18)</f>
        <v>0</v>
      </c>
      <c r="D19" s="84">
        <f>SUM(D15:D18)</f>
        <v>0</v>
      </c>
      <c r="E19" s="84">
        <f>SUM(E15:E18)</f>
        <v>0</v>
      </c>
      <c r="F19" s="84">
        <f>SUM(F15:F18)</f>
        <v>0</v>
      </c>
      <c r="H19" s="50"/>
      <c r="I19" s="123"/>
    </row>
    <row r="23" spans="2:9" x14ac:dyDescent="0.3">
      <c r="B23" s="417" t="s">
        <v>208</v>
      </c>
      <c r="C23" s="10"/>
      <c r="D23" s="10"/>
      <c r="E23" s="10"/>
    </row>
    <row r="24" spans="2:9" x14ac:dyDescent="0.3">
      <c r="B24" s="456" t="s">
        <v>576</v>
      </c>
      <c r="C24" s="10"/>
      <c r="D24" s="10"/>
      <c r="E24" s="10"/>
    </row>
    <row r="25" spans="2:9" ht="24" customHeight="1" x14ac:dyDescent="0.3">
      <c r="B25" s="16" t="s">
        <v>184</v>
      </c>
      <c r="C25" s="413" t="s">
        <v>185</v>
      </c>
      <c r="D25" s="413" t="s">
        <v>186</v>
      </c>
      <c r="E25" s="414" t="s">
        <v>187</v>
      </c>
      <c r="F25" s="71" t="s">
        <v>188</v>
      </c>
      <c r="G25" s="71" t="s">
        <v>189</v>
      </c>
      <c r="H25" s="85" t="s">
        <v>190</v>
      </c>
    </row>
    <row r="26" spans="2:9" x14ac:dyDescent="0.3">
      <c r="B26" s="82"/>
      <c r="C26" s="14" t="s">
        <v>6</v>
      </c>
      <c r="D26" s="14" t="s">
        <v>6</v>
      </c>
      <c r="E26" s="14" t="s">
        <v>6</v>
      </c>
      <c r="F26" s="14" t="s">
        <v>6</v>
      </c>
      <c r="G26" s="14" t="s">
        <v>6</v>
      </c>
      <c r="H26" s="14" t="s">
        <v>6</v>
      </c>
    </row>
    <row r="27" spans="2:9" x14ac:dyDescent="0.3">
      <c r="B27" s="233" t="s">
        <v>204</v>
      </c>
      <c r="C27" s="101"/>
      <c r="D27" s="101"/>
      <c r="E27" s="101">
        <f>SUM(C39:D39)</f>
        <v>0</v>
      </c>
      <c r="F27" s="101"/>
      <c r="G27" s="101"/>
      <c r="H27" s="101">
        <f>SUM(F39:G39)</f>
        <v>0</v>
      </c>
    </row>
    <row r="28" spans="2:9" x14ac:dyDescent="0.3">
      <c r="B28" s="233" t="s">
        <v>205</v>
      </c>
      <c r="C28" s="101"/>
      <c r="D28" s="101"/>
      <c r="E28" s="101">
        <f>SUM(C40:D40)</f>
        <v>0</v>
      </c>
      <c r="F28" s="101"/>
      <c r="G28" s="101"/>
      <c r="H28" s="101">
        <f>SUM(F40:G40)</f>
        <v>0</v>
      </c>
    </row>
    <row r="29" spans="2:9" ht="22.8" customHeight="1" x14ac:dyDescent="0.3">
      <c r="B29" s="233" t="s">
        <v>209</v>
      </c>
      <c r="C29" s="101"/>
      <c r="D29" s="101"/>
      <c r="E29" s="101">
        <f>SUM(C41:D41)</f>
        <v>0</v>
      </c>
      <c r="F29" s="101"/>
      <c r="G29" s="101"/>
      <c r="H29" s="101">
        <f>SUM(F41:G41)</f>
        <v>0</v>
      </c>
    </row>
    <row r="30" spans="2:9" ht="15" customHeight="1" x14ac:dyDescent="0.3">
      <c r="B30" s="233" t="s">
        <v>210</v>
      </c>
      <c r="C30" s="102"/>
      <c r="D30" s="102"/>
      <c r="E30" s="102">
        <f>SUM(C42:D42)</f>
        <v>0</v>
      </c>
      <c r="F30" s="102"/>
      <c r="G30" s="102"/>
      <c r="H30" s="102">
        <f>SUM(F42:G42)</f>
        <v>0</v>
      </c>
    </row>
    <row r="31" spans="2:9" ht="15" customHeight="1" thickBot="1" x14ac:dyDescent="0.35">
      <c r="B31" s="233" t="s">
        <v>87</v>
      </c>
      <c r="C31" s="103">
        <f t="shared" ref="C31:H31" si="0">SUM(C39:C42)</f>
        <v>0</v>
      </c>
      <c r="D31" s="103">
        <f t="shared" si="0"/>
        <v>0</v>
      </c>
      <c r="E31" s="103">
        <f t="shared" si="0"/>
        <v>0</v>
      </c>
      <c r="F31" s="103">
        <f t="shared" si="0"/>
        <v>0</v>
      </c>
      <c r="G31" s="103">
        <f t="shared" si="0"/>
        <v>0</v>
      </c>
      <c r="H31" s="103">
        <f t="shared" si="0"/>
        <v>0</v>
      </c>
    </row>
    <row r="36" spans="2:15" x14ac:dyDescent="0.3">
      <c r="B36" s="418" t="s">
        <v>548</v>
      </c>
      <c r="C36" s="5"/>
      <c r="D36" s="5"/>
      <c r="J36" s="89"/>
    </row>
    <row r="37" spans="2:15" ht="24" customHeight="1" x14ac:dyDescent="0.3">
      <c r="B37" s="456" t="s">
        <v>634</v>
      </c>
      <c r="C37" s="88"/>
      <c r="D37" s="88"/>
      <c r="F37" s="88"/>
      <c r="G37" s="88"/>
      <c r="H37" s="88"/>
      <c r="I37" s="38"/>
      <c r="J37" s="38"/>
      <c r="K37" s="88"/>
    </row>
    <row r="38" spans="2:15" ht="20.399999999999999" x14ac:dyDescent="0.3">
      <c r="B38" s="104" t="s">
        <v>194</v>
      </c>
      <c r="C38" s="415" t="s">
        <v>48</v>
      </c>
      <c r="D38" s="415" t="s">
        <v>211</v>
      </c>
      <c r="E38" s="415" t="s">
        <v>212</v>
      </c>
      <c r="F38" s="105" t="s">
        <v>197</v>
      </c>
      <c r="G38" s="104" t="s">
        <v>198</v>
      </c>
      <c r="H38" s="86" t="s">
        <v>199</v>
      </c>
      <c r="I38" s="105" t="s">
        <v>200</v>
      </c>
      <c r="J38" s="86" t="s">
        <v>201</v>
      </c>
      <c r="K38" s="86" t="s">
        <v>54</v>
      </c>
    </row>
    <row r="39" spans="2:15" x14ac:dyDescent="0.3">
      <c r="C39" s="87" t="s">
        <v>6</v>
      </c>
      <c r="D39" s="87" t="s">
        <v>6</v>
      </c>
      <c r="E39" s="87" t="s">
        <v>6</v>
      </c>
      <c r="F39" s="87" t="s">
        <v>6</v>
      </c>
      <c r="G39" s="87" t="s">
        <v>6</v>
      </c>
      <c r="H39" s="87" t="s">
        <v>6</v>
      </c>
      <c r="I39" s="87" t="s">
        <v>6</v>
      </c>
      <c r="J39" s="87" t="s">
        <v>6</v>
      </c>
      <c r="K39" s="87" t="s">
        <v>6</v>
      </c>
    </row>
    <row r="41" spans="2:15" ht="22.8" customHeight="1" x14ac:dyDescent="0.3">
      <c r="B41" s="95" t="s">
        <v>213</v>
      </c>
      <c r="C41" s="274">
        <v>0</v>
      </c>
      <c r="D41" s="274">
        <v>0</v>
      </c>
      <c r="E41" s="274">
        <v>0</v>
      </c>
      <c r="F41" s="274">
        <v>0</v>
      </c>
      <c r="G41" s="274">
        <v>0</v>
      </c>
      <c r="H41" s="274">
        <v>0</v>
      </c>
      <c r="I41" s="274">
        <v>0</v>
      </c>
      <c r="J41" s="274">
        <v>0</v>
      </c>
      <c r="K41" s="274">
        <f>SUM(C58:J58)</f>
        <v>0</v>
      </c>
    </row>
    <row r="42" spans="2:15" x14ac:dyDescent="0.3">
      <c r="B42" s="95" t="s">
        <v>205</v>
      </c>
      <c r="C42" s="274">
        <v>0</v>
      </c>
      <c r="D42" s="274">
        <v>0</v>
      </c>
      <c r="E42" s="274">
        <v>0</v>
      </c>
      <c r="F42" s="274">
        <v>0</v>
      </c>
      <c r="G42" s="274">
        <v>0</v>
      </c>
      <c r="H42" s="274">
        <v>0</v>
      </c>
      <c r="I42" s="274">
        <v>0</v>
      </c>
      <c r="J42" s="274">
        <v>0</v>
      </c>
      <c r="K42" s="274">
        <f>SUM(C59:J59)</f>
        <v>0</v>
      </c>
    </row>
    <row r="43" spans="2:15" ht="15" customHeight="1" thickBot="1" x14ac:dyDescent="0.35">
      <c r="B43" s="95" t="s">
        <v>209</v>
      </c>
      <c r="C43" s="274">
        <v>0</v>
      </c>
      <c r="D43" s="274">
        <v>0</v>
      </c>
      <c r="E43" s="274">
        <v>0</v>
      </c>
      <c r="F43" s="274">
        <v>0</v>
      </c>
      <c r="G43" s="274">
        <v>0</v>
      </c>
      <c r="H43" s="274">
        <v>0</v>
      </c>
      <c r="I43" s="274">
        <v>0</v>
      </c>
      <c r="J43" s="274">
        <v>0</v>
      </c>
      <c r="K43" s="274">
        <f>SUM(C60:J60)</f>
        <v>0</v>
      </c>
    </row>
    <row r="44" spans="2:15" x14ac:dyDescent="0.3">
      <c r="B44" s="95" t="s">
        <v>210</v>
      </c>
      <c r="C44" s="274">
        <v>0</v>
      </c>
      <c r="D44" s="274">
        <v>0</v>
      </c>
      <c r="E44" s="274">
        <v>0</v>
      </c>
      <c r="F44" s="274">
        <v>0</v>
      </c>
      <c r="G44" s="274">
        <v>0</v>
      </c>
      <c r="H44" s="274">
        <v>0</v>
      </c>
      <c r="I44" s="274">
        <v>0</v>
      </c>
      <c r="J44" s="274">
        <v>0</v>
      </c>
      <c r="K44" s="274">
        <f>SUM(C61:J61)</f>
        <v>0</v>
      </c>
    </row>
    <row r="45" spans="2:15" x14ac:dyDescent="0.3">
      <c r="B45" s="95" t="s">
        <v>214</v>
      </c>
      <c r="C45" s="131">
        <f t="shared" ref="C45:K45" si="1">SUM(C58:C61)</f>
        <v>0</v>
      </c>
      <c r="D45" s="131">
        <f t="shared" si="1"/>
        <v>0</v>
      </c>
      <c r="E45" s="131">
        <f t="shared" si="1"/>
        <v>0</v>
      </c>
      <c r="F45" s="131">
        <f t="shared" si="1"/>
        <v>0</v>
      </c>
      <c r="G45" s="131">
        <f t="shared" si="1"/>
        <v>0</v>
      </c>
      <c r="H45" s="131">
        <f t="shared" si="1"/>
        <v>0</v>
      </c>
      <c r="I45" s="131">
        <f t="shared" si="1"/>
        <v>0</v>
      </c>
      <c r="J45" s="131">
        <f t="shared" si="1"/>
        <v>0</v>
      </c>
      <c r="K45" s="131">
        <f t="shared" si="1"/>
        <v>0</v>
      </c>
    </row>
    <row r="46" spans="2:15" ht="24" customHeight="1" x14ac:dyDescent="0.3">
      <c r="B46" s="185"/>
      <c r="C46" s="186"/>
      <c r="I46" s="146"/>
      <c r="J46" s="146"/>
      <c r="K46" s="343"/>
      <c r="M46" s="146"/>
      <c r="N46" s="146"/>
      <c r="O46" s="146"/>
    </row>
    <row r="48" spans="2:15" ht="15" customHeight="1" x14ac:dyDescent="0.3">
      <c r="B48" s="416" t="s">
        <v>215</v>
      </c>
      <c r="C48" s="5"/>
    </row>
    <row r="49" spans="2:12" x14ac:dyDescent="0.3">
      <c r="B49" s="457" t="s">
        <v>577</v>
      </c>
      <c r="K49" s="9"/>
    </row>
    <row r="50" spans="2:12" x14ac:dyDescent="0.3">
      <c r="B50" s="90"/>
      <c r="C50" s="100"/>
      <c r="D50" s="100"/>
      <c r="E50" s="100"/>
      <c r="F50" s="100"/>
      <c r="G50" s="380" t="s">
        <v>173</v>
      </c>
      <c r="H50" s="38"/>
      <c r="I50" s="380" t="s">
        <v>141</v>
      </c>
      <c r="J50" s="38"/>
      <c r="K50" s="382"/>
    </row>
    <row r="51" spans="2:12" x14ac:dyDescent="0.3">
      <c r="B51" s="92" t="s">
        <v>216</v>
      </c>
      <c r="C51" s="419" t="s">
        <v>69</v>
      </c>
      <c r="D51" s="419" t="s">
        <v>217</v>
      </c>
      <c r="E51" s="419" t="s">
        <v>218</v>
      </c>
      <c r="F51" s="93" t="s">
        <v>219</v>
      </c>
      <c r="G51" s="93" t="s">
        <v>174</v>
      </c>
      <c r="H51" s="93" t="s">
        <v>220</v>
      </c>
      <c r="I51" s="93" t="s">
        <v>174</v>
      </c>
      <c r="J51" s="93" t="s">
        <v>220</v>
      </c>
      <c r="K51" s="94"/>
      <c r="L51" s="94"/>
    </row>
    <row r="52" spans="2:12" ht="23.4" customHeight="1" x14ac:dyDescent="0.3">
      <c r="B52" s="91"/>
      <c r="C52" s="94"/>
      <c r="D52" s="94"/>
      <c r="E52" s="94"/>
      <c r="F52" s="94"/>
      <c r="G52" s="94" t="s">
        <v>6</v>
      </c>
      <c r="H52" s="94" t="s">
        <v>6</v>
      </c>
      <c r="I52" s="94" t="s">
        <v>6</v>
      </c>
      <c r="J52" s="94" t="s">
        <v>6</v>
      </c>
      <c r="K52" s="94"/>
      <c r="L52" s="94"/>
    </row>
    <row r="53" spans="2:12" x14ac:dyDescent="0.3">
      <c r="B53" s="95" t="s">
        <v>221</v>
      </c>
      <c r="C53" s="420" t="s">
        <v>222</v>
      </c>
      <c r="D53" s="421" t="s">
        <v>223</v>
      </c>
      <c r="E53" s="182">
        <v>111943</v>
      </c>
      <c r="F53" s="182" t="s">
        <v>224</v>
      </c>
      <c r="G53" s="182"/>
      <c r="H53" s="182"/>
      <c r="I53" s="277"/>
      <c r="J53" s="277"/>
      <c r="K53" s="344"/>
      <c r="L53" s="344"/>
    </row>
    <row r="54" spans="2:12" x14ac:dyDescent="0.3">
      <c r="B54" s="95" t="s">
        <v>221</v>
      </c>
      <c r="C54" s="420" t="s">
        <v>225</v>
      </c>
      <c r="D54" s="422">
        <v>48218</v>
      </c>
      <c r="E54" s="182">
        <v>125780</v>
      </c>
      <c r="F54" s="292">
        <v>8.4500000000000006E-2</v>
      </c>
      <c r="G54" s="182"/>
      <c r="H54" s="182"/>
      <c r="I54" s="277"/>
      <c r="J54" s="277"/>
      <c r="K54" s="344"/>
      <c r="L54" s="344"/>
    </row>
    <row r="55" spans="2:12" ht="20.399999999999999" customHeight="1" x14ac:dyDescent="0.3">
      <c r="B55" s="550" t="s">
        <v>221</v>
      </c>
      <c r="C55" s="420" t="s">
        <v>222</v>
      </c>
      <c r="D55" s="422">
        <v>45792</v>
      </c>
      <c r="E55" s="183">
        <v>111943</v>
      </c>
      <c r="F55" s="184">
        <v>8.4500000000000006E-2</v>
      </c>
      <c r="G55" s="183"/>
      <c r="H55" s="183"/>
      <c r="I55" s="334"/>
      <c r="J55" s="334"/>
      <c r="K55" s="344"/>
      <c r="L55" s="344"/>
    </row>
    <row r="56" spans="2:12" x14ac:dyDescent="0.3">
      <c r="B56" s="533"/>
      <c r="C56" s="384"/>
      <c r="D56" s="384"/>
      <c r="E56" s="94"/>
      <c r="F56" s="94"/>
      <c r="G56" s="107">
        <f>SUM(G74:G76)</f>
        <v>0</v>
      </c>
      <c r="H56" s="107">
        <f>SUM(H74:H76)</f>
        <v>0</v>
      </c>
      <c r="I56" s="107">
        <f>SUM(I74:I76)</f>
        <v>0</v>
      </c>
      <c r="J56" s="107">
        <f>SUM(J74:J76)</f>
        <v>0</v>
      </c>
      <c r="K56" s="107"/>
      <c r="L56" s="107"/>
    </row>
    <row r="57" spans="2:12" x14ac:dyDescent="0.3">
      <c r="B57" s="423" t="s">
        <v>226</v>
      </c>
      <c r="C57" s="65"/>
      <c r="D57" s="65"/>
      <c r="E57" s="97"/>
      <c r="F57" s="97"/>
      <c r="G57" s="276">
        <v>0</v>
      </c>
      <c r="H57" s="276">
        <v>0</v>
      </c>
      <c r="I57" s="276">
        <v>0</v>
      </c>
      <c r="J57" s="276">
        <v>0</v>
      </c>
      <c r="K57" s="345"/>
      <c r="L57" s="345"/>
    </row>
    <row r="58" spans="2:12" x14ac:dyDescent="0.3">
      <c r="B58" s="383" t="s">
        <v>227</v>
      </c>
      <c r="C58" s="384"/>
      <c r="D58" s="384"/>
      <c r="F58" s="94"/>
      <c r="G58" s="108">
        <f>SUM(G77:G78)</f>
        <v>0</v>
      </c>
      <c r="H58" s="108">
        <f>SUM(H77:H78)</f>
        <v>0</v>
      </c>
      <c r="I58" s="108">
        <f>SUM(I77:I78)</f>
        <v>0</v>
      </c>
      <c r="J58" s="108">
        <f>SUM(J77:J78)</f>
        <v>0</v>
      </c>
      <c r="K58" s="107"/>
      <c r="L58" s="107"/>
    </row>
    <row r="59" spans="2:12" x14ac:dyDescent="0.3">
      <c r="D59" s="165"/>
      <c r="E59" s="165"/>
      <c r="F59" s="165"/>
      <c r="G59" s="187"/>
      <c r="H59" s="187"/>
      <c r="I59" s="187"/>
      <c r="J59" s="187"/>
      <c r="K59" s="187"/>
      <c r="L59" s="187"/>
    </row>
    <row r="60" spans="2:12" x14ac:dyDescent="0.3">
      <c r="D60" s="165"/>
      <c r="E60" s="165"/>
      <c r="F60" s="165"/>
      <c r="G60" s="187"/>
      <c r="H60" s="187"/>
      <c r="I60" s="187"/>
      <c r="J60" s="187"/>
      <c r="K60" s="187"/>
      <c r="L60" s="187"/>
    </row>
    <row r="61" spans="2:12" ht="15" customHeight="1" x14ac:dyDescent="0.3">
      <c r="B61" s="424" t="s">
        <v>228</v>
      </c>
    </row>
    <row r="62" spans="2:12" ht="21" customHeight="1" x14ac:dyDescent="0.3">
      <c r="B62" s="457" t="s">
        <v>598</v>
      </c>
    </row>
    <row r="63" spans="2:12" x14ac:dyDescent="0.3">
      <c r="C63" s="157"/>
      <c r="D63" s="157"/>
      <c r="E63" s="157"/>
      <c r="F63" s="157"/>
      <c r="G63" s="157"/>
      <c r="H63" s="380" t="s">
        <v>0</v>
      </c>
      <c r="I63" s="38"/>
      <c r="J63" s="380" t="s">
        <v>141</v>
      </c>
      <c r="K63" s="38"/>
    </row>
    <row r="64" spans="2:12" x14ac:dyDescent="0.3">
      <c r="B64" s="158" t="s">
        <v>216</v>
      </c>
      <c r="C64" s="425" t="s">
        <v>69</v>
      </c>
      <c r="D64" s="425" t="s">
        <v>217</v>
      </c>
      <c r="E64" s="426" t="s">
        <v>229</v>
      </c>
      <c r="F64" s="160" t="s">
        <v>219</v>
      </c>
      <c r="G64" s="161"/>
      <c r="H64" s="159" t="s">
        <v>174</v>
      </c>
      <c r="I64" s="160" t="s">
        <v>175</v>
      </c>
      <c r="J64" s="159" t="s">
        <v>174</v>
      </c>
      <c r="K64" s="160" t="s">
        <v>175</v>
      </c>
    </row>
    <row r="65" spans="2:12" x14ac:dyDescent="0.3">
      <c r="B65" s="158"/>
      <c r="C65" s="159"/>
      <c r="D65" s="159"/>
      <c r="E65" s="160"/>
      <c r="F65" s="160"/>
      <c r="G65" s="161"/>
      <c r="H65" s="160" t="s">
        <v>6</v>
      </c>
      <c r="I65" s="160" t="s">
        <v>6</v>
      </c>
      <c r="J65" s="160" t="s">
        <v>6</v>
      </c>
      <c r="K65" s="160" t="s">
        <v>6</v>
      </c>
    </row>
    <row r="66" spans="2:12" s="120" customFormat="1" ht="11.4" customHeight="1" x14ac:dyDescent="0.2">
      <c r="B66" s="158"/>
      <c r="C66" s="159"/>
      <c r="D66" s="159"/>
      <c r="E66" s="160"/>
      <c r="F66" s="160"/>
      <c r="G66" s="161"/>
      <c r="H66" s="160"/>
      <c r="I66" s="160"/>
      <c r="J66" s="160"/>
      <c r="K66" s="160"/>
    </row>
    <row r="67" spans="2:12" x14ac:dyDescent="0.3">
      <c r="B67" s="427" t="s">
        <v>230</v>
      </c>
      <c r="C67" s="427" t="s">
        <v>231</v>
      </c>
      <c r="D67" s="428">
        <v>45811</v>
      </c>
      <c r="E67" s="420" t="s">
        <v>232</v>
      </c>
      <c r="F67" s="282">
        <v>7.1999999999999995E-2</v>
      </c>
      <c r="G67" s="161"/>
      <c r="H67" s="277">
        <v>0</v>
      </c>
      <c r="I67" s="277">
        <v>0</v>
      </c>
      <c r="J67" s="277">
        <v>0</v>
      </c>
      <c r="K67" s="277">
        <v>0</v>
      </c>
    </row>
    <row r="68" spans="2:12" x14ac:dyDescent="0.3">
      <c r="B68" s="427" t="s">
        <v>233</v>
      </c>
      <c r="C68" s="427" t="s">
        <v>231</v>
      </c>
      <c r="D68" s="428">
        <v>46462</v>
      </c>
      <c r="E68" s="420" t="s">
        <v>232</v>
      </c>
      <c r="F68" s="6" t="s">
        <v>234</v>
      </c>
      <c r="G68" s="161"/>
      <c r="H68" s="277">
        <v>0</v>
      </c>
      <c r="I68" s="277">
        <v>0</v>
      </c>
      <c r="J68" s="277">
        <v>0</v>
      </c>
      <c r="K68" s="277">
        <v>0</v>
      </c>
    </row>
    <row r="69" spans="2:12" x14ac:dyDescent="0.3">
      <c r="B69" s="427" t="s">
        <v>235</v>
      </c>
      <c r="C69" s="427" t="s">
        <v>231</v>
      </c>
      <c r="D69" s="428">
        <v>46462</v>
      </c>
      <c r="E69" s="420" t="s">
        <v>232</v>
      </c>
      <c r="F69" s="6" t="s">
        <v>234</v>
      </c>
      <c r="G69" s="161"/>
      <c r="H69" s="277">
        <v>0</v>
      </c>
      <c r="I69" s="277">
        <v>0</v>
      </c>
      <c r="J69" s="277">
        <v>0</v>
      </c>
      <c r="K69" s="277">
        <v>0</v>
      </c>
    </row>
    <row r="70" spans="2:12" x14ac:dyDescent="0.3">
      <c r="B70" s="427" t="s">
        <v>235</v>
      </c>
      <c r="C70" s="427" t="s">
        <v>231</v>
      </c>
      <c r="D70" s="428">
        <v>46462</v>
      </c>
      <c r="E70" s="420" t="s">
        <v>232</v>
      </c>
      <c r="F70" s="6" t="s">
        <v>234</v>
      </c>
      <c r="G70" s="91"/>
      <c r="H70" s="277">
        <v>0</v>
      </c>
      <c r="I70" s="277">
        <v>0</v>
      </c>
      <c r="J70" s="277">
        <v>0</v>
      </c>
      <c r="K70" s="548">
        <v>0</v>
      </c>
      <c r="L70" s="533"/>
    </row>
    <row r="71" spans="2:12" x14ac:dyDescent="0.3">
      <c r="B71" s="427" t="s">
        <v>235</v>
      </c>
      <c r="C71" s="427" t="s">
        <v>231</v>
      </c>
      <c r="D71" s="428">
        <v>46196</v>
      </c>
      <c r="E71" s="420" t="s">
        <v>232</v>
      </c>
      <c r="F71" s="6">
        <v>7.8E-2</v>
      </c>
      <c r="G71" s="549"/>
      <c r="H71" s="533"/>
      <c r="I71" s="548">
        <v>0</v>
      </c>
      <c r="J71" s="533"/>
      <c r="K71" s="548">
        <v>0</v>
      </c>
      <c r="L71" s="533"/>
    </row>
    <row r="72" spans="2:12" ht="20.399999999999999" customHeight="1" x14ac:dyDescent="0.3">
      <c r="B72" s="427" t="s">
        <v>236</v>
      </c>
      <c r="C72" s="427" t="s">
        <v>231</v>
      </c>
      <c r="D72" s="428">
        <v>46462</v>
      </c>
      <c r="E72" s="420" t="s">
        <v>232</v>
      </c>
      <c r="F72" s="6" t="s">
        <v>234</v>
      </c>
      <c r="G72" s="91"/>
      <c r="H72" s="277">
        <v>0</v>
      </c>
      <c r="I72" s="277">
        <v>0</v>
      </c>
      <c r="J72" s="277">
        <v>0</v>
      </c>
      <c r="K72" s="277">
        <v>0</v>
      </c>
    </row>
    <row r="73" spans="2:12" x14ac:dyDescent="0.3">
      <c r="B73" s="427" t="s">
        <v>236</v>
      </c>
      <c r="C73" s="427" t="s">
        <v>231</v>
      </c>
      <c r="D73" s="428">
        <v>46371</v>
      </c>
      <c r="E73" s="420" t="s">
        <v>232</v>
      </c>
      <c r="F73" s="6">
        <v>0.09</v>
      </c>
      <c r="G73" s="91"/>
      <c r="H73" s="277">
        <v>0</v>
      </c>
      <c r="I73" s="277">
        <v>0</v>
      </c>
      <c r="J73" s="277">
        <v>0</v>
      </c>
      <c r="K73" s="277">
        <v>0</v>
      </c>
    </row>
    <row r="74" spans="2:12" x14ac:dyDescent="0.3">
      <c r="B74" s="427" t="s">
        <v>236</v>
      </c>
      <c r="C74" s="427" t="s">
        <v>231</v>
      </c>
      <c r="D74" s="428">
        <v>46255</v>
      </c>
      <c r="E74" s="420" t="s">
        <v>232</v>
      </c>
      <c r="F74" s="6">
        <v>8.1799999999999998E-2</v>
      </c>
      <c r="G74" s="91"/>
      <c r="H74" s="277">
        <v>0</v>
      </c>
      <c r="I74" s="277">
        <v>0</v>
      </c>
      <c r="J74" s="277">
        <v>0</v>
      </c>
      <c r="K74" s="277">
        <v>0</v>
      </c>
    </row>
    <row r="75" spans="2:12" x14ac:dyDescent="0.3">
      <c r="B75" s="427" t="s">
        <v>237</v>
      </c>
      <c r="C75" s="427" t="s">
        <v>231</v>
      </c>
      <c r="D75" s="428">
        <v>46462</v>
      </c>
      <c r="E75" s="420" t="s">
        <v>232</v>
      </c>
      <c r="F75" s="6" t="s">
        <v>234</v>
      </c>
      <c r="G75" s="91"/>
      <c r="H75" s="277">
        <v>0</v>
      </c>
      <c r="I75" s="277">
        <v>0</v>
      </c>
      <c r="J75" s="277">
        <v>0</v>
      </c>
      <c r="K75" s="277">
        <v>0</v>
      </c>
    </row>
    <row r="76" spans="2:12" ht="15" customHeight="1" thickBot="1" x14ac:dyDescent="0.35">
      <c r="B76" s="427" t="s">
        <v>237</v>
      </c>
      <c r="C76" s="427" t="s">
        <v>231</v>
      </c>
      <c r="D76" s="428">
        <v>46462</v>
      </c>
      <c r="E76" s="420" t="s">
        <v>232</v>
      </c>
      <c r="F76" s="6" t="s">
        <v>234</v>
      </c>
      <c r="G76" s="91"/>
      <c r="H76" s="277">
        <v>0</v>
      </c>
      <c r="I76" s="277">
        <v>0</v>
      </c>
      <c r="J76" s="277">
        <v>0</v>
      </c>
      <c r="K76" s="277">
        <v>0</v>
      </c>
    </row>
    <row r="77" spans="2:12" x14ac:dyDescent="0.3">
      <c r="B77" s="546" t="s">
        <v>238</v>
      </c>
      <c r="C77" s="533"/>
      <c r="D77" s="533"/>
      <c r="E77" s="420" t="s">
        <v>232</v>
      </c>
      <c r="F77" s="6" t="s">
        <v>239</v>
      </c>
      <c r="G77" s="91"/>
      <c r="H77" s="277">
        <v>0</v>
      </c>
      <c r="I77" s="277">
        <v>0</v>
      </c>
      <c r="J77" s="277">
        <v>0</v>
      </c>
      <c r="K77" s="277">
        <v>0</v>
      </c>
    </row>
    <row r="78" spans="2:12" ht="15" customHeight="1" thickBot="1" x14ac:dyDescent="0.35">
      <c r="B78" s="546" t="s">
        <v>240</v>
      </c>
      <c r="C78" s="533"/>
      <c r="D78" s="533"/>
      <c r="E78" s="420" t="s">
        <v>232</v>
      </c>
      <c r="F78" s="6" t="s">
        <v>239</v>
      </c>
      <c r="G78" s="91"/>
      <c r="H78" s="277">
        <v>0</v>
      </c>
      <c r="I78" s="277">
        <v>0</v>
      </c>
      <c r="J78" s="277">
        <v>0</v>
      </c>
      <c r="K78" s="277">
        <v>0</v>
      </c>
    </row>
    <row r="79" spans="2:12" ht="15" customHeight="1" thickBot="1" x14ac:dyDescent="0.35">
      <c r="B79" s="546" t="s">
        <v>240</v>
      </c>
      <c r="C79" s="533"/>
      <c r="D79" s="533"/>
      <c r="E79" s="420" t="s">
        <v>232</v>
      </c>
      <c r="F79" s="6" t="s">
        <v>239</v>
      </c>
      <c r="G79" s="91"/>
      <c r="H79" s="277">
        <v>0</v>
      </c>
      <c r="I79" s="277">
        <v>0</v>
      </c>
      <c r="J79" s="277">
        <v>0</v>
      </c>
      <c r="K79" s="277">
        <v>0</v>
      </c>
    </row>
    <row r="80" spans="2:12" x14ac:dyDescent="0.3">
      <c r="B80" s="427" t="s">
        <v>241</v>
      </c>
      <c r="C80" s="427" t="s">
        <v>242</v>
      </c>
      <c r="D80" s="428">
        <v>46462</v>
      </c>
      <c r="E80" s="420" t="s">
        <v>232</v>
      </c>
      <c r="F80" s="6" t="s">
        <v>239</v>
      </c>
      <c r="G80" s="91"/>
      <c r="H80" s="277">
        <v>0</v>
      </c>
      <c r="I80" s="277">
        <v>0</v>
      </c>
      <c r="J80" s="277">
        <v>0</v>
      </c>
      <c r="K80" s="277">
        <v>0</v>
      </c>
    </row>
    <row r="81" spans="2:11" x14ac:dyDescent="0.3">
      <c r="B81" s="427" t="s">
        <v>243</v>
      </c>
      <c r="C81" s="427" t="s">
        <v>242</v>
      </c>
      <c r="D81" s="428">
        <v>46462</v>
      </c>
      <c r="E81" s="420" t="s">
        <v>232</v>
      </c>
      <c r="F81" s="6" t="s">
        <v>239</v>
      </c>
      <c r="G81" s="91"/>
      <c r="H81" s="277">
        <v>0</v>
      </c>
      <c r="I81" s="277">
        <v>0</v>
      </c>
      <c r="J81" s="277">
        <v>0</v>
      </c>
      <c r="K81" s="277">
        <v>0</v>
      </c>
    </row>
    <row r="82" spans="2:11" x14ac:dyDescent="0.3">
      <c r="B82" s="427" t="s">
        <v>243</v>
      </c>
      <c r="C82" s="427" t="s">
        <v>242</v>
      </c>
      <c r="D82" s="428">
        <v>46462</v>
      </c>
      <c r="E82" s="420" t="s">
        <v>232</v>
      </c>
      <c r="F82" s="6" t="s">
        <v>239</v>
      </c>
      <c r="G82" s="91"/>
      <c r="H82" s="277">
        <v>0</v>
      </c>
      <c r="I82" s="277">
        <v>0</v>
      </c>
      <c r="J82" s="277">
        <v>0</v>
      </c>
      <c r="K82" s="277">
        <v>0</v>
      </c>
    </row>
    <row r="83" spans="2:11" x14ac:dyDescent="0.3">
      <c r="B83" s="427" t="s">
        <v>244</v>
      </c>
      <c r="C83" s="427" t="s">
        <v>242</v>
      </c>
      <c r="D83" s="428">
        <v>46462</v>
      </c>
      <c r="E83" s="420" t="s">
        <v>232</v>
      </c>
      <c r="F83" s="6" t="s">
        <v>239</v>
      </c>
      <c r="G83" s="91"/>
      <c r="H83" s="277">
        <v>0</v>
      </c>
      <c r="I83" s="277">
        <v>0</v>
      </c>
      <c r="J83" s="277">
        <v>0</v>
      </c>
      <c r="K83" s="277">
        <v>0</v>
      </c>
    </row>
    <row r="84" spans="2:11" x14ac:dyDescent="0.3">
      <c r="B84" s="427" t="s">
        <v>244</v>
      </c>
      <c r="C84" s="427" t="s">
        <v>242</v>
      </c>
      <c r="D84" s="428">
        <v>46462</v>
      </c>
      <c r="E84" s="420" t="s">
        <v>232</v>
      </c>
      <c r="F84" s="6" t="s">
        <v>239</v>
      </c>
      <c r="G84" s="91"/>
      <c r="H84" s="548">
        <v>0</v>
      </c>
      <c r="I84" s="533"/>
      <c r="J84" s="548">
        <v>0</v>
      </c>
      <c r="K84" s="533"/>
    </row>
    <row r="85" spans="2:11" ht="34.200000000000003" customHeight="1" x14ac:dyDescent="0.3">
      <c r="B85" s="427" t="s">
        <v>245</v>
      </c>
      <c r="C85" s="427" t="s">
        <v>242</v>
      </c>
      <c r="D85" s="428">
        <v>46462</v>
      </c>
      <c r="E85" s="420" t="s">
        <v>232</v>
      </c>
      <c r="F85" s="6" t="s">
        <v>239</v>
      </c>
      <c r="G85" s="91"/>
      <c r="H85" s="277">
        <v>0</v>
      </c>
      <c r="I85" s="277">
        <v>0</v>
      </c>
      <c r="J85" s="277">
        <v>0</v>
      </c>
      <c r="K85" s="277">
        <v>0</v>
      </c>
    </row>
    <row r="86" spans="2:11" x14ac:dyDescent="0.3">
      <c r="B86" s="427" t="s">
        <v>246</v>
      </c>
      <c r="C86" s="427" t="s">
        <v>231</v>
      </c>
      <c r="D86" s="428">
        <v>46462</v>
      </c>
      <c r="E86" s="420" t="s">
        <v>232</v>
      </c>
      <c r="F86" s="6" t="s">
        <v>234</v>
      </c>
      <c r="G86" s="91"/>
      <c r="H86" s="277">
        <v>0</v>
      </c>
      <c r="I86" s="277">
        <v>0</v>
      </c>
      <c r="J86" s="277">
        <v>0</v>
      </c>
      <c r="K86" s="277">
        <v>0</v>
      </c>
    </row>
    <row r="87" spans="2:11" x14ac:dyDescent="0.3">
      <c r="B87" s="427" t="s">
        <v>246</v>
      </c>
      <c r="C87" s="427" t="s">
        <v>231</v>
      </c>
      <c r="D87" s="428">
        <v>46462</v>
      </c>
      <c r="E87" s="420" t="s">
        <v>232</v>
      </c>
      <c r="F87" s="6" t="s">
        <v>234</v>
      </c>
      <c r="G87" s="91"/>
      <c r="H87" s="277">
        <v>0</v>
      </c>
      <c r="I87" s="277">
        <v>0</v>
      </c>
      <c r="J87" s="277">
        <v>0</v>
      </c>
      <c r="K87" s="277">
        <v>0</v>
      </c>
    </row>
    <row r="88" spans="2:11" x14ac:dyDescent="0.3">
      <c r="B88" s="427" t="s">
        <v>247</v>
      </c>
      <c r="C88" s="427" t="s">
        <v>231</v>
      </c>
      <c r="D88" s="279"/>
      <c r="E88" s="93"/>
      <c r="F88" s="280"/>
      <c r="G88" s="100"/>
      <c r="H88" s="281">
        <v>0</v>
      </c>
      <c r="I88" s="281">
        <v>0</v>
      </c>
      <c r="J88" s="281">
        <v>0</v>
      </c>
      <c r="K88" s="281">
        <v>0</v>
      </c>
    </row>
    <row r="89" spans="2:11" x14ac:dyDescent="0.3">
      <c r="B89" s="426" t="s">
        <v>248</v>
      </c>
      <c r="C89" s="160"/>
      <c r="D89" s="163"/>
      <c r="E89" s="160"/>
      <c r="F89" s="163"/>
      <c r="G89" s="162"/>
      <c r="H89" s="277" t="str">
        <f ca="1">SUM(H88:H119)</f>
        <v/>
      </c>
      <c r="I89" s="277" t="str">
        <f ca="1">SUM(I88:I119)</f>
        <v/>
      </c>
      <c r="J89" s="277" t="str">
        <f ca="1">SUM(J88:J119)</f>
        <v/>
      </c>
      <c r="K89" s="277" t="str">
        <f ca="1">SUM(K88:K119)</f>
        <v/>
      </c>
    </row>
    <row r="90" spans="2:11" x14ac:dyDescent="0.3">
      <c r="B90" s="426" t="s">
        <v>249</v>
      </c>
      <c r="C90" s="160"/>
      <c r="D90" s="163"/>
      <c r="E90" s="160"/>
      <c r="F90" s="163"/>
      <c r="G90" s="162"/>
      <c r="H90" s="293"/>
      <c r="I90" s="278"/>
      <c r="J90" s="278"/>
      <c r="K90" s="278"/>
    </row>
    <row r="91" spans="2:11" x14ac:dyDescent="0.3">
      <c r="B91" s="426" t="s">
        <v>250</v>
      </c>
      <c r="C91" s="160"/>
      <c r="D91" s="163"/>
      <c r="E91" s="160"/>
      <c r="F91" s="163"/>
      <c r="G91" s="162"/>
      <c r="H91" s="346">
        <f>SUM(H120:H121)</f>
        <v>0</v>
      </c>
      <c r="I91" s="346">
        <f>SUM(I120:I121)</f>
        <v>0</v>
      </c>
      <c r="J91" s="346">
        <f>SUM(J120:J121)</f>
        <v>0</v>
      </c>
      <c r="K91" s="346">
        <f>SUM(K120:K121)</f>
        <v>0</v>
      </c>
    </row>
    <row r="92" spans="2:11" x14ac:dyDescent="0.3">
      <c r="B92" s="119"/>
      <c r="C92" s="119"/>
      <c r="D92" s="119"/>
      <c r="E92" s="119"/>
      <c r="F92" s="119"/>
      <c r="G92" s="119"/>
      <c r="H92" s="119"/>
      <c r="I92" s="119"/>
      <c r="J92" s="119"/>
      <c r="K92" s="119"/>
    </row>
    <row r="95" spans="2:11" x14ac:dyDescent="0.3">
      <c r="B95" t="s">
        <v>597</v>
      </c>
    </row>
    <row r="96" spans="2:11" x14ac:dyDescent="0.3">
      <c r="B96" s="457" t="s">
        <v>599</v>
      </c>
    </row>
    <row r="97" spans="2:14" ht="19.8" thickBot="1" x14ac:dyDescent="0.35">
      <c r="B97" s="458" t="s">
        <v>578</v>
      </c>
      <c r="C97" s="458" t="s">
        <v>579</v>
      </c>
      <c r="D97" s="459" t="s">
        <v>580</v>
      </c>
      <c r="E97" s="458" t="s">
        <v>581</v>
      </c>
      <c r="F97" s="458" t="s">
        <v>582</v>
      </c>
      <c r="G97" s="458" t="s">
        <v>583</v>
      </c>
      <c r="H97" s="458" t="s">
        <v>584</v>
      </c>
      <c r="I97" s="458" t="s">
        <v>585</v>
      </c>
      <c r="J97" s="458" t="s">
        <v>174</v>
      </c>
      <c r="K97" s="458" t="s">
        <v>175</v>
      </c>
    </row>
    <row r="99" spans="2:14" x14ac:dyDescent="0.3">
      <c r="B99" s="460" t="s">
        <v>600</v>
      </c>
      <c r="C99" s="461" t="s">
        <v>601</v>
      </c>
      <c r="D99" s="460" t="s">
        <v>527</v>
      </c>
      <c r="E99" s="461" t="s">
        <v>586</v>
      </c>
      <c r="F99" s="471">
        <v>46132</v>
      </c>
      <c r="G99" s="472">
        <v>47958</v>
      </c>
      <c r="H99" s="460" t="s">
        <v>602</v>
      </c>
      <c r="I99" s="462" t="s">
        <v>587</v>
      </c>
      <c r="J99" s="463" t="s">
        <v>327</v>
      </c>
      <c r="K99" s="464" t="s">
        <v>588</v>
      </c>
    </row>
    <row r="100" spans="2:14" ht="15" thickBot="1" x14ac:dyDescent="0.35">
      <c r="B100" s="465"/>
      <c r="C100" s="465"/>
      <c r="D100" s="465"/>
      <c r="E100" s="465"/>
      <c r="F100" s="465"/>
      <c r="G100" s="465"/>
      <c r="H100" s="465"/>
      <c r="I100" s="465"/>
      <c r="J100" s="465"/>
      <c r="K100" s="466"/>
    </row>
    <row r="101" spans="2:14" x14ac:dyDescent="0.3">
      <c r="D101" s="467"/>
      <c r="E101" s="467"/>
      <c r="F101" s="468"/>
      <c r="G101" s="467" t="s">
        <v>589</v>
      </c>
      <c r="J101" s="469" t="s">
        <v>590</v>
      </c>
      <c r="K101" s="469" t="s">
        <v>591</v>
      </c>
    </row>
    <row r="102" spans="2:14" ht="15" thickBot="1" x14ac:dyDescent="0.35">
      <c r="D102" s="468"/>
      <c r="E102" s="468"/>
      <c r="F102" s="468"/>
      <c r="G102" s="468" t="s">
        <v>592</v>
      </c>
      <c r="J102" s="470" t="s">
        <v>593</v>
      </c>
      <c r="K102" s="470" t="s">
        <v>594</v>
      </c>
    </row>
    <row r="103" spans="2:14" ht="15" thickBot="1" x14ac:dyDescent="0.35">
      <c r="D103" s="467"/>
      <c r="E103" s="467"/>
      <c r="F103" s="468"/>
      <c r="G103" s="467" t="s">
        <v>595</v>
      </c>
      <c r="J103" s="470" t="s">
        <v>593</v>
      </c>
      <c r="K103" s="470" t="s">
        <v>596</v>
      </c>
    </row>
    <row r="106" spans="2:14" x14ac:dyDescent="0.3">
      <c r="B106" s="387" t="s">
        <v>251</v>
      </c>
    </row>
    <row r="107" spans="2:14" x14ac:dyDescent="0.3">
      <c r="B107" s="457" t="s">
        <v>635</v>
      </c>
    </row>
    <row r="108" spans="2:14" x14ac:dyDescent="0.3">
      <c r="K108" s="385">
        <v>2026</v>
      </c>
      <c r="M108" s="381">
        <v>2025</v>
      </c>
    </row>
    <row r="109" spans="2:14" x14ac:dyDescent="0.3">
      <c r="I109" s="96"/>
      <c r="J109" s="96"/>
      <c r="K109" s="96"/>
      <c r="L109" s="121"/>
      <c r="M109" s="121"/>
    </row>
    <row r="110" spans="2:14" x14ac:dyDescent="0.3">
      <c r="B110" s="233" t="s">
        <v>252</v>
      </c>
      <c r="C110" s="233" t="s">
        <v>253</v>
      </c>
      <c r="D110" s="233" t="s">
        <v>254</v>
      </c>
      <c r="E110" s="233" t="s">
        <v>255</v>
      </c>
      <c r="F110" s="268" t="s">
        <v>256</v>
      </c>
      <c r="G110" s="268" t="s">
        <v>257</v>
      </c>
      <c r="H110" s="268" t="s">
        <v>258</v>
      </c>
      <c r="I110" s="268" t="s">
        <v>259</v>
      </c>
      <c r="J110" s="268" t="s">
        <v>260</v>
      </c>
      <c r="K110" s="271" t="s">
        <v>261</v>
      </c>
      <c r="L110" s="271" t="s">
        <v>262</v>
      </c>
      <c r="M110" s="271" t="s">
        <v>261</v>
      </c>
      <c r="N110" s="271" t="s">
        <v>262</v>
      </c>
    </row>
    <row r="111" spans="2:14" x14ac:dyDescent="0.3"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</row>
    <row r="112" spans="2:14" x14ac:dyDescent="0.3">
      <c r="B112" s="233" t="s">
        <v>263</v>
      </c>
      <c r="C112" s="233" t="s">
        <v>264</v>
      </c>
      <c r="D112" s="270">
        <v>7500000</v>
      </c>
      <c r="E112" s="268" t="s">
        <v>265</v>
      </c>
      <c r="F112" s="268" t="s">
        <v>266</v>
      </c>
      <c r="G112" s="268" t="s">
        <v>267</v>
      </c>
      <c r="H112" s="268" t="s">
        <v>268</v>
      </c>
      <c r="I112" s="268" t="s">
        <v>269</v>
      </c>
      <c r="J112" s="268" t="s">
        <v>270</v>
      </c>
      <c r="K112" s="294">
        <v>0</v>
      </c>
      <c r="L112" s="294">
        <v>0</v>
      </c>
      <c r="M112" s="294">
        <v>0</v>
      </c>
      <c r="N112" s="294">
        <v>0</v>
      </c>
    </row>
    <row r="113" spans="2:14" x14ac:dyDescent="0.3">
      <c r="B113" s="233" t="s">
        <v>263</v>
      </c>
      <c r="C113" s="233" t="s">
        <v>264</v>
      </c>
      <c r="D113" s="270">
        <v>15863310</v>
      </c>
      <c r="E113" s="268" t="s">
        <v>265</v>
      </c>
      <c r="F113" s="268" t="s">
        <v>266</v>
      </c>
      <c r="G113" s="268" t="s">
        <v>267</v>
      </c>
      <c r="H113" s="268" t="s">
        <v>268</v>
      </c>
      <c r="I113" s="268" t="s">
        <v>269</v>
      </c>
      <c r="J113" s="268" t="s">
        <v>270</v>
      </c>
      <c r="K113" s="294">
        <v>0</v>
      </c>
      <c r="L113" s="294">
        <v>0</v>
      </c>
      <c r="M113" s="294">
        <v>0</v>
      </c>
      <c r="N113" s="294">
        <v>0</v>
      </c>
    </row>
    <row r="114" spans="2:14" x14ac:dyDescent="0.3">
      <c r="B114" s="233" t="s">
        <v>263</v>
      </c>
      <c r="C114" s="233" t="s">
        <v>264</v>
      </c>
      <c r="D114" s="270">
        <v>5200000</v>
      </c>
      <c r="E114" s="268" t="s">
        <v>265</v>
      </c>
      <c r="F114" s="268" t="s">
        <v>266</v>
      </c>
      <c r="G114" s="268" t="s">
        <v>267</v>
      </c>
      <c r="H114" s="268" t="s">
        <v>268</v>
      </c>
      <c r="I114" s="268" t="s">
        <v>269</v>
      </c>
      <c r="J114" s="268" t="s">
        <v>270</v>
      </c>
      <c r="K114" s="294">
        <v>0</v>
      </c>
      <c r="L114" s="294">
        <v>0</v>
      </c>
      <c r="M114" s="294">
        <v>0</v>
      </c>
      <c r="N114" s="294">
        <v>0</v>
      </c>
    </row>
    <row r="115" spans="2:14" x14ac:dyDescent="0.3">
      <c r="B115" s="233" t="s">
        <v>263</v>
      </c>
      <c r="C115" s="233" t="s">
        <v>264</v>
      </c>
      <c r="D115" s="270">
        <v>11438690</v>
      </c>
      <c r="E115" s="268" t="s">
        <v>265</v>
      </c>
      <c r="F115" s="268" t="s">
        <v>266</v>
      </c>
      <c r="G115" s="268" t="s">
        <v>267</v>
      </c>
      <c r="H115" s="268" t="s">
        <v>268</v>
      </c>
      <c r="I115" s="268" t="s">
        <v>269</v>
      </c>
      <c r="J115" s="268" t="s">
        <v>270</v>
      </c>
      <c r="K115" s="294">
        <v>0</v>
      </c>
      <c r="L115" s="294">
        <v>0</v>
      </c>
      <c r="M115" s="294">
        <v>0</v>
      </c>
      <c r="N115" s="294">
        <v>0</v>
      </c>
    </row>
    <row r="116" spans="2:14" x14ac:dyDescent="0.3">
      <c r="B116" s="233" t="s">
        <v>263</v>
      </c>
      <c r="C116" s="233" t="s">
        <v>264</v>
      </c>
      <c r="D116" s="270">
        <v>15000000</v>
      </c>
      <c r="E116" s="268" t="s">
        <v>265</v>
      </c>
      <c r="F116" s="268" t="s">
        <v>266</v>
      </c>
      <c r="G116" s="268" t="s">
        <v>267</v>
      </c>
      <c r="H116" s="268" t="s">
        <v>268</v>
      </c>
      <c r="I116" s="268" t="s">
        <v>269</v>
      </c>
      <c r="J116" s="268" t="s">
        <v>270</v>
      </c>
      <c r="K116" s="294">
        <v>0</v>
      </c>
      <c r="L116" s="294">
        <v>0</v>
      </c>
      <c r="M116" s="294">
        <v>0</v>
      </c>
      <c r="N116" s="294">
        <v>0</v>
      </c>
    </row>
    <row r="117" spans="2:14" x14ac:dyDescent="0.3">
      <c r="B117" s="233" t="s">
        <v>263</v>
      </c>
      <c r="C117" s="233" t="s">
        <v>264</v>
      </c>
      <c r="D117" s="270">
        <v>10000000</v>
      </c>
      <c r="E117" s="268" t="s">
        <v>265</v>
      </c>
      <c r="F117" s="268" t="s">
        <v>266</v>
      </c>
      <c r="G117" s="268" t="s">
        <v>267</v>
      </c>
      <c r="H117" s="268" t="s">
        <v>268</v>
      </c>
      <c r="I117" s="268" t="s">
        <v>269</v>
      </c>
      <c r="J117" s="268" t="s">
        <v>270</v>
      </c>
      <c r="K117" s="294">
        <v>0</v>
      </c>
      <c r="L117" s="294">
        <v>0</v>
      </c>
      <c r="M117" s="294">
        <v>0</v>
      </c>
      <c r="N117" s="294">
        <v>0</v>
      </c>
    </row>
    <row r="118" spans="2:14" x14ac:dyDescent="0.3">
      <c r="B118" s="233" t="s">
        <v>263</v>
      </c>
      <c r="C118" s="233" t="s">
        <v>264</v>
      </c>
      <c r="D118" s="270">
        <v>29625000</v>
      </c>
      <c r="E118" s="268" t="s">
        <v>265</v>
      </c>
      <c r="F118" s="268" t="s">
        <v>266</v>
      </c>
      <c r="G118" s="268" t="s">
        <v>267</v>
      </c>
      <c r="H118" s="268" t="s">
        <v>268</v>
      </c>
      <c r="I118" s="268" t="s">
        <v>269</v>
      </c>
      <c r="J118" s="268" t="s">
        <v>270</v>
      </c>
      <c r="K118" s="294">
        <v>0</v>
      </c>
      <c r="L118" s="294">
        <v>0</v>
      </c>
      <c r="M118" s="294">
        <v>0</v>
      </c>
      <c r="N118" s="294">
        <v>0</v>
      </c>
    </row>
    <row r="119" spans="2:14" x14ac:dyDescent="0.3">
      <c r="B119" s="233" t="s">
        <v>263</v>
      </c>
      <c r="C119" s="233" t="s">
        <v>264</v>
      </c>
      <c r="D119" s="270">
        <v>11000000</v>
      </c>
      <c r="E119" s="268" t="s">
        <v>265</v>
      </c>
      <c r="F119" s="268" t="s">
        <v>266</v>
      </c>
      <c r="G119" s="268" t="s">
        <v>267</v>
      </c>
      <c r="H119" s="268" t="s">
        <v>268</v>
      </c>
      <c r="I119" s="268" t="s">
        <v>269</v>
      </c>
      <c r="J119" s="268" t="s">
        <v>270</v>
      </c>
      <c r="K119" s="294">
        <v>0</v>
      </c>
      <c r="L119" s="294">
        <v>0</v>
      </c>
      <c r="M119" s="294">
        <v>0</v>
      </c>
      <c r="N119" s="294">
        <v>0</v>
      </c>
    </row>
    <row r="120" spans="2:14" x14ac:dyDescent="0.3">
      <c r="B120" s="233" t="s">
        <v>263</v>
      </c>
      <c r="C120" s="233" t="s">
        <v>271</v>
      </c>
      <c r="D120" s="268" t="s">
        <v>272</v>
      </c>
      <c r="E120" s="272">
        <v>110883334</v>
      </c>
      <c r="F120" s="268" t="s">
        <v>273</v>
      </c>
      <c r="G120" s="268" t="s">
        <v>274</v>
      </c>
      <c r="H120" s="268" t="s">
        <v>275</v>
      </c>
      <c r="I120" s="268" t="s">
        <v>269</v>
      </c>
      <c r="J120" s="268" t="s">
        <v>270</v>
      </c>
      <c r="K120" s="294">
        <v>0</v>
      </c>
      <c r="L120" s="294">
        <v>0</v>
      </c>
      <c r="M120" s="294">
        <v>0</v>
      </c>
      <c r="N120" s="294">
        <v>0</v>
      </c>
    </row>
    <row r="121" spans="2:14" ht="19.8" customHeight="1" thickBot="1" x14ac:dyDescent="0.35">
      <c r="B121" s="233" t="s">
        <v>263</v>
      </c>
      <c r="C121" s="233" t="s">
        <v>271</v>
      </c>
      <c r="D121" s="268" t="s">
        <v>272</v>
      </c>
      <c r="E121" s="272">
        <v>89668686</v>
      </c>
      <c r="F121" s="268" t="s">
        <v>273</v>
      </c>
      <c r="G121" s="268" t="s">
        <v>274</v>
      </c>
      <c r="H121" s="268" t="s">
        <v>275</v>
      </c>
      <c r="I121" s="268" t="s">
        <v>269</v>
      </c>
      <c r="J121" s="268" t="s">
        <v>270</v>
      </c>
      <c r="K121" s="294">
        <v>0</v>
      </c>
      <c r="L121" s="294">
        <v>0</v>
      </c>
      <c r="M121" s="294">
        <v>0</v>
      </c>
      <c r="N121" s="294">
        <v>0</v>
      </c>
    </row>
    <row r="122" spans="2:14" ht="15" customHeight="1" thickBot="1" x14ac:dyDescent="0.35">
      <c r="B122" s="429" t="s">
        <v>263</v>
      </c>
      <c r="C122" s="429" t="s">
        <v>271</v>
      </c>
      <c r="D122" s="269" t="s">
        <v>272</v>
      </c>
      <c r="E122" s="273">
        <v>17000000</v>
      </c>
      <c r="F122" s="269" t="s">
        <v>273</v>
      </c>
      <c r="G122" s="269" t="s">
        <v>274</v>
      </c>
      <c r="H122" s="269" t="s">
        <v>275</v>
      </c>
      <c r="I122" s="269" t="s">
        <v>269</v>
      </c>
      <c r="J122" s="269" t="s">
        <v>270</v>
      </c>
      <c r="K122" s="295">
        <v>0</v>
      </c>
      <c r="L122" s="295">
        <v>0</v>
      </c>
      <c r="M122" s="295">
        <v>0</v>
      </c>
      <c r="N122" s="295">
        <v>0</v>
      </c>
    </row>
    <row r="123" spans="2:14" x14ac:dyDescent="0.3">
      <c r="B123" s="233" t="s">
        <v>23</v>
      </c>
      <c r="C123" s="268" t="s">
        <v>276</v>
      </c>
      <c r="D123" s="268" t="s">
        <v>272</v>
      </c>
      <c r="E123" s="268" t="s">
        <v>265</v>
      </c>
      <c r="F123" s="268" t="s">
        <v>272</v>
      </c>
      <c r="G123" s="268" t="s">
        <v>277</v>
      </c>
      <c r="H123" s="268" t="s">
        <v>278</v>
      </c>
      <c r="I123" s="268" t="s">
        <v>279</v>
      </c>
      <c r="J123" s="268" t="s">
        <v>279</v>
      </c>
      <c r="K123" s="295">
        <f>SUM(K133:K143)</f>
        <v>0</v>
      </c>
      <c r="L123" s="295">
        <f>SUM(L133:L143)</f>
        <v>0</v>
      </c>
      <c r="M123" s="295">
        <f>SUM(M133:M143)</f>
        <v>0</v>
      </c>
      <c r="N123" s="295">
        <f>SUM(N133:N143)</f>
        <v>0</v>
      </c>
    </row>
    <row r="125" spans="2:14" x14ac:dyDescent="0.3">
      <c r="L125" s="296"/>
    </row>
    <row r="129" spans="11:14" x14ac:dyDescent="0.3">
      <c r="K129" s="533"/>
      <c r="L129" s="533"/>
      <c r="M129" s="533"/>
      <c r="N129" s="533"/>
    </row>
    <row r="132" spans="11:14" ht="15" customHeight="1" thickBot="1" x14ac:dyDescent="0.35"/>
    <row r="143" spans="11:14" ht="15" customHeight="1" thickBot="1" x14ac:dyDescent="0.35"/>
    <row r="144" spans="11:14" ht="15" customHeight="1" thickBot="1" x14ac:dyDescent="0.35"/>
    <row r="145" ht="15" customHeight="1" x14ac:dyDescent="0.3"/>
  </sheetData>
  <mergeCells count="14">
    <mergeCell ref="M129:N129"/>
    <mergeCell ref="B79:D79"/>
    <mergeCell ref="C12:D12"/>
    <mergeCell ref="K129:L129"/>
    <mergeCell ref="H84:I84"/>
    <mergeCell ref="E12:F12"/>
    <mergeCell ref="B77:D77"/>
    <mergeCell ref="K70:L70"/>
    <mergeCell ref="G71:H71"/>
    <mergeCell ref="J84:K84"/>
    <mergeCell ref="B55:B56"/>
    <mergeCell ref="B78:D78"/>
    <mergeCell ref="I71:J71"/>
    <mergeCell ref="K71:L7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B1:L182"/>
  <sheetViews>
    <sheetView showGridLines="0" topLeftCell="A7" zoomScale="80" zoomScaleNormal="80" workbookViewId="0">
      <selection activeCell="C7" sqref="C1:K1048576"/>
    </sheetView>
  </sheetViews>
  <sheetFormatPr baseColWidth="10" defaultRowHeight="14.4" x14ac:dyDescent="0.3"/>
  <cols>
    <col min="1" max="1" width="12.109375" customWidth="1"/>
    <col min="2" max="2" width="46.77734375" customWidth="1"/>
    <col min="3" max="3" width="11.33203125" customWidth="1"/>
    <col min="4" max="4" width="14.6640625" customWidth="1"/>
    <col min="5" max="5" width="13.33203125" bestFit="1" customWidth="1"/>
    <col min="6" max="6" width="6.88671875" customWidth="1"/>
    <col min="11" max="11" width="44.109375" customWidth="1"/>
    <col min="12" max="12" width="18.109375" style="4" customWidth="1"/>
  </cols>
  <sheetData>
    <row r="1" spans="2:4" x14ac:dyDescent="0.3">
      <c r="B1" s="457" t="s">
        <v>603</v>
      </c>
    </row>
    <row r="2" spans="2:4" x14ac:dyDescent="0.3">
      <c r="B2" s="430" t="s">
        <v>280</v>
      </c>
    </row>
    <row r="3" spans="2:4" x14ac:dyDescent="0.3">
      <c r="B3" s="387" t="s">
        <v>281</v>
      </c>
      <c r="C3" s="72" t="s">
        <v>0</v>
      </c>
      <c r="D3" s="72" t="s">
        <v>141</v>
      </c>
    </row>
    <row r="4" spans="2:4" x14ac:dyDescent="0.3">
      <c r="B4" s="1"/>
      <c r="C4" s="14" t="s">
        <v>6</v>
      </c>
      <c r="D4" s="14" t="s">
        <v>6</v>
      </c>
    </row>
    <row r="5" spans="2:4" x14ac:dyDescent="0.3">
      <c r="B5" s="233" t="s">
        <v>282</v>
      </c>
      <c r="C5" s="21"/>
      <c r="D5" s="53"/>
    </row>
    <row r="6" spans="2:4" x14ac:dyDescent="0.3">
      <c r="B6" s="233" t="s">
        <v>283</v>
      </c>
      <c r="C6" s="21"/>
      <c r="D6" s="53"/>
    </row>
    <row r="7" spans="2:4" x14ac:dyDescent="0.3">
      <c r="B7" s="233" t="s">
        <v>284</v>
      </c>
      <c r="C7" s="21"/>
      <c r="D7" s="53"/>
    </row>
    <row r="8" spans="2:4" x14ac:dyDescent="0.3">
      <c r="B8" s="233" t="s">
        <v>285</v>
      </c>
      <c r="C8" s="21"/>
      <c r="D8" s="53"/>
    </row>
    <row r="9" spans="2:4" x14ac:dyDescent="0.3">
      <c r="B9" s="233" t="s">
        <v>286</v>
      </c>
      <c r="C9" s="21"/>
      <c r="D9" s="53"/>
    </row>
    <row r="10" spans="2:4" x14ac:dyDescent="0.3">
      <c r="B10" s="233" t="s">
        <v>287</v>
      </c>
      <c r="C10" s="21"/>
      <c r="D10" s="53"/>
    </row>
    <row r="11" spans="2:4" x14ac:dyDescent="0.3">
      <c r="B11" s="233" t="s">
        <v>288</v>
      </c>
      <c r="C11" s="53"/>
      <c r="D11" s="53"/>
    </row>
    <row r="12" spans="2:4" ht="15" customHeight="1" thickBot="1" x14ac:dyDescent="0.35">
      <c r="B12" s="233" t="s">
        <v>289</v>
      </c>
      <c r="C12" s="52"/>
      <c r="D12" s="52"/>
    </row>
    <row r="13" spans="2:4" ht="15" customHeight="1" thickBot="1" x14ac:dyDescent="0.35">
      <c r="B13" s="233" t="s">
        <v>62</v>
      </c>
      <c r="C13" s="52">
        <f>SUM(C5:C12)</f>
        <v>0</v>
      </c>
      <c r="D13" s="52">
        <f>SUM(D5:D12)</f>
        <v>0</v>
      </c>
    </row>
    <row r="16" spans="2:4" x14ac:dyDescent="0.3">
      <c r="B16" s="457" t="s">
        <v>604</v>
      </c>
    </row>
    <row r="17" spans="2:4" x14ac:dyDescent="0.3">
      <c r="B17" s="387" t="s">
        <v>290</v>
      </c>
      <c r="C17" s="72" t="s">
        <v>0</v>
      </c>
      <c r="D17" s="72" t="s">
        <v>141</v>
      </c>
    </row>
    <row r="18" spans="2:4" x14ac:dyDescent="0.3">
      <c r="B18" s="1"/>
      <c r="C18" s="14" t="s">
        <v>6</v>
      </c>
      <c r="D18" s="14" t="s">
        <v>6</v>
      </c>
    </row>
    <row r="19" spans="2:4" x14ac:dyDescent="0.3">
      <c r="B19" s="233" t="s">
        <v>284</v>
      </c>
      <c r="C19" s="125"/>
      <c r="D19" s="126"/>
    </row>
    <row r="20" spans="2:4" ht="15" customHeight="1" thickBot="1" x14ac:dyDescent="0.35">
      <c r="B20" s="233" t="s">
        <v>62</v>
      </c>
      <c r="C20" s="52">
        <f>+C19</f>
        <v>0</v>
      </c>
      <c r="D20" s="52">
        <f>+D19</f>
        <v>0</v>
      </c>
    </row>
    <row r="21" spans="2:4" x14ac:dyDescent="0.3">
      <c r="B21" s="1"/>
      <c r="C21" s="21"/>
      <c r="D21" s="53"/>
    </row>
    <row r="22" spans="2:4" ht="15" customHeight="1" thickBot="1" x14ac:dyDescent="0.35">
      <c r="B22" s="233" t="s">
        <v>291</v>
      </c>
      <c r="C22" s="127">
        <f>+C20+C13</f>
        <v>0</v>
      </c>
      <c r="D22" s="127">
        <f>+D20+D13</f>
        <v>0</v>
      </c>
    </row>
    <row r="23" spans="2:4" ht="15" customHeight="1" thickTop="1" x14ac:dyDescent="0.3"/>
    <row r="24" spans="2:4" x14ac:dyDescent="0.3">
      <c r="B24" s="457" t="s">
        <v>605</v>
      </c>
    </row>
    <row r="25" spans="2:4" x14ac:dyDescent="0.3">
      <c r="B25" s="413" t="s">
        <v>292</v>
      </c>
    </row>
    <row r="26" spans="2:4" x14ac:dyDescent="0.3">
      <c r="B26" s="44"/>
      <c r="C26" s="72" t="s">
        <v>0</v>
      </c>
      <c r="D26" s="72" t="s">
        <v>141</v>
      </c>
    </row>
    <row r="27" spans="2:4" x14ac:dyDescent="0.3">
      <c r="B27" s="32"/>
      <c r="C27" s="14" t="s">
        <v>6</v>
      </c>
      <c r="D27" s="14" t="s">
        <v>6</v>
      </c>
    </row>
    <row r="28" spans="2:4" x14ac:dyDescent="0.3">
      <c r="B28" s="394" t="s">
        <v>293</v>
      </c>
      <c r="C28" s="34"/>
      <c r="D28" s="34"/>
    </row>
    <row r="29" spans="2:4" x14ac:dyDescent="0.3">
      <c r="B29" s="394" t="s">
        <v>294</v>
      </c>
      <c r="C29" s="34"/>
      <c r="D29" s="34"/>
    </row>
    <row r="30" spans="2:4" x14ac:dyDescent="0.3">
      <c r="B30" s="394" t="s">
        <v>295</v>
      </c>
      <c r="C30" s="34"/>
      <c r="D30" s="34"/>
    </row>
    <row r="31" spans="2:4" ht="15" customHeight="1" thickBot="1" x14ac:dyDescent="0.35">
      <c r="B31" s="394" t="s">
        <v>296</v>
      </c>
      <c r="C31" s="35"/>
      <c r="D31" s="35"/>
    </row>
    <row r="32" spans="2:4" ht="15" customHeight="1" thickBot="1" x14ac:dyDescent="0.35">
      <c r="B32" s="394" t="s">
        <v>23</v>
      </c>
      <c r="C32" s="35">
        <f>SUM(C28:C31)</f>
        <v>0</v>
      </c>
      <c r="D32" s="35">
        <f>SUM(D28:D31)</f>
        <v>0</v>
      </c>
    </row>
    <row r="36" spans="2:4" x14ac:dyDescent="0.3">
      <c r="B36" s="413" t="s">
        <v>297</v>
      </c>
    </row>
    <row r="37" spans="2:4" x14ac:dyDescent="0.3">
      <c r="B37" s="451" t="s">
        <v>664</v>
      </c>
    </row>
    <row r="38" spans="2:4" x14ac:dyDescent="0.3">
      <c r="B38" s="32"/>
      <c r="C38" s="72" t="s">
        <v>0</v>
      </c>
      <c r="D38" s="72" t="s">
        <v>141</v>
      </c>
    </row>
    <row r="39" spans="2:4" x14ac:dyDescent="0.3">
      <c r="B39" s="394" t="s">
        <v>298</v>
      </c>
      <c r="C39" s="33" t="s">
        <v>6</v>
      </c>
      <c r="D39" s="33" t="s">
        <v>6</v>
      </c>
    </row>
    <row r="40" spans="2:4" x14ac:dyDescent="0.3">
      <c r="B40" s="44"/>
      <c r="C40" s="64"/>
      <c r="D40" s="64"/>
    </row>
    <row r="41" spans="2:4" x14ac:dyDescent="0.3">
      <c r="B41" s="394" t="s">
        <v>299</v>
      </c>
      <c r="C41" s="21"/>
      <c r="D41" s="288"/>
    </row>
    <row r="42" spans="2:4" x14ac:dyDescent="0.3">
      <c r="B42" s="394" t="s">
        <v>82</v>
      </c>
      <c r="C42" s="21"/>
      <c r="D42" s="288"/>
    </row>
    <row r="43" spans="2:4" x14ac:dyDescent="0.3">
      <c r="B43" s="394" t="s">
        <v>83</v>
      </c>
      <c r="C43" s="21"/>
      <c r="D43" s="288"/>
    </row>
    <row r="44" spans="2:4" x14ac:dyDescent="0.3">
      <c r="B44" s="394" t="s">
        <v>84</v>
      </c>
      <c r="C44" s="21"/>
      <c r="D44" s="288"/>
    </row>
    <row r="45" spans="2:4" x14ac:dyDescent="0.3">
      <c r="B45" s="394" t="s">
        <v>85</v>
      </c>
      <c r="C45" s="21"/>
      <c r="D45" s="288"/>
    </row>
    <row r="46" spans="2:4" x14ac:dyDescent="0.3">
      <c r="B46" s="394" t="s">
        <v>86</v>
      </c>
      <c r="C46" s="126"/>
      <c r="D46" s="289"/>
    </row>
    <row r="47" spans="2:4" ht="15" customHeight="1" thickBot="1" x14ac:dyDescent="0.35">
      <c r="B47" s="394" t="s">
        <v>23</v>
      </c>
      <c r="C47" s="115">
        <f>SUM(C41:C46)</f>
        <v>0</v>
      </c>
      <c r="D47" s="115">
        <f>SUM(D41:D46)</f>
        <v>0</v>
      </c>
    </row>
    <row r="48" spans="2:4" x14ac:dyDescent="0.3">
      <c r="C48" s="28"/>
      <c r="D48" s="28"/>
    </row>
    <row r="49" spans="2:5" x14ac:dyDescent="0.3">
      <c r="C49" s="28"/>
      <c r="D49" s="28"/>
    </row>
    <row r="50" spans="2:5" x14ac:dyDescent="0.3">
      <c r="C50" s="28"/>
      <c r="D50" s="28"/>
      <c r="E50" s="28"/>
    </row>
    <row r="51" spans="2:5" x14ac:dyDescent="0.3">
      <c r="B51" s="138"/>
      <c r="C51" s="140"/>
      <c r="D51" s="140"/>
      <c r="E51" s="143"/>
    </row>
    <row r="52" spans="2:5" x14ac:dyDescent="0.3">
      <c r="B52" s="138"/>
      <c r="C52" s="140"/>
      <c r="D52" s="140"/>
      <c r="E52" s="143"/>
    </row>
    <row r="53" spans="2:5" x14ac:dyDescent="0.3">
      <c r="B53" s="138"/>
      <c r="C53" s="140"/>
      <c r="D53" s="140"/>
      <c r="E53" s="143"/>
    </row>
    <row r="54" spans="2:5" x14ac:dyDescent="0.3">
      <c r="B54" s="138"/>
      <c r="C54" s="140"/>
      <c r="D54" s="140"/>
      <c r="E54" s="143"/>
    </row>
    <row r="55" spans="2:5" x14ac:dyDescent="0.3">
      <c r="B55" s="138"/>
      <c r="C55" s="140"/>
      <c r="D55" s="140"/>
      <c r="E55" s="143"/>
    </row>
    <row r="56" spans="2:5" x14ac:dyDescent="0.3">
      <c r="B56" s="138"/>
      <c r="C56" s="140"/>
      <c r="D56" s="140"/>
      <c r="E56" s="143"/>
    </row>
    <row r="57" spans="2:5" x14ac:dyDescent="0.3">
      <c r="B57" s="138"/>
      <c r="C57" s="140"/>
      <c r="D57" s="140"/>
      <c r="E57" s="143"/>
    </row>
    <row r="58" spans="2:5" x14ac:dyDescent="0.3">
      <c r="B58" s="138"/>
      <c r="C58" s="140"/>
      <c r="D58" s="140"/>
      <c r="E58" s="143"/>
    </row>
    <row r="59" spans="2:5" x14ac:dyDescent="0.3">
      <c r="B59" s="138"/>
      <c r="C59" s="140"/>
      <c r="D59" s="140"/>
      <c r="E59" s="143"/>
    </row>
    <row r="60" spans="2:5" x14ac:dyDescent="0.3">
      <c r="B60" s="138"/>
      <c r="C60" s="140"/>
      <c r="D60" s="140"/>
      <c r="E60" s="143"/>
    </row>
    <row r="61" spans="2:5" x14ac:dyDescent="0.3">
      <c r="B61" s="138"/>
      <c r="C61" s="140"/>
      <c r="D61" s="140"/>
      <c r="E61" s="143"/>
    </row>
    <row r="62" spans="2:5" x14ac:dyDescent="0.3">
      <c r="B62" s="138"/>
      <c r="C62" s="140"/>
      <c r="D62" s="140"/>
      <c r="E62" s="143"/>
    </row>
    <row r="63" spans="2:5" x14ac:dyDescent="0.3">
      <c r="B63" s="138"/>
      <c r="C63" s="140"/>
      <c r="D63" s="140"/>
      <c r="E63" s="143"/>
    </row>
    <row r="64" spans="2:5" x14ac:dyDescent="0.3">
      <c r="B64" s="138"/>
      <c r="C64" s="140"/>
      <c r="D64" s="140"/>
      <c r="E64" s="143"/>
    </row>
    <row r="65" spans="2:5" x14ac:dyDescent="0.3">
      <c r="B65" s="138"/>
      <c r="C65" s="140"/>
      <c r="D65" s="140"/>
      <c r="E65" s="143"/>
    </row>
    <row r="66" spans="2:5" x14ac:dyDescent="0.3">
      <c r="B66" s="138"/>
      <c r="C66" s="140"/>
      <c r="D66" s="140"/>
      <c r="E66" s="143"/>
    </row>
    <row r="67" spans="2:5" x14ac:dyDescent="0.3">
      <c r="B67" s="138"/>
      <c r="C67" s="140"/>
      <c r="D67" s="140"/>
      <c r="E67" s="143"/>
    </row>
    <row r="68" spans="2:5" x14ac:dyDescent="0.3">
      <c r="B68" s="138"/>
      <c r="C68" s="140"/>
      <c r="D68" s="140"/>
      <c r="E68" s="143"/>
    </row>
    <row r="69" spans="2:5" x14ac:dyDescent="0.3">
      <c r="B69" s="138"/>
      <c r="C69" s="140"/>
      <c r="D69" s="140"/>
      <c r="E69" s="143"/>
    </row>
    <row r="70" spans="2:5" x14ac:dyDescent="0.3">
      <c r="B70" s="138"/>
      <c r="C70" s="140"/>
      <c r="D70" s="140"/>
      <c r="E70" s="143"/>
    </row>
    <row r="71" spans="2:5" x14ac:dyDescent="0.3">
      <c r="B71" s="138"/>
      <c r="C71" s="140"/>
      <c r="D71" s="140"/>
      <c r="E71" s="143"/>
    </row>
    <row r="72" spans="2:5" x14ac:dyDescent="0.3">
      <c r="B72" s="138"/>
      <c r="C72" s="140"/>
      <c r="D72" s="140"/>
      <c r="E72" s="143"/>
    </row>
    <row r="73" spans="2:5" x14ac:dyDescent="0.3">
      <c r="B73" s="138"/>
      <c r="C73" s="140"/>
      <c r="D73" s="140"/>
      <c r="E73" s="143"/>
    </row>
    <row r="74" spans="2:5" x14ac:dyDescent="0.3">
      <c r="B74" s="138"/>
      <c r="C74" s="140"/>
      <c r="D74" s="140"/>
      <c r="E74" s="143"/>
    </row>
    <row r="75" spans="2:5" x14ac:dyDescent="0.3">
      <c r="B75" s="138"/>
      <c r="C75" s="140"/>
      <c r="D75" s="140"/>
      <c r="E75" s="143"/>
    </row>
    <row r="76" spans="2:5" x14ac:dyDescent="0.3">
      <c r="B76" s="138"/>
      <c r="C76" s="140"/>
      <c r="D76" s="140"/>
      <c r="E76" s="143"/>
    </row>
    <row r="77" spans="2:5" x14ac:dyDescent="0.3">
      <c r="B77" s="138"/>
      <c r="C77" s="140"/>
      <c r="D77" s="140"/>
      <c r="E77" s="143"/>
    </row>
    <row r="78" spans="2:5" x14ac:dyDescent="0.3">
      <c r="B78" s="138"/>
      <c r="C78" s="140"/>
      <c r="D78" s="140"/>
      <c r="E78" s="143"/>
    </row>
    <row r="79" spans="2:5" x14ac:dyDescent="0.3">
      <c r="B79" s="138"/>
      <c r="C79" s="140"/>
      <c r="D79" s="140"/>
      <c r="E79" s="143"/>
    </row>
    <row r="80" spans="2:5" x14ac:dyDescent="0.3">
      <c r="B80" s="138"/>
      <c r="C80" s="140"/>
      <c r="D80" s="140"/>
      <c r="E80" s="143"/>
    </row>
    <row r="81" spans="2:6" x14ac:dyDescent="0.3">
      <c r="B81" s="138"/>
      <c r="C81" s="140"/>
      <c r="D81" s="140"/>
      <c r="E81" s="143"/>
    </row>
    <row r="82" spans="2:6" x14ac:dyDescent="0.3">
      <c r="B82" s="138"/>
      <c r="C82" s="140"/>
      <c r="D82" s="140"/>
      <c r="E82" s="143"/>
    </row>
    <row r="83" spans="2:6" x14ac:dyDescent="0.3">
      <c r="B83" s="138"/>
      <c r="C83" s="140"/>
      <c r="D83" s="140"/>
      <c r="E83" s="143"/>
    </row>
    <row r="84" spans="2:6" x14ac:dyDescent="0.3">
      <c r="B84" s="138"/>
      <c r="C84" s="140"/>
      <c r="D84" s="140"/>
      <c r="E84" s="143"/>
    </row>
    <row r="85" spans="2:6" x14ac:dyDescent="0.3">
      <c r="B85" s="138"/>
      <c r="C85" s="140"/>
      <c r="D85" s="140"/>
      <c r="E85" s="143"/>
    </row>
    <row r="86" spans="2:6" x14ac:dyDescent="0.3">
      <c r="B86" s="138"/>
      <c r="C86" s="140"/>
      <c r="D86" s="140"/>
      <c r="E86" s="143"/>
    </row>
    <row r="87" spans="2:6" x14ac:dyDescent="0.3">
      <c r="B87" s="138"/>
      <c r="C87" s="140"/>
      <c r="D87" s="140"/>
      <c r="E87" s="143"/>
    </row>
    <row r="88" spans="2:6" x14ac:dyDescent="0.3">
      <c r="B88" s="138"/>
      <c r="C88" s="140"/>
      <c r="D88" s="140"/>
      <c r="E88" s="143"/>
    </row>
    <row r="89" spans="2:6" x14ac:dyDescent="0.3">
      <c r="B89" s="138"/>
      <c r="C89" s="140"/>
      <c r="D89" s="140"/>
      <c r="E89" s="143"/>
    </row>
    <row r="90" spans="2:6" x14ac:dyDescent="0.3">
      <c r="B90" s="138"/>
      <c r="C90" s="140"/>
      <c r="D90" s="140"/>
      <c r="E90" s="143"/>
    </row>
    <row r="91" spans="2:6" ht="15" customHeight="1" thickBot="1" x14ac:dyDescent="0.35">
      <c r="B91" s="142"/>
      <c r="C91" s="124"/>
      <c r="D91" s="124"/>
      <c r="E91" s="124"/>
    </row>
    <row r="92" spans="2:6" ht="15" customHeight="1" thickTop="1" x14ac:dyDescent="0.3">
      <c r="B92" s="138"/>
      <c r="C92" s="121"/>
      <c r="D92" s="140"/>
      <c r="E92" s="28"/>
    </row>
    <row r="93" spans="2:6" x14ac:dyDescent="0.3">
      <c r="B93" s="138"/>
      <c r="C93" s="137"/>
      <c r="D93" s="137"/>
      <c r="E93" s="28"/>
      <c r="F93" s="140"/>
    </row>
    <row r="94" spans="2:6" x14ac:dyDescent="0.3">
      <c r="B94" s="138"/>
      <c r="C94" s="137"/>
      <c r="D94" s="137"/>
      <c r="E94" s="28"/>
      <c r="F94" s="140"/>
    </row>
    <row r="95" spans="2:6" x14ac:dyDescent="0.3">
      <c r="B95" s="138"/>
      <c r="C95" s="137"/>
      <c r="D95" s="137"/>
      <c r="E95" s="28"/>
      <c r="F95" s="140"/>
    </row>
    <row r="96" spans="2:6" x14ac:dyDescent="0.3">
      <c r="B96" s="138"/>
      <c r="C96" s="137"/>
      <c r="D96" s="137"/>
      <c r="E96" s="28"/>
      <c r="F96" s="140"/>
    </row>
    <row r="97" spans="2:6" x14ac:dyDescent="0.3">
      <c r="B97" s="138"/>
      <c r="C97" s="137"/>
      <c r="D97" s="137"/>
      <c r="E97" s="28"/>
      <c r="F97" s="140"/>
    </row>
    <row r="98" spans="2:6" x14ac:dyDescent="0.3">
      <c r="B98" s="138"/>
      <c r="C98" s="137"/>
      <c r="D98" s="137"/>
      <c r="E98" s="28"/>
      <c r="F98" s="140"/>
    </row>
    <row r="99" spans="2:6" x14ac:dyDescent="0.3">
      <c r="B99" s="138"/>
      <c r="C99" s="137"/>
      <c r="D99" s="137"/>
      <c r="E99" s="28"/>
      <c r="F99" s="140"/>
    </row>
    <row r="100" spans="2:6" x14ac:dyDescent="0.3">
      <c r="B100" s="138"/>
      <c r="C100" s="137"/>
      <c r="D100" s="137"/>
      <c r="E100" s="28"/>
      <c r="F100" s="140"/>
    </row>
    <row r="101" spans="2:6" x14ac:dyDescent="0.3">
      <c r="B101" s="138"/>
      <c r="C101" s="137"/>
      <c r="D101" s="137"/>
      <c r="E101" s="28"/>
      <c r="F101" s="140"/>
    </row>
    <row r="102" spans="2:6" x14ac:dyDescent="0.3">
      <c r="B102" s="138"/>
      <c r="C102" s="137"/>
      <c r="D102" s="137"/>
      <c r="E102" s="28"/>
      <c r="F102" s="140"/>
    </row>
    <row r="103" spans="2:6" x14ac:dyDescent="0.3">
      <c r="B103" s="138"/>
      <c r="C103" s="137"/>
      <c r="D103" s="137"/>
      <c r="E103" s="28"/>
      <c r="F103" s="140"/>
    </row>
    <row r="104" spans="2:6" x14ac:dyDescent="0.3">
      <c r="B104" s="138"/>
      <c r="C104" s="137"/>
      <c r="D104" s="137"/>
      <c r="E104" s="28"/>
      <c r="F104" s="140"/>
    </row>
    <row r="105" spans="2:6" x14ac:dyDescent="0.3">
      <c r="B105" s="138"/>
      <c r="C105" s="137"/>
      <c r="D105" s="137"/>
      <c r="E105" s="28"/>
      <c r="F105" s="140"/>
    </row>
    <row r="106" spans="2:6" x14ac:dyDescent="0.3">
      <c r="B106" s="138"/>
      <c r="C106" s="137"/>
      <c r="D106" s="137"/>
      <c r="E106" s="28"/>
      <c r="F106" s="140"/>
    </row>
    <row r="107" spans="2:6" x14ac:dyDescent="0.3">
      <c r="B107" s="138"/>
      <c r="C107" s="137"/>
      <c r="D107" s="137"/>
      <c r="E107" s="28"/>
      <c r="F107" s="140"/>
    </row>
    <row r="108" spans="2:6" x14ac:dyDescent="0.3">
      <c r="B108" s="138"/>
      <c r="C108" s="137"/>
      <c r="D108" s="137"/>
      <c r="E108" s="28"/>
      <c r="F108" s="140"/>
    </row>
    <row r="109" spans="2:6" x14ac:dyDescent="0.3">
      <c r="B109" s="138"/>
      <c r="C109" s="137"/>
      <c r="D109" s="137"/>
      <c r="E109" s="28"/>
      <c r="F109" s="140"/>
    </row>
    <row r="110" spans="2:6" x14ac:dyDescent="0.3">
      <c r="B110" s="138"/>
      <c r="C110" s="137"/>
      <c r="D110" s="137"/>
      <c r="E110" s="28"/>
      <c r="F110" s="140"/>
    </row>
    <row r="111" spans="2:6" x14ac:dyDescent="0.3">
      <c r="B111" s="138"/>
      <c r="C111" s="137"/>
      <c r="D111" s="137"/>
      <c r="E111" s="28"/>
      <c r="F111" s="140"/>
    </row>
    <row r="112" spans="2:6" x14ac:dyDescent="0.3">
      <c r="B112" s="138"/>
      <c r="C112" s="137"/>
      <c r="D112" s="137"/>
      <c r="E112" s="28"/>
      <c r="F112" s="140"/>
    </row>
    <row r="113" spans="2:6" x14ac:dyDescent="0.3">
      <c r="B113" s="138"/>
      <c r="C113" s="137"/>
      <c r="D113" s="137"/>
      <c r="E113" s="28"/>
      <c r="F113" s="140"/>
    </row>
    <row r="114" spans="2:6" x14ac:dyDescent="0.3">
      <c r="B114" s="138"/>
      <c r="C114" s="137"/>
      <c r="D114" s="137"/>
      <c r="E114" s="28"/>
      <c r="F114" s="140"/>
    </row>
    <row r="115" spans="2:6" x14ac:dyDescent="0.3">
      <c r="B115" s="138"/>
      <c r="C115" s="137"/>
      <c r="D115" s="137"/>
      <c r="E115" s="28"/>
      <c r="F115" s="140"/>
    </row>
    <row r="116" spans="2:6" x14ac:dyDescent="0.3">
      <c r="B116" s="138"/>
      <c r="C116" s="137"/>
      <c r="D116" s="137"/>
      <c r="E116" s="28"/>
      <c r="F116" s="140"/>
    </row>
    <row r="117" spans="2:6" x14ac:dyDescent="0.3">
      <c r="B117" s="138"/>
      <c r="C117" s="137"/>
      <c r="D117" s="137"/>
      <c r="E117" s="28"/>
      <c r="F117" s="140"/>
    </row>
    <row r="118" spans="2:6" x14ac:dyDescent="0.3">
      <c r="B118" s="138"/>
      <c r="C118" s="137"/>
      <c r="D118" s="137"/>
      <c r="E118" s="28"/>
      <c r="F118" s="140"/>
    </row>
    <row r="119" spans="2:6" x14ac:dyDescent="0.3">
      <c r="B119" s="138"/>
      <c r="C119" s="137"/>
      <c r="D119" s="137"/>
      <c r="E119" s="28"/>
      <c r="F119" s="140"/>
    </row>
    <row r="120" spans="2:6" x14ac:dyDescent="0.3">
      <c r="B120" s="138"/>
      <c r="C120" s="137"/>
      <c r="D120" s="137"/>
      <c r="E120" s="28"/>
      <c r="F120" s="140"/>
    </row>
    <row r="121" spans="2:6" x14ac:dyDescent="0.3">
      <c r="B121" s="138"/>
      <c r="C121" s="137"/>
      <c r="D121" s="137"/>
      <c r="E121" s="28"/>
      <c r="F121" s="140"/>
    </row>
    <row r="122" spans="2:6" x14ac:dyDescent="0.3">
      <c r="B122" s="138"/>
      <c r="C122" s="137"/>
      <c r="D122" s="137"/>
      <c r="E122" s="28"/>
      <c r="F122" s="140"/>
    </row>
    <row r="123" spans="2:6" x14ac:dyDescent="0.3">
      <c r="B123" s="138"/>
      <c r="C123" s="137"/>
      <c r="D123" s="137"/>
      <c r="E123" s="28"/>
      <c r="F123" s="140"/>
    </row>
    <row r="124" spans="2:6" x14ac:dyDescent="0.3">
      <c r="B124" s="138"/>
      <c r="C124" s="137"/>
      <c r="D124" s="137"/>
      <c r="E124" s="28"/>
      <c r="F124" s="140"/>
    </row>
    <row r="125" spans="2:6" x14ac:dyDescent="0.3">
      <c r="B125" s="138"/>
      <c r="C125" s="137"/>
      <c r="D125" s="137"/>
      <c r="E125" s="28"/>
      <c r="F125" s="140"/>
    </row>
    <row r="126" spans="2:6" x14ac:dyDescent="0.3">
      <c r="B126" s="138"/>
      <c r="C126" s="137"/>
      <c r="D126" s="137"/>
      <c r="E126" s="28"/>
      <c r="F126" s="140"/>
    </row>
    <row r="127" spans="2:6" x14ac:dyDescent="0.3">
      <c r="B127" s="138"/>
      <c r="C127" s="137"/>
      <c r="D127" s="137"/>
      <c r="E127" s="28"/>
      <c r="F127" s="140"/>
    </row>
    <row r="128" spans="2:6" x14ac:dyDescent="0.3">
      <c r="B128" s="138"/>
      <c r="C128" s="137"/>
      <c r="D128" s="137"/>
      <c r="E128" s="28"/>
      <c r="F128" s="140"/>
    </row>
    <row r="129" spans="2:6" x14ac:dyDescent="0.3">
      <c r="B129" s="138"/>
      <c r="C129" s="137"/>
      <c r="D129" s="137"/>
      <c r="E129" s="28"/>
      <c r="F129" s="140"/>
    </row>
    <row r="130" spans="2:6" x14ac:dyDescent="0.3">
      <c r="B130" s="138"/>
      <c r="C130" s="137"/>
      <c r="D130" s="137"/>
      <c r="E130" s="28"/>
      <c r="F130" s="140"/>
    </row>
    <row r="131" spans="2:6" x14ac:dyDescent="0.3">
      <c r="B131" s="138"/>
      <c r="C131" s="137"/>
      <c r="D131" s="137"/>
      <c r="E131" s="28"/>
      <c r="F131" s="140"/>
    </row>
    <row r="132" spans="2:6" x14ac:dyDescent="0.3">
      <c r="B132" s="138"/>
      <c r="C132" s="137"/>
      <c r="D132" s="137"/>
      <c r="E132" s="28"/>
      <c r="F132" s="140"/>
    </row>
    <row r="133" spans="2:6" x14ac:dyDescent="0.3">
      <c r="B133" s="138"/>
      <c r="C133" s="137"/>
      <c r="D133" s="137"/>
      <c r="E133" s="28"/>
      <c r="F133" s="140"/>
    </row>
    <row r="134" spans="2:6" x14ac:dyDescent="0.3">
      <c r="B134" s="138"/>
      <c r="C134" s="137"/>
      <c r="D134" s="137"/>
      <c r="E134" s="28"/>
      <c r="F134" s="140"/>
    </row>
    <row r="135" spans="2:6" x14ac:dyDescent="0.3">
      <c r="B135" s="138"/>
      <c r="C135" s="137"/>
      <c r="D135" s="137"/>
      <c r="E135" s="28"/>
      <c r="F135" s="140"/>
    </row>
    <row r="136" spans="2:6" x14ac:dyDescent="0.3">
      <c r="B136" s="138"/>
      <c r="C136" s="137"/>
      <c r="D136" s="137"/>
      <c r="E136" s="28"/>
      <c r="F136" s="140"/>
    </row>
    <row r="137" spans="2:6" x14ac:dyDescent="0.3">
      <c r="B137" s="138"/>
      <c r="C137" s="137"/>
      <c r="D137" s="137"/>
      <c r="E137" s="28"/>
      <c r="F137" s="140"/>
    </row>
    <row r="138" spans="2:6" x14ac:dyDescent="0.3">
      <c r="B138" s="138"/>
      <c r="C138" s="137"/>
      <c r="D138" s="137"/>
      <c r="E138" s="28"/>
      <c r="F138" s="140"/>
    </row>
    <row r="139" spans="2:6" x14ac:dyDescent="0.3">
      <c r="B139" s="138"/>
      <c r="C139" s="137"/>
      <c r="D139" s="137"/>
      <c r="E139" s="28"/>
      <c r="F139" s="140"/>
    </row>
    <row r="140" spans="2:6" x14ac:dyDescent="0.3">
      <c r="B140" s="138"/>
      <c r="C140" s="137"/>
      <c r="D140" s="137"/>
      <c r="E140" s="28"/>
      <c r="F140" s="140"/>
    </row>
    <row r="141" spans="2:6" x14ac:dyDescent="0.3">
      <c r="B141" s="138"/>
      <c r="C141" s="137"/>
      <c r="D141" s="137"/>
      <c r="E141" s="28"/>
      <c r="F141" s="140"/>
    </row>
    <row r="142" spans="2:6" x14ac:dyDescent="0.3">
      <c r="B142" s="138"/>
      <c r="C142" s="137"/>
      <c r="D142" s="137"/>
      <c r="E142" s="28"/>
      <c r="F142" s="140"/>
    </row>
    <row r="143" spans="2:6" x14ac:dyDescent="0.3">
      <c r="B143" s="138"/>
      <c r="C143" s="137"/>
      <c r="D143" s="137"/>
      <c r="E143" s="28"/>
      <c r="F143" s="140"/>
    </row>
    <row r="144" spans="2:6" x14ac:dyDescent="0.3">
      <c r="B144" s="138"/>
      <c r="C144" s="137"/>
      <c r="D144" s="137"/>
      <c r="E144" s="28"/>
      <c r="F144" s="140"/>
    </row>
    <row r="145" spans="2:6" x14ac:dyDescent="0.3">
      <c r="B145" s="138"/>
      <c r="C145" s="137"/>
      <c r="D145" s="137"/>
      <c r="E145" s="28"/>
      <c r="F145" s="140"/>
    </row>
    <row r="146" spans="2:6" x14ac:dyDescent="0.3">
      <c r="B146" s="138"/>
      <c r="C146" s="137"/>
      <c r="D146" s="137"/>
      <c r="E146" s="28"/>
      <c r="F146" s="140"/>
    </row>
    <row r="147" spans="2:6" x14ac:dyDescent="0.3">
      <c r="B147" s="138"/>
      <c r="C147" s="137"/>
      <c r="D147" s="137"/>
      <c r="E147" s="28"/>
      <c r="F147" s="140"/>
    </row>
    <row r="148" spans="2:6" x14ac:dyDescent="0.3">
      <c r="B148" s="138"/>
      <c r="C148" s="137"/>
      <c r="D148" s="137"/>
      <c r="E148" s="28"/>
      <c r="F148" s="140"/>
    </row>
    <row r="149" spans="2:6" x14ac:dyDescent="0.3">
      <c r="B149" s="138"/>
      <c r="C149" s="137"/>
      <c r="D149" s="137"/>
      <c r="E149" s="28"/>
      <c r="F149" s="140"/>
    </row>
    <row r="150" spans="2:6" x14ac:dyDescent="0.3">
      <c r="B150" s="138"/>
      <c r="C150" s="137"/>
      <c r="D150" s="137"/>
      <c r="E150" s="28"/>
      <c r="F150" s="140"/>
    </row>
    <row r="151" spans="2:6" x14ac:dyDescent="0.3">
      <c r="B151" s="138"/>
      <c r="C151" s="137"/>
      <c r="D151" s="137"/>
      <c r="E151" s="28"/>
      <c r="F151" s="140"/>
    </row>
    <row r="152" spans="2:6" x14ac:dyDescent="0.3">
      <c r="B152" s="138"/>
      <c r="C152" s="137"/>
      <c r="D152" s="137"/>
      <c r="E152" s="28"/>
      <c r="F152" s="140"/>
    </row>
    <row r="153" spans="2:6" x14ac:dyDescent="0.3">
      <c r="B153" s="138"/>
      <c r="C153" s="137"/>
      <c r="D153" s="137"/>
      <c r="E153" s="28"/>
      <c r="F153" s="140"/>
    </row>
    <row r="154" spans="2:6" x14ac:dyDescent="0.3">
      <c r="B154" s="138"/>
      <c r="C154" s="137"/>
      <c r="D154" s="137"/>
      <c r="E154" s="28"/>
      <c r="F154" s="140"/>
    </row>
    <row r="155" spans="2:6" x14ac:dyDescent="0.3">
      <c r="B155" s="138"/>
      <c r="C155" s="137"/>
      <c r="D155" s="137"/>
      <c r="E155" s="28"/>
      <c r="F155" s="140"/>
    </row>
    <row r="156" spans="2:6" x14ac:dyDescent="0.3">
      <c r="B156" s="138"/>
      <c r="C156" s="137"/>
      <c r="D156" s="137"/>
      <c r="E156" s="28"/>
      <c r="F156" s="140"/>
    </row>
    <row r="157" spans="2:6" x14ac:dyDescent="0.3">
      <c r="B157" s="138"/>
      <c r="C157" s="137"/>
      <c r="D157" s="137"/>
      <c r="E157" s="28"/>
      <c r="F157" s="140"/>
    </row>
    <row r="158" spans="2:6" x14ac:dyDescent="0.3">
      <c r="B158" s="138"/>
      <c r="C158" s="137"/>
      <c r="D158" s="137"/>
      <c r="E158" s="28"/>
      <c r="F158" s="140"/>
    </row>
    <row r="159" spans="2:6" x14ac:dyDescent="0.3">
      <c r="B159" s="138"/>
      <c r="C159" s="137"/>
      <c r="D159" s="137"/>
      <c r="E159" s="28"/>
      <c r="F159" s="140"/>
    </row>
    <row r="160" spans="2:6" x14ac:dyDescent="0.3">
      <c r="B160" s="138"/>
      <c r="C160" s="137"/>
      <c r="D160" s="137"/>
      <c r="E160" s="28"/>
      <c r="F160" s="140"/>
    </row>
    <row r="161" spans="2:6" x14ac:dyDescent="0.3">
      <c r="B161" s="138"/>
      <c r="C161" s="137"/>
      <c r="D161" s="137"/>
      <c r="E161" s="28"/>
      <c r="F161" s="140"/>
    </row>
    <row r="162" spans="2:6" x14ac:dyDescent="0.3">
      <c r="B162" s="138"/>
      <c r="C162" s="137"/>
      <c r="D162" s="137"/>
      <c r="E162" s="28"/>
      <c r="F162" s="140"/>
    </row>
    <row r="163" spans="2:6" x14ac:dyDescent="0.3">
      <c r="B163" s="138"/>
      <c r="C163" s="137"/>
      <c r="D163" s="137"/>
      <c r="E163" s="28"/>
      <c r="F163" s="140"/>
    </row>
    <row r="164" spans="2:6" x14ac:dyDescent="0.3">
      <c r="B164" s="138"/>
      <c r="C164" s="137"/>
      <c r="D164" s="137"/>
      <c r="E164" s="28"/>
      <c r="F164" s="140"/>
    </row>
    <row r="165" spans="2:6" x14ac:dyDescent="0.3">
      <c r="B165" s="138"/>
      <c r="C165" s="137"/>
      <c r="D165" s="137"/>
      <c r="E165" s="28"/>
      <c r="F165" s="140"/>
    </row>
    <row r="166" spans="2:6" x14ac:dyDescent="0.3">
      <c r="B166" s="138"/>
      <c r="C166" s="137"/>
      <c r="D166" s="137"/>
      <c r="E166" s="28"/>
      <c r="F166" s="140"/>
    </row>
    <row r="167" spans="2:6" x14ac:dyDescent="0.3">
      <c r="B167" s="138"/>
      <c r="C167" s="137"/>
      <c r="D167" s="137"/>
      <c r="E167" s="28"/>
      <c r="F167" s="140"/>
    </row>
    <row r="168" spans="2:6" x14ac:dyDescent="0.3">
      <c r="B168" s="138"/>
      <c r="C168" s="137"/>
      <c r="D168" s="137"/>
      <c r="E168" s="28"/>
      <c r="F168" s="140"/>
    </row>
    <row r="169" spans="2:6" x14ac:dyDescent="0.3">
      <c r="B169" s="138"/>
      <c r="C169" s="137"/>
      <c r="D169" s="137"/>
      <c r="E169" s="28"/>
      <c r="F169" s="140"/>
    </row>
    <row r="170" spans="2:6" x14ac:dyDescent="0.3">
      <c r="B170" s="138"/>
      <c r="C170" s="137"/>
      <c r="D170" s="137"/>
      <c r="E170" s="28"/>
      <c r="F170" s="140"/>
    </row>
    <row r="171" spans="2:6" x14ac:dyDescent="0.3">
      <c r="B171" s="138"/>
      <c r="C171" s="137"/>
      <c r="D171" s="137"/>
      <c r="E171" s="28"/>
      <c r="F171" s="140"/>
    </row>
    <row r="172" spans="2:6" x14ac:dyDescent="0.3">
      <c r="B172" s="138"/>
      <c r="C172" s="137"/>
      <c r="D172" s="137"/>
      <c r="E172" s="28"/>
      <c r="F172" s="140"/>
    </row>
    <row r="173" spans="2:6" x14ac:dyDescent="0.3">
      <c r="B173" s="138"/>
      <c r="C173" s="137"/>
      <c r="D173" s="137"/>
      <c r="E173" s="28"/>
      <c r="F173" s="140"/>
    </row>
    <row r="174" spans="2:6" x14ac:dyDescent="0.3">
      <c r="B174" s="138"/>
      <c r="C174" s="137"/>
      <c r="D174" s="137"/>
      <c r="E174" s="28"/>
      <c r="F174" s="140"/>
    </row>
    <row r="175" spans="2:6" x14ac:dyDescent="0.3">
      <c r="B175" s="138"/>
      <c r="C175" s="137"/>
      <c r="D175" s="137"/>
      <c r="E175" s="28"/>
      <c r="F175" s="140"/>
    </row>
    <row r="176" spans="2:6" x14ac:dyDescent="0.3">
      <c r="B176" s="138"/>
      <c r="C176" s="137"/>
      <c r="D176" s="137"/>
      <c r="E176" s="28"/>
      <c r="F176" s="140"/>
    </row>
    <row r="177" spans="2:6" x14ac:dyDescent="0.3">
      <c r="B177" s="138"/>
      <c r="C177" s="137"/>
      <c r="D177" s="137"/>
      <c r="E177" s="28"/>
      <c r="F177" s="140"/>
    </row>
    <row r="178" spans="2:6" x14ac:dyDescent="0.3">
      <c r="B178" s="138"/>
      <c r="C178" s="137"/>
      <c r="D178" s="137"/>
      <c r="E178" s="28"/>
      <c r="F178" s="140"/>
    </row>
    <row r="179" spans="2:6" x14ac:dyDescent="0.3">
      <c r="B179" s="138"/>
      <c r="C179" s="137"/>
      <c r="D179" s="137"/>
      <c r="E179" s="28"/>
      <c r="F179" s="140"/>
    </row>
    <row r="180" spans="2:6" ht="15" customHeight="1" thickBot="1" x14ac:dyDescent="0.35">
      <c r="B180" s="138"/>
      <c r="C180" s="137"/>
      <c r="D180" s="137"/>
      <c r="E180" s="28"/>
      <c r="F180" s="140"/>
    </row>
    <row r="181" spans="2:6" ht="15" customHeight="1" thickBot="1" x14ac:dyDescent="0.35">
      <c r="B181" s="136" t="s">
        <v>23</v>
      </c>
      <c r="C181" s="139"/>
      <c r="D181" s="137"/>
      <c r="E181" s="144">
        <v>0</v>
      </c>
      <c r="F181" s="141">
        <v>0</v>
      </c>
    </row>
    <row r="182" spans="2:6" x14ac:dyDescent="0.3">
      <c r="F182" s="2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C2:E23"/>
  <sheetViews>
    <sheetView showGridLines="0" workbookViewId="0">
      <selection activeCell="C4" sqref="C4"/>
    </sheetView>
  </sheetViews>
  <sheetFormatPr baseColWidth="10" defaultRowHeight="14.4" x14ac:dyDescent="0.3"/>
  <cols>
    <col min="3" max="3" width="46.109375" customWidth="1"/>
    <col min="4" max="4" width="15.109375" customWidth="1"/>
    <col min="5" max="5" width="14.88671875" customWidth="1"/>
  </cols>
  <sheetData>
    <row r="2" spans="3:5" x14ac:dyDescent="0.3">
      <c r="C2" s="473" t="s">
        <v>300</v>
      </c>
    </row>
    <row r="3" spans="3:5" x14ac:dyDescent="0.3">
      <c r="C3" s="457" t="s">
        <v>613</v>
      </c>
    </row>
    <row r="4" spans="3:5" x14ac:dyDescent="0.3">
      <c r="D4" s="9"/>
      <c r="E4" s="9"/>
    </row>
    <row r="5" spans="3:5" x14ac:dyDescent="0.3">
      <c r="C5" s="17"/>
      <c r="D5" s="72" t="s">
        <v>0</v>
      </c>
      <c r="E5" s="72" t="s">
        <v>141</v>
      </c>
    </row>
    <row r="6" spans="3:5" x14ac:dyDescent="0.3">
      <c r="C6" s="17"/>
      <c r="D6" s="14" t="s">
        <v>6</v>
      </c>
      <c r="E6" s="14" t="s">
        <v>6</v>
      </c>
    </row>
    <row r="7" spans="3:5" ht="15" customHeight="1" thickBot="1" x14ac:dyDescent="0.35">
      <c r="C7" s="233" t="s">
        <v>301</v>
      </c>
      <c r="D7" s="21"/>
      <c r="E7" s="109"/>
    </row>
    <row r="8" spans="3:5" ht="15" customHeight="1" thickBot="1" x14ac:dyDescent="0.35">
      <c r="C8" s="233" t="s">
        <v>62</v>
      </c>
      <c r="D8" s="22">
        <f>+D7</f>
        <v>0</v>
      </c>
      <c r="E8" s="22">
        <f>+E7</f>
        <v>0</v>
      </c>
    </row>
    <row r="10" spans="3:5" x14ac:dyDescent="0.3">
      <c r="C10" s="473" t="s">
        <v>302</v>
      </c>
    </row>
    <row r="11" spans="3:5" x14ac:dyDescent="0.3">
      <c r="C11" s="457" t="s">
        <v>614</v>
      </c>
    </row>
    <row r="12" spans="3:5" x14ac:dyDescent="0.3">
      <c r="C12" s="17"/>
      <c r="D12" s="72" t="s">
        <v>0</v>
      </c>
      <c r="E12" s="72" t="s">
        <v>141</v>
      </c>
    </row>
    <row r="13" spans="3:5" x14ac:dyDescent="0.3">
      <c r="C13" s="17"/>
      <c r="D13" s="14" t="s">
        <v>6</v>
      </c>
      <c r="E13" s="14" t="s">
        <v>6</v>
      </c>
    </row>
    <row r="14" spans="3:5" ht="15" customHeight="1" thickBot="1" x14ac:dyDescent="0.35">
      <c r="C14" s="431" t="s">
        <v>303</v>
      </c>
      <c r="D14" s="21"/>
      <c r="E14" s="109"/>
    </row>
    <row r="15" spans="3:5" ht="15" customHeight="1" thickBot="1" x14ac:dyDescent="0.35">
      <c r="C15" s="233" t="s">
        <v>62</v>
      </c>
      <c r="D15" s="22">
        <f>+D14</f>
        <v>0</v>
      </c>
      <c r="E15" s="22">
        <f>+E14</f>
        <v>0</v>
      </c>
    </row>
    <row r="17" spans="3:5" x14ac:dyDescent="0.3">
      <c r="C17" s="5" t="s">
        <v>549</v>
      </c>
    </row>
    <row r="18" spans="3:5" x14ac:dyDescent="0.3">
      <c r="C18" s="457" t="s">
        <v>615</v>
      </c>
      <c r="D18" s="72" t="s">
        <v>0</v>
      </c>
      <c r="E18" s="72" t="s">
        <v>141</v>
      </c>
    </row>
    <row r="19" spans="3:5" x14ac:dyDescent="0.3">
      <c r="C19" s="17"/>
      <c r="D19" s="14" t="s">
        <v>6</v>
      </c>
      <c r="E19" s="14" t="s">
        <v>6</v>
      </c>
    </row>
    <row r="20" spans="3:5" x14ac:dyDescent="0.3">
      <c r="C20" s="17" t="s">
        <v>90</v>
      </c>
      <c r="D20" s="447">
        <f>+E23</f>
        <v>0</v>
      </c>
      <c r="E20" s="14"/>
    </row>
    <row r="21" spans="3:5" x14ac:dyDescent="0.3">
      <c r="C21" s="448" t="s">
        <v>550</v>
      </c>
      <c r="D21" s="14"/>
      <c r="E21" s="14"/>
    </row>
    <row r="22" spans="3:5" ht="15" thickBot="1" x14ac:dyDescent="0.35">
      <c r="C22" s="449" t="s">
        <v>551</v>
      </c>
      <c r="D22" s="21"/>
      <c r="E22" s="109"/>
    </row>
    <row r="23" spans="3:5" ht="15" thickBot="1" x14ac:dyDescent="0.35">
      <c r="C23" s="233" t="s">
        <v>108</v>
      </c>
      <c r="D23" s="22">
        <f>+D22</f>
        <v>0</v>
      </c>
      <c r="E23" s="22">
        <f>+E22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B3:K91"/>
  <sheetViews>
    <sheetView showGridLines="0" topLeftCell="B1" workbookViewId="0">
      <selection activeCell="D89" sqref="D89"/>
    </sheetView>
  </sheetViews>
  <sheetFormatPr baseColWidth="10" defaultRowHeight="14.4" x14ac:dyDescent="0.3"/>
  <cols>
    <col min="3" max="3" width="46" customWidth="1"/>
  </cols>
  <sheetData>
    <row r="3" spans="2:11" x14ac:dyDescent="0.3">
      <c r="C3" s="432" t="s">
        <v>304</v>
      </c>
    </row>
    <row r="4" spans="2:11" x14ac:dyDescent="0.3">
      <c r="C4" s="457" t="s">
        <v>608</v>
      </c>
    </row>
    <row r="5" spans="2:11" ht="33.6" customHeight="1" x14ac:dyDescent="0.3">
      <c r="B5" s="249" t="s">
        <v>305</v>
      </c>
      <c r="C5" s="551" t="s">
        <v>306</v>
      </c>
      <c r="D5" s="552"/>
      <c r="E5" s="552"/>
      <c r="F5" s="552"/>
      <c r="G5" s="38"/>
    </row>
    <row r="6" spans="2:11" ht="15.6" customHeight="1" x14ac:dyDescent="0.3">
      <c r="B6" s="250"/>
      <c r="C6" s="151"/>
    </row>
    <row r="7" spans="2:11" ht="15.6" customHeight="1" x14ac:dyDescent="0.3">
      <c r="B7" s="250"/>
      <c r="C7" s="32"/>
      <c r="D7" s="433">
        <v>46203</v>
      </c>
      <c r="E7" s="227"/>
      <c r="F7" s="227">
        <v>46022</v>
      </c>
      <c r="G7" s="227"/>
      <c r="H7" s="227"/>
      <c r="I7" s="227"/>
      <c r="J7" s="227"/>
      <c r="K7" s="33"/>
    </row>
    <row r="8" spans="2:11" ht="15.6" customHeight="1" x14ac:dyDescent="0.3">
      <c r="B8" s="250"/>
      <c r="C8" s="32"/>
      <c r="D8" s="31" t="s">
        <v>44</v>
      </c>
      <c r="E8" s="98" t="s">
        <v>307</v>
      </c>
      <c r="F8" s="31" t="s">
        <v>44</v>
      </c>
      <c r="G8" s="98" t="s">
        <v>307</v>
      </c>
      <c r="H8" s="98"/>
      <c r="I8" s="98"/>
      <c r="K8" s="33"/>
    </row>
    <row r="9" spans="2:11" ht="15.6" customHeight="1" x14ac:dyDescent="0.3">
      <c r="B9" s="250"/>
      <c r="C9" s="32"/>
      <c r="D9" s="29" t="s">
        <v>6</v>
      </c>
      <c r="E9" s="33" t="s">
        <v>6</v>
      </c>
      <c r="F9" s="29" t="s">
        <v>6</v>
      </c>
      <c r="G9" s="33" t="s">
        <v>6</v>
      </c>
      <c r="H9" s="33"/>
      <c r="I9" s="33"/>
      <c r="K9" s="33"/>
    </row>
    <row r="10" spans="2:11" ht="15.6" customHeight="1" x14ac:dyDescent="0.3">
      <c r="B10" s="250"/>
      <c r="C10" s="420" t="s">
        <v>308</v>
      </c>
      <c r="D10" s="224"/>
      <c r="E10" s="220"/>
      <c r="F10" s="224"/>
      <c r="G10" s="220"/>
      <c r="H10" s="220"/>
      <c r="I10" s="220"/>
      <c r="K10" s="106"/>
    </row>
    <row r="11" spans="2:11" ht="15.6" customHeight="1" x14ac:dyDescent="0.3">
      <c r="B11" s="250"/>
      <c r="C11" s="420" t="s">
        <v>309</v>
      </c>
      <c r="D11" s="224"/>
      <c r="E11" s="220"/>
      <c r="F11" s="224"/>
      <c r="G11" s="220"/>
      <c r="H11" s="220"/>
      <c r="I11" s="220"/>
      <c r="K11" s="106"/>
    </row>
    <row r="12" spans="2:11" ht="15.6" customHeight="1" x14ac:dyDescent="0.3">
      <c r="B12" s="250"/>
      <c r="C12" s="420" t="s">
        <v>310</v>
      </c>
      <c r="D12" s="224"/>
      <c r="E12" s="220"/>
      <c r="F12" s="224"/>
      <c r="G12" s="220"/>
      <c r="H12" s="220"/>
      <c r="I12" s="220"/>
      <c r="K12" s="106"/>
    </row>
    <row r="13" spans="2:11" ht="15.6" customHeight="1" x14ac:dyDescent="0.3">
      <c r="B13" s="250"/>
      <c r="C13" s="420" t="s">
        <v>311</v>
      </c>
      <c r="D13" s="224"/>
      <c r="E13" s="220"/>
      <c r="F13" s="224"/>
      <c r="G13" s="220"/>
      <c r="H13" s="220"/>
      <c r="I13" s="220"/>
      <c r="K13" s="106"/>
    </row>
    <row r="14" spans="2:11" ht="15.6" customHeight="1" x14ac:dyDescent="0.3">
      <c r="B14" s="250"/>
      <c r="C14" s="420" t="s">
        <v>312</v>
      </c>
      <c r="D14" s="224"/>
      <c r="E14" s="220"/>
      <c r="F14" s="224"/>
      <c r="G14" s="220"/>
      <c r="H14" s="220"/>
      <c r="I14" s="220"/>
      <c r="K14" s="106"/>
    </row>
    <row r="15" spans="2:11" ht="15.6" customHeight="1" x14ac:dyDescent="0.3">
      <c r="B15" s="250"/>
      <c r="C15" s="420" t="s">
        <v>313</v>
      </c>
      <c r="D15" s="224"/>
      <c r="E15" s="220"/>
      <c r="F15" s="224"/>
      <c r="G15" s="220"/>
      <c r="H15" s="220"/>
      <c r="I15" s="220"/>
      <c r="K15" s="106"/>
    </row>
    <row r="16" spans="2:11" ht="15.6" customHeight="1" x14ac:dyDescent="0.3">
      <c r="B16" s="250"/>
      <c r="C16" s="420" t="s">
        <v>314</v>
      </c>
      <c r="D16" s="224"/>
      <c r="E16" s="220"/>
      <c r="F16" s="224"/>
      <c r="G16" s="220"/>
      <c r="H16" s="220"/>
      <c r="I16" s="220"/>
      <c r="K16" s="106" t="s">
        <v>315</v>
      </c>
    </row>
    <row r="17" spans="2:11" ht="15.6" customHeight="1" x14ac:dyDescent="0.3">
      <c r="B17" s="250"/>
      <c r="C17" s="420" t="s">
        <v>316</v>
      </c>
      <c r="D17" s="224"/>
      <c r="E17" s="220"/>
      <c r="F17" s="224"/>
      <c r="G17" s="220"/>
      <c r="H17" s="220"/>
      <c r="I17" s="220"/>
      <c r="K17" s="106"/>
    </row>
    <row r="18" spans="2:11" ht="15.6" customHeight="1" x14ac:dyDescent="0.3">
      <c r="B18" s="250"/>
      <c r="C18" s="420" t="s">
        <v>317</v>
      </c>
      <c r="D18" s="224"/>
      <c r="E18" s="220"/>
      <c r="F18" s="224"/>
      <c r="G18" s="220"/>
      <c r="H18" s="220"/>
      <c r="I18" s="220"/>
      <c r="K18" s="106"/>
    </row>
    <row r="19" spans="2:11" ht="15.6" customHeight="1" x14ac:dyDescent="0.3">
      <c r="B19" s="250"/>
      <c r="C19" s="420" t="s">
        <v>318</v>
      </c>
      <c r="D19" s="224"/>
      <c r="E19" s="220"/>
      <c r="F19" s="224"/>
      <c r="G19" s="220"/>
      <c r="H19" s="220"/>
      <c r="I19" s="220"/>
      <c r="K19" s="106"/>
    </row>
    <row r="20" spans="2:11" ht="15.6" customHeight="1" x14ac:dyDescent="0.3">
      <c r="B20" s="250"/>
      <c r="C20" s="420" t="s">
        <v>303</v>
      </c>
      <c r="D20" s="224"/>
      <c r="E20" s="220"/>
      <c r="F20" s="224"/>
      <c r="G20" s="220"/>
      <c r="H20" s="220"/>
      <c r="I20" s="220"/>
      <c r="K20" s="106"/>
    </row>
    <row r="21" spans="2:11" ht="16.2" customHeight="1" thickBot="1" x14ac:dyDescent="0.35">
      <c r="B21" s="250"/>
      <c r="C21" s="420" t="s">
        <v>319</v>
      </c>
      <c r="D21" s="225"/>
      <c r="E21" s="220"/>
      <c r="F21" s="225"/>
      <c r="G21" s="220"/>
      <c r="H21" s="220"/>
      <c r="I21" s="220"/>
      <c r="K21" s="106"/>
    </row>
    <row r="22" spans="2:11" ht="16.2" customHeight="1" thickBot="1" x14ac:dyDescent="0.35">
      <c r="B22" s="250"/>
      <c r="C22" s="420" t="s">
        <v>23</v>
      </c>
      <c r="D22" s="226">
        <f>SUM(D10:D21)</f>
        <v>0</v>
      </c>
      <c r="E22" s="226">
        <f>SUM(E10:E21)</f>
        <v>0</v>
      </c>
      <c r="F22" s="226">
        <f>SUM(F10:F21)</f>
        <v>0</v>
      </c>
      <c r="G22" s="226">
        <f>SUM(G10:G21)</f>
        <v>0</v>
      </c>
      <c r="H22" s="220"/>
      <c r="I22" s="220"/>
      <c r="K22" s="106"/>
    </row>
    <row r="23" spans="2:11" ht="16.2" customHeight="1" thickBot="1" x14ac:dyDescent="0.35">
      <c r="B23" s="250"/>
      <c r="C23" s="420" t="s">
        <v>320</v>
      </c>
      <c r="D23" s="226"/>
      <c r="E23" s="221"/>
      <c r="F23" s="226"/>
      <c r="G23" s="221"/>
      <c r="H23" s="220"/>
      <c r="I23" s="220"/>
      <c r="K23" s="106"/>
    </row>
    <row r="24" spans="2:11" ht="16.2" customHeight="1" thickBot="1" x14ac:dyDescent="0.35">
      <c r="B24" s="250"/>
      <c r="C24" s="420" t="s">
        <v>321</v>
      </c>
      <c r="D24" s="222">
        <f>+D22+D23</f>
        <v>0</v>
      </c>
      <c r="E24" s="222">
        <f>+E22+E23</f>
        <v>0</v>
      </c>
      <c r="F24" s="222">
        <f>+F22+F23</f>
        <v>0</v>
      </c>
      <c r="G24" s="222">
        <f>+G22+G23</f>
        <v>0</v>
      </c>
      <c r="H24" s="224"/>
      <c r="I24" s="224"/>
      <c r="K24" s="106"/>
    </row>
    <row r="25" spans="2:11" ht="16.2" customHeight="1" thickTop="1" x14ac:dyDescent="0.3">
      <c r="B25" s="250"/>
    </row>
    <row r="26" spans="2:11" ht="15.6" customHeight="1" x14ac:dyDescent="0.3">
      <c r="B26" s="250"/>
      <c r="D26" s="3">
        <v>0</v>
      </c>
    </row>
    <row r="27" spans="2:11" ht="15.6" customHeight="1" x14ac:dyDescent="0.3">
      <c r="B27" s="250"/>
      <c r="C27" s="457" t="s">
        <v>609</v>
      </c>
    </row>
    <row r="28" spans="2:11" ht="26.4" customHeight="1" x14ac:dyDescent="0.3">
      <c r="B28" s="249" t="s">
        <v>322</v>
      </c>
      <c r="C28" s="434" t="s">
        <v>323</v>
      </c>
      <c r="D28" s="38"/>
      <c r="E28" s="38"/>
    </row>
    <row r="29" spans="2:11" ht="15.6" customHeight="1" x14ac:dyDescent="0.3">
      <c r="B29" s="250"/>
      <c r="C29" s="151"/>
    </row>
    <row r="30" spans="2:11" ht="15.6" customHeight="1" x14ac:dyDescent="0.3">
      <c r="B30" s="250"/>
      <c r="C30" s="229" t="s">
        <v>2</v>
      </c>
      <c r="D30" s="433">
        <v>46387</v>
      </c>
      <c r="E30" s="433">
        <v>46022</v>
      </c>
    </row>
    <row r="31" spans="2:11" ht="15.6" customHeight="1" x14ac:dyDescent="0.3">
      <c r="B31" s="250"/>
      <c r="C31" s="44"/>
      <c r="D31" s="98" t="s">
        <v>6</v>
      </c>
      <c r="E31" s="98" t="s">
        <v>6</v>
      </c>
    </row>
    <row r="32" spans="2:11" ht="15.6" customHeight="1" x14ac:dyDescent="0.3">
      <c r="B32" s="250"/>
      <c r="C32" s="394" t="s">
        <v>324</v>
      </c>
      <c r="D32" s="220">
        <f>+E41</f>
        <v>0</v>
      </c>
      <c r="E32" s="220">
        <v>0</v>
      </c>
    </row>
    <row r="33" spans="2:5" ht="15.6" customHeight="1" x14ac:dyDescent="0.3">
      <c r="B33" s="250"/>
      <c r="C33" s="44"/>
      <c r="D33" s="230"/>
      <c r="E33" s="230"/>
    </row>
    <row r="34" spans="2:5" ht="15.6" customHeight="1" x14ac:dyDescent="0.3">
      <c r="B34" s="250"/>
      <c r="C34" s="394" t="s">
        <v>325</v>
      </c>
      <c r="D34" s="230"/>
      <c r="E34" s="230"/>
    </row>
    <row r="35" spans="2:5" ht="22.8" customHeight="1" x14ac:dyDescent="0.3">
      <c r="B35" s="250"/>
      <c r="C35" s="394" t="s">
        <v>326</v>
      </c>
      <c r="D35" s="247" t="s">
        <v>327</v>
      </c>
      <c r="E35" s="247" t="s">
        <v>327</v>
      </c>
    </row>
    <row r="36" spans="2:5" ht="23.4" customHeight="1" thickBot="1" x14ac:dyDescent="0.35">
      <c r="B36" s="250"/>
      <c r="C36" s="394" t="s">
        <v>328</v>
      </c>
      <c r="D36" s="223">
        <v>0</v>
      </c>
      <c r="E36" s="223">
        <v>0</v>
      </c>
    </row>
    <row r="37" spans="2:5" ht="15.6" customHeight="1" x14ac:dyDescent="0.3">
      <c r="B37" s="250"/>
      <c r="C37" s="394" t="s">
        <v>329</v>
      </c>
      <c r="D37" s="220">
        <f>SUM(D35:D36)</f>
        <v>0</v>
      </c>
      <c r="E37" s="220">
        <f>SUM(E35:E36)</f>
        <v>0</v>
      </c>
    </row>
    <row r="38" spans="2:5" ht="15.6" customHeight="1" x14ac:dyDescent="0.3">
      <c r="B38" s="250"/>
      <c r="C38" s="44"/>
      <c r="D38" s="230"/>
      <c r="E38" s="230"/>
    </row>
    <row r="39" spans="2:5" ht="16.2" customHeight="1" thickBot="1" x14ac:dyDescent="0.35">
      <c r="B39" s="250"/>
      <c r="C39" s="394" t="s">
        <v>330</v>
      </c>
      <c r="D39" s="223"/>
      <c r="E39" s="223">
        <v>0</v>
      </c>
    </row>
    <row r="40" spans="2:5" ht="16.2" customHeight="1" thickBot="1" x14ac:dyDescent="0.35">
      <c r="B40" s="250"/>
      <c r="C40" s="44"/>
      <c r="D40" s="231"/>
      <c r="E40" s="231"/>
    </row>
    <row r="41" spans="2:5" ht="16.2" customHeight="1" thickBot="1" x14ac:dyDescent="0.35">
      <c r="B41" s="250"/>
      <c r="C41" s="394" t="s">
        <v>331</v>
      </c>
      <c r="D41" s="223">
        <f>+D39+D37+D32</f>
        <v>0</v>
      </c>
      <c r="E41" s="223">
        <f>+E39+E37+E32</f>
        <v>0</v>
      </c>
    </row>
    <row r="42" spans="2:5" ht="15.6" customHeight="1" x14ac:dyDescent="0.3">
      <c r="B42" s="250"/>
      <c r="C42" s="228"/>
      <c r="D42" s="3"/>
      <c r="E42" s="3"/>
    </row>
    <row r="43" spans="2:5" ht="15.6" customHeight="1" x14ac:dyDescent="0.3">
      <c r="B43" s="250"/>
    </row>
    <row r="44" spans="2:5" ht="15.6" customHeight="1" x14ac:dyDescent="0.3">
      <c r="B44" s="250"/>
      <c r="C44" s="457" t="s">
        <v>610</v>
      </c>
    </row>
    <row r="45" spans="2:5" ht="26.4" customHeight="1" x14ac:dyDescent="0.3">
      <c r="B45" s="249" t="s">
        <v>332</v>
      </c>
      <c r="C45" s="434" t="s">
        <v>333</v>
      </c>
      <c r="D45" s="38"/>
      <c r="E45" s="38"/>
    </row>
    <row r="46" spans="2:5" ht="15.6" customHeight="1" x14ac:dyDescent="0.3">
      <c r="B46" s="250"/>
      <c r="C46" s="122"/>
    </row>
    <row r="47" spans="2:5" ht="15.6" customHeight="1" x14ac:dyDescent="0.3">
      <c r="B47" s="250"/>
      <c r="D47" s="433">
        <v>46387</v>
      </c>
      <c r="E47" s="433">
        <v>46022</v>
      </c>
    </row>
    <row r="48" spans="2:5" ht="15.6" customHeight="1" x14ac:dyDescent="0.3">
      <c r="B48" s="250"/>
      <c r="D48" s="232" t="s">
        <v>6</v>
      </c>
      <c r="E48" s="232" t="s">
        <v>334</v>
      </c>
    </row>
    <row r="49" spans="2:6" ht="15.6" customHeight="1" x14ac:dyDescent="0.3">
      <c r="B49" s="250"/>
      <c r="C49" s="234" t="s">
        <v>335</v>
      </c>
    </row>
    <row r="50" spans="2:6" ht="16.2" customHeight="1" thickBot="1" x14ac:dyDescent="0.35">
      <c r="B50" s="250"/>
      <c r="C50" s="233" t="s">
        <v>336</v>
      </c>
      <c r="D50" s="235"/>
      <c r="E50" s="235"/>
    </row>
    <row r="51" spans="2:6" ht="16.2" customHeight="1" thickBot="1" x14ac:dyDescent="0.35">
      <c r="B51" s="250"/>
      <c r="C51" s="233" t="s">
        <v>62</v>
      </c>
      <c r="D51" s="236">
        <f>+D50</f>
        <v>0</v>
      </c>
      <c r="E51" s="236">
        <f>+E50</f>
        <v>0</v>
      </c>
    </row>
    <row r="52" spans="2:6" ht="16.2" customHeight="1" thickTop="1" x14ac:dyDescent="0.3">
      <c r="B52" s="250"/>
      <c r="C52" s="234" t="s">
        <v>337</v>
      </c>
      <c r="D52" s="237"/>
      <c r="E52" s="237"/>
    </row>
    <row r="53" spans="2:6" ht="15.6" customHeight="1" x14ac:dyDescent="0.3">
      <c r="B53" s="250"/>
      <c r="C53" s="233" t="s">
        <v>338</v>
      </c>
      <c r="D53" s="238"/>
      <c r="E53" s="238">
        <v>0</v>
      </c>
    </row>
    <row r="54" spans="2:6" ht="16.2" customHeight="1" thickBot="1" x14ac:dyDescent="0.35">
      <c r="B54" s="250"/>
      <c r="C54" s="233" t="s">
        <v>339</v>
      </c>
      <c r="D54" s="235">
        <v>0</v>
      </c>
      <c r="E54" s="235">
        <v>0</v>
      </c>
    </row>
    <row r="55" spans="2:6" ht="16.2" customHeight="1" thickBot="1" x14ac:dyDescent="0.35">
      <c r="B55" s="250"/>
      <c r="C55" s="233" t="s">
        <v>62</v>
      </c>
      <c r="D55" s="236">
        <f>+D53+D54</f>
        <v>0</v>
      </c>
      <c r="E55" s="236">
        <f>+E53+E54</f>
        <v>0</v>
      </c>
    </row>
    <row r="56" spans="2:6" ht="16.2" customHeight="1" thickTop="1" x14ac:dyDescent="0.3">
      <c r="B56" s="250"/>
      <c r="C56" s="228"/>
      <c r="D56" s="3"/>
      <c r="E56" s="3"/>
    </row>
    <row r="57" spans="2:6" ht="15.6" customHeight="1" x14ac:dyDescent="0.3">
      <c r="B57" s="250"/>
      <c r="C57" s="457" t="s">
        <v>611</v>
      </c>
    </row>
    <row r="58" spans="2:6" ht="26.4" customHeight="1" x14ac:dyDescent="0.3">
      <c r="B58" s="249" t="s">
        <v>340</v>
      </c>
      <c r="C58" s="435" t="s">
        <v>341</v>
      </c>
      <c r="D58" s="38"/>
      <c r="E58" s="38"/>
    </row>
    <row r="59" spans="2:6" ht="15.6" customHeight="1" x14ac:dyDescent="0.3">
      <c r="B59" s="250"/>
      <c r="C59" s="228"/>
    </row>
    <row r="60" spans="2:6" ht="15.6" customHeight="1" x14ac:dyDescent="0.3">
      <c r="B60" s="250"/>
      <c r="C60" s="553" t="s">
        <v>342</v>
      </c>
      <c r="D60" s="433">
        <v>46387</v>
      </c>
      <c r="E60" s="433">
        <v>46022</v>
      </c>
      <c r="F60" s="47"/>
    </row>
    <row r="61" spans="2:6" ht="15.6" customHeight="1" x14ac:dyDescent="0.3">
      <c r="B61" s="250"/>
      <c r="C61" s="533"/>
      <c r="D61" s="13" t="s">
        <v>6</v>
      </c>
      <c r="E61" s="13" t="s">
        <v>6</v>
      </c>
      <c r="F61" s="48"/>
    </row>
    <row r="62" spans="2:6" ht="15.6" customHeight="1" x14ac:dyDescent="0.3">
      <c r="B62" s="250"/>
      <c r="C62" s="390" t="s">
        <v>343</v>
      </c>
      <c r="D62" s="13"/>
      <c r="E62" s="13"/>
      <c r="F62" s="50"/>
    </row>
    <row r="63" spans="2:6" ht="15.6" customHeight="1" x14ac:dyDescent="0.3">
      <c r="B63" s="250"/>
      <c r="C63" s="390" t="s">
        <v>344</v>
      </c>
      <c r="D63" s="19"/>
      <c r="E63" s="19"/>
      <c r="F63" s="50"/>
    </row>
    <row r="64" spans="2:6" ht="23.4" customHeight="1" thickBot="1" x14ac:dyDescent="0.35">
      <c r="B64" s="250"/>
      <c r="C64" s="390" t="s">
        <v>345</v>
      </c>
      <c r="D64" s="239"/>
      <c r="E64" s="239"/>
      <c r="F64" s="50"/>
    </row>
    <row r="65" spans="2:6" ht="16.2" customHeight="1" thickBot="1" x14ac:dyDescent="0.35">
      <c r="B65" s="250"/>
      <c r="C65" s="233" t="s">
        <v>346</v>
      </c>
      <c r="D65" s="239">
        <f>SUM(D63:D64)</f>
        <v>0</v>
      </c>
      <c r="E65" s="239">
        <f>SUM(E63:E64)</f>
        <v>0</v>
      </c>
      <c r="F65" s="50"/>
    </row>
    <row r="66" spans="2:6" ht="15.6" customHeight="1" x14ac:dyDescent="0.3">
      <c r="B66" s="250"/>
      <c r="D66" s="2">
        <v>0</v>
      </c>
    </row>
    <row r="67" spans="2:6" ht="15.6" customHeight="1" x14ac:dyDescent="0.3">
      <c r="B67" s="250"/>
      <c r="C67" s="457" t="s">
        <v>612</v>
      </c>
    </row>
    <row r="68" spans="2:6" ht="15.6" customHeight="1" x14ac:dyDescent="0.3">
      <c r="B68" s="249" t="s">
        <v>347</v>
      </c>
      <c r="C68" s="434" t="s">
        <v>348</v>
      </c>
      <c r="D68" s="38"/>
      <c r="E68" s="38"/>
    </row>
    <row r="69" spans="2:6" ht="15.6" customHeight="1" x14ac:dyDescent="0.3">
      <c r="B69" s="250"/>
      <c r="C69" s="240"/>
    </row>
    <row r="70" spans="2:6" ht="15.6" customHeight="1" x14ac:dyDescent="0.3">
      <c r="B70" s="250"/>
      <c r="D70" s="433">
        <v>46387</v>
      </c>
      <c r="E70" s="433">
        <v>46022</v>
      </c>
    </row>
    <row r="71" spans="2:6" ht="15.6" customHeight="1" x14ac:dyDescent="0.3">
      <c r="B71" s="250"/>
      <c r="D71" s="87" t="s">
        <v>6</v>
      </c>
      <c r="E71" s="87" t="s">
        <v>6</v>
      </c>
    </row>
    <row r="72" spans="2:6" x14ac:dyDescent="0.3">
      <c r="C72" s="436" t="s">
        <v>349</v>
      </c>
      <c r="D72" s="244">
        <v>-53463806.443000004</v>
      </c>
      <c r="E72" s="244">
        <v>-56379823</v>
      </c>
    </row>
    <row r="73" spans="2:6" x14ac:dyDescent="0.3">
      <c r="C73" s="241"/>
      <c r="D73" s="245"/>
      <c r="E73" s="245"/>
    </row>
    <row r="74" spans="2:6" x14ac:dyDescent="0.3">
      <c r="C74" s="242" t="s">
        <v>350</v>
      </c>
      <c r="D74" s="220"/>
      <c r="E74" s="220"/>
    </row>
    <row r="75" spans="2:6" x14ac:dyDescent="0.3">
      <c r="C75" s="242" t="s">
        <v>351</v>
      </c>
      <c r="D75" s="220"/>
      <c r="E75" s="220"/>
    </row>
    <row r="76" spans="2:6" x14ac:dyDescent="0.3">
      <c r="C76" s="242" t="s">
        <v>352</v>
      </c>
      <c r="D76" s="220"/>
      <c r="E76" s="220"/>
    </row>
    <row r="77" spans="2:6" x14ac:dyDescent="0.3">
      <c r="C77" s="408" t="s">
        <v>353</v>
      </c>
      <c r="D77" s="220"/>
      <c r="E77" s="220"/>
    </row>
    <row r="78" spans="2:6" x14ac:dyDescent="0.3">
      <c r="C78" s="408" t="s">
        <v>354</v>
      </c>
      <c r="D78" s="246"/>
      <c r="E78" s="246"/>
    </row>
    <row r="79" spans="2:6" x14ac:dyDescent="0.3">
      <c r="C79" s="408" t="s">
        <v>355</v>
      </c>
      <c r="D79" s="220"/>
      <c r="E79" s="220"/>
    </row>
    <row r="80" spans="2:6" x14ac:dyDescent="0.3">
      <c r="C80" s="408" t="s">
        <v>356</v>
      </c>
      <c r="D80" s="220"/>
      <c r="E80" s="220"/>
    </row>
    <row r="81" spans="3:8" x14ac:dyDescent="0.3">
      <c r="C81" s="408" t="s">
        <v>357</v>
      </c>
      <c r="D81" s="220"/>
      <c r="E81" s="220"/>
    </row>
    <row r="82" spans="3:8" x14ac:dyDescent="0.3">
      <c r="C82" s="420" t="s">
        <v>358</v>
      </c>
      <c r="D82" s="220"/>
      <c r="E82" s="220"/>
    </row>
    <row r="83" spans="3:8" x14ac:dyDescent="0.3">
      <c r="C83" s="408" t="s">
        <v>359</v>
      </c>
      <c r="D83" s="220"/>
      <c r="E83" s="220"/>
    </row>
    <row r="84" spans="3:8" x14ac:dyDescent="0.3">
      <c r="C84" s="408" t="s">
        <v>360</v>
      </c>
      <c r="D84" s="220"/>
      <c r="E84" s="220"/>
    </row>
    <row r="85" spans="3:8" x14ac:dyDescent="0.3">
      <c r="C85" s="408" t="s">
        <v>361</v>
      </c>
      <c r="D85" s="220"/>
      <c r="E85" s="220"/>
    </row>
    <row r="86" spans="3:8" ht="15" customHeight="1" thickBot="1" x14ac:dyDescent="0.35">
      <c r="C86" s="408" t="s">
        <v>362</v>
      </c>
      <c r="D86" s="223"/>
      <c r="E86" s="223"/>
      <c r="H86" s="251"/>
    </row>
    <row r="87" spans="3:8" x14ac:dyDescent="0.3">
      <c r="C87" s="242" t="s">
        <v>363</v>
      </c>
      <c r="D87" s="248">
        <f>SUM(D74:D86)</f>
        <v>0</v>
      </c>
      <c r="E87" s="248">
        <f>SUM(E74:E86)</f>
        <v>0</v>
      </c>
    </row>
    <row r="88" spans="3:8" x14ac:dyDescent="0.3">
      <c r="C88" s="241"/>
      <c r="D88" s="247"/>
      <c r="E88" s="247"/>
    </row>
    <row r="89" spans="3:8" x14ac:dyDescent="0.3">
      <c r="C89" s="436" t="s">
        <v>364</v>
      </c>
      <c r="D89" s="251">
        <f>+D87/-D72</f>
        <v>0</v>
      </c>
      <c r="E89" s="251">
        <f>+E87/-E72</f>
        <v>0</v>
      </c>
    </row>
    <row r="90" spans="3:8" x14ac:dyDescent="0.3">
      <c r="D90" s="3"/>
      <c r="E90" s="3"/>
    </row>
    <row r="91" spans="3:8" x14ac:dyDescent="0.3">
      <c r="D91" s="3"/>
    </row>
  </sheetData>
  <mergeCells count="2">
    <mergeCell ref="C5:F5"/>
    <mergeCell ref="C60:C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B3:F7"/>
  <sheetViews>
    <sheetView showGridLines="0" workbookViewId="0">
      <selection activeCell="B3" sqref="B3"/>
    </sheetView>
  </sheetViews>
  <sheetFormatPr baseColWidth="10" defaultRowHeight="14.4" x14ac:dyDescent="0.3"/>
  <cols>
    <col min="3" max="3" width="28" customWidth="1"/>
  </cols>
  <sheetData>
    <row r="3" spans="2:6" x14ac:dyDescent="0.3">
      <c r="B3" s="457" t="s">
        <v>607</v>
      </c>
    </row>
    <row r="4" spans="2:6" x14ac:dyDescent="0.3">
      <c r="B4" s="291"/>
      <c r="C4" s="291"/>
      <c r="D4" s="291"/>
      <c r="E4" s="437">
        <v>46022</v>
      </c>
      <c r="F4" s="372">
        <v>45657</v>
      </c>
    </row>
    <row r="5" spans="2:6" ht="15" customHeight="1" thickBot="1" x14ac:dyDescent="0.35">
      <c r="B5" s="438" t="s">
        <v>365</v>
      </c>
      <c r="C5" s="438" t="s">
        <v>366</v>
      </c>
      <c r="D5" s="438" t="s">
        <v>367</v>
      </c>
      <c r="E5" s="373" t="s">
        <v>6</v>
      </c>
      <c r="F5" s="373" t="s">
        <v>6</v>
      </c>
    </row>
    <row r="6" spans="2:6" ht="15" customHeight="1" thickBot="1" x14ac:dyDescent="0.35">
      <c r="B6" s="291" t="s">
        <v>368</v>
      </c>
      <c r="C6" s="420" t="s">
        <v>369</v>
      </c>
      <c r="D6" s="374">
        <v>1</v>
      </c>
      <c r="E6" s="438" t="s">
        <v>370</v>
      </c>
      <c r="F6" s="375" t="s">
        <v>370</v>
      </c>
    </row>
    <row r="7" spans="2:6" ht="15" customHeight="1" thickBot="1" x14ac:dyDescent="0.35">
      <c r="B7" s="291"/>
      <c r="C7" s="408" t="s">
        <v>62</v>
      </c>
      <c r="D7" s="291"/>
      <c r="E7" s="438" t="s">
        <v>327</v>
      </c>
      <c r="F7" s="375" t="s">
        <v>327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C1:K43"/>
  <sheetViews>
    <sheetView showGridLines="0" workbookViewId="0">
      <selection activeCell="C12" sqref="C12"/>
    </sheetView>
  </sheetViews>
  <sheetFormatPr baseColWidth="10" defaultRowHeight="14.4" x14ac:dyDescent="0.3"/>
  <cols>
    <col min="3" max="3" width="32.88671875" customWidth="1"/>
  </cols>
  <sheetData>
    <row r="1" spans="3:11" ht="37.799999999999997" customHeight="1" x14ac:dyDescent="0.3">
      <c r="C1" s="557" t="s">
        <v>371</v>
      </c>
      <c r="D1" s="533"/>
      <c r="E1" s="533"/>
      <c r="F1" s="533"/>
      <c r="G1" s="533"/>
      <c r="H1" s="533"/>
      <c r="I1" s="533"/>
      <c r="J1" s="533"/>
    </row>
    <row r="2" spans="3:11" x14ac:dyDescent="0.3">
      <c r="C2" s="259"/>
      <c r="D2" s="259"/>
      <c r="E2" s="259"/>
      <c r="F2" s="259"/>
      <c r="G2" s="259"/>
      <c r="H2" s="18"/>
    </row>
    <row r="3" spans="3:11" x14ac:dyDescent="0.3">
      <c r="C3" s="457" t="s">
        <v>606</v>
      </c>
      <c r="D3" s="420" t="s">
        <v>372</v>
      </c>
      <c r="E3" s="252"/>
      <c r="H3" s="260"/>
    </row>
    <row r="4" spans="3:11" x14ac:dyDescent="0.3">
      <c r="C4" s="419" t="s">
        <v>373</v>
      </c>
      <c r="D4" s="419" t="s">
        <v>374</v>
      </c>
      <c r="E4" s="419" t="s">
        <v>69</v>
      </c>
      <c r="F4" s="263">
        <v>46203</v>
      </c>
      <c r="G4" s="263">
        <v>46022</v>
      </c>
      <c r="H4" s="262"/>
    </row>
    <row r="5" spans="3:11" x14ac:dyDescent="0.3">
      <c r="C5" s="261"/>
      <c r="D5" s="111"/>
      <c r="E5" s="252"/>
      <c r="F5" s="94" t="s">
        <v>6</v>
      </c>
      <c r="G5" s="94" t="s">
        <v>6</v>
      </c>
      <c r="H5" s="111"/>
    </row>
    <row r="6" spans="3:11" ht="15" customHeight="1" x14ac:dyDescent="0.3">
      <c r="C6" s="420" t="s">
        <v>375</v>
      </c>
      <c r="D6" s="420" t="s">
        <v>376</v>
      </c>
      <c r="E6" s="420" t="s">
        <v>242</v>
      </c>
      <c r="F6" s="101">
        <v>0</v>
      </c>
      <c r="G6" s="101">
        <v>0</v>
      </c>
      <c r="H6" s="264"/>
    </row>
    <row r="7" spans="3:11" ht="15" customHeight="1" thickBot="1" x14ac:dyDescent="0.35">
      <c r="C7" s="420" t="s">
        <v>62</v>
      </c>
      <c r="D7" s="252"/>
      <c r="E7" s="94"/>
      <c r="F7" s="347">
        <f>+F6</f>
        <v>0</v>
      </c>
      <c r="G7" s="347">
        <f>+G6</f>
        <v>0</v>
      </c>
      <c r="H7" s="264"/>
    </row>
    <row r="8" spans="3:11" x14ac:dyDescent="0.3">
      <c r="C8" s="151"/>
      <c r="H8" s="264"/>
    </row>
    <row r="9" spans="3:11" x14ac:dyDescent="0.3">
      <c r="C9" s="228"/>
    </row>
    <row r="10" spans="3:11" ht="26.4" customHeight="1" x14ac:dyDescent="0.3">
      <c r="C10" s="439" t="s">
        <v>377</v>
      </c>
    </row>
    <row r="11" spans="3:11" x14ac:dyDescent="0.3">
      <c r="C11" s="500" t="s">
        <v>638</v>
      </c>
    </row>
    <row r="12" spans="3:11" s="146" customFormat="1" x14ac:dyDescent="0.3">
      <c r="C12" s="527">
        <v>2026</v>
      </c>
    </row>
    <row r="13" spans="3:11" ht="19.2" customHeight="1" x14ac:dyDescent="0.3">
      <c r="C13" s="138"/>
      <c r="D13" s="138"/>
      <c r="E13" s="138" t="s">
        <v>378</v>
      </c>
      <c r="F13" s="138" t="s">
        <v>379</v>
      </c>
      <c r="G13" s="255"/>
      <c r="H13" s="266"/>
      <c r="I13" s="266"/>
      <c r="J13" s="266"/>
      <c r="K13" s="266"/>
    </row>
    <row r="14" spans="3:11" ht="29.4" customHeight="1" thickBot="1" x14ac:dyDescent="0.35">
      <c r="C14" s="253" t="s">
        <v>380</v>
      </c>
      <c r="D14" s="253" t="s">
        <v>373</v>
      </c>
      <c r="E14" s="254"/>
      <c r="F14" s="253" t="s">
        <v>381</v>
      </c>
      <c r="G14" s="256" t="s">
        <v>69</v>
      </c>
      <c r="H14" s="263">
        <v>46203</v>
      </c>
      <c r="I14" s="263">
        <v>46022</v>
      </c>
      <c r="J14" s="266" t="s">
        <v>382</v>
      </c>
      <c r="K14" s="267"/>
    </row>
    <row r="15" spans="3:11" x14ac:dyDescent="0.3">
      <c r="C15" s="157"/>
      <c r="D15" s="138"/>
      <c r="E15" s="138"/>
      <c r="F15" s="138"/>
      <c r="G15" s="255"/>
      <c r="H15" s="265" t="s">
        <v>6</v>
      </c>
      <c r="I15" s="265" t="s">
        <v>6</v>
      </c>
      <c r="J15" s="265" t="s">
        <v>6</v>
      </c>
    </row>
    <row r="16" spans="3:11" ht="19.2" customHeight="1" x14ac:dyDescent="0.3">
      <c r="C16" s="157" t="s">
        <v>383</v>
      </c>
      <c r="D16" s="138" t="s">
        <v>384</v>
      </c>
      <c r="E16" s="138" t="s">
        <v>385</v>
      </c>
      <c r="F16" s="315" t="s">
        <v>386</v>
      </c>
      <c r="G16" s="255" t="s">
        <v>387</v>
      </c>
      <c r="H16" s="101">
        <v>0</v>
      </c>
      <c r="I16" s="101">
        <v>0</v>
      </c>
      <c r="J16" s="348" t="s">
        <v>327</v>
      </c>
      <c r="K16" s="153"/>
    </row>
    <row r="17" spans="3:11" ht="19.2" customHeight="1" x14ac:dyDescent="0.3">
      <c r="C17" s="157" t="s">
        <v>388</v>
      </c>
      <c r="D17" s="138" t="s">
        <v>384</v>
      </c>
      <c r="E17" s="138" t="s">
        <v>385</v>
      </c>
      <c r="F17" s="315" t="s">
        <v>386</v>
      </c>
      <c r="G17" s="255" t="s">
        <v>387</v>
      </c>
      <c r="H17" s="101">
        <v>0</v>
      </c>
      <c r="I17" s="101">
        <v>0</v>
      </c>
      <c r="J17" s="348" t="s">
        <v>327</v>
      </c>
      <c r="K17" s="153"/>
    </row>
    <row r="18" spans="3:11" ht="19.2" customHeight="1" x14ac:dyDescent="0.3">
      <c r="C18" s="157" t="s">
        <v>383</v>
      </c>
      <c r="D18" s="138" t="s">
        <v>384</v>
      </c>
      <c r="E18" s="138" t="s">
        <v>385</v>
      </c>
      <c r="F18" s="315" t="s">
        <v>386</v>
      </c>
      <c r="G18" s="255" t="s">
        <v>387</v>
      </c>
      <c r="H18" s="101">
        <v>0</v>
      </c>
      <c r="I18" s="101">
        <v>0</v>
      </c>
      <c r="J18" s="348" t="s">
        <v>327</v>
      </c>
      <c r="K18" s="153"/>
    </row>
    <row r="19" spans="3:11" ht="19.2" customHeight="1" x14ac:dyDescent="0.3">
      <c r="C19" s="157" t="s">
        <v>389</v>
      </c>
      <c r="D19" s="138" t="s">
        <v>384</v>
      </c>
      <c r="E19" s="138" t="s">
        <v>385</v>
      </c>
      <c r="F19" s="315" t="s">
        <v>386</v>
      </c>
      <c r="G19" s="255" t="s">
        <v>387</v>
      </c>
      <c r="H19" s="101">
        <v>0</v>
      </c>
      <c r="I19" s="101">
        <v>0</v>
      </c>
      <c r="J19" s="348" t="s">
        <v>327</v>
      </c>
      <c r="K19" s="153"/>
    </row>
    <row r="20" spans="3:11" ht="19.2" customHeight="1" x14ac:dyDescent="0.3">
      <c r="C20" s="157" t="s">
        <v>390</v>
      </c>
      <c r="D20" s="138" t="s">
        <v>384</v>
      </c>
      <c r="E20" s="138" t="s">
        <v>385</v>
      </c>
      <c r="F20" s="315" t="s">
        <v>386</v>
      </c>
      <c r="G20" s="255" t="s">
        <v>387</v>
      </c>
      <c r="H20" s="101">
        <v>0</v>
      </c>
      <c r="I20" s="101">
        <v>0</v>
      </c>
      <c r="J20" s="348" t="s">
        <v>327</v>
      </c>
      <c r="K20" s="153"/>
    </row>
    <row r="21" spans="3:11" ht="19.2" customHeight="1" x14ac:dyDescent="0.3">
      <c r="C21" s="157" t="s">
        <v>391</v>
      </c>
      <c r="D21" s="138" t="s">
        <v>384</v>
      </c>
      <c r="E21" s="138" t="s">
        <v>385</v>
      </c>
      <c r="F21" s="315" t="s">
        <v>386</v>
      </c>
      <c r="G21" s="255" t="s">
        <v>387</v>
      </c>
      <c r="H21" s="101">
        <v>0</v>
      </c>
      <c r="I21" s="101">
        <v>0</v>
      </c>
      <c r="J21" s="348" t="s">
        <v>327</v>
      </c>
      <c r="K21" s="153"/>
    </row>
    <row r="22" spans="3:11" ht="19.2" customHeight="1" x14ac:dyDescent="0.3">
      <c r="C22" s="157" t="s">
        <v>392</v>
      </c>
      <c r="D22" s="138" t="s">
        <v>384</v>
      </c>
      <c r="E22" s="138" t="s">
        <v>385</v>
      </c>
      <c r="F22" s="315" t="s">
        <v>386</v>
      </c>
      <c r="G22" s="255" t="s">
        <v>387</v>
      </c>
      <c r="H22" s="101">
        <v>0</v>
      </c>
      <c r="I22" s="101">
        <v>0</v>
      </c>
      <c r="J22" s="348" t="s">
        <v>327</v>
      </c>
      <c r="K22" s="153"/>
    </row>
    <row r="23" spans="3:11" ht="19.2" customHeight="1" x14ac:dyDescent="0.3">
      <c r="C23" s="157" t="s">
        <v>393</v>
      </c>
      <c r="D23" s="138" t="s">
        <v>384</v>
      </c>
      <c r="E23" s="138" t="s">
        <v>385</v>
      </c>
      <c r="F23" s="315" t="s">
        <v>386</v>
      </c>
      <c r="G23" s="255" t="s">
        <v>387</v>
      </c>
      <c r="H23" s="101">
        <v>0</v>
      </c>
      <c r="I23" s="101">
        <v>0</v>
      </c>
      <c r="J23" s="348" t="s">
        <v>327</v>
      </c>
      <c r="K23" s="153"/>
    </row>
    <row r="24" spans="3:11" ht="19.2" customHeight="1" x14ac:dyDescent="0.3">
      <c r="C24" s="157" t="s">
        <v>394</v>
      </c>
      <c r="D24" s="138" t="s">
        <v>384</v>
      </c>
      <c r="E24" s="138" t="s">
        <v>385</v>
      </c>
      <c r="F24" s="315" t="s">
        <v>386</v>
      </c>
      <c r="G24" s="255" t="s">
        <v>387</v>
      </c>
      <c r="H24" s="101">
        <v>0</v>
      </c>
      <c r="I24" s="101">
        <v>0</v>
      </c>
      <c r="J24" s="348" t="s">
        <v>327</v>
      </c>
      <c r="K24" s="153"/>
    </row>
    <row r="25" spans="3:11" ht="19.2" customHeight="1" x14ac:dyDescent="0.3">
      <c r="C25" s="157" t="s">
        <v>395</v>
      </c>
      <c r="D25" s="138" t="s">
        <v>384</v>
      </c>
      <c r="E25" s="138" t="s">
        <v>385</v>
      </c>
      <c r="F25" s="315" t="s">
        <v>386</v>
      </c>
      <c r="G25" s="255" t="s">
        <v>387</v>
      </c>
      <c r="H25" s="101">
        <v>0</v>
      </c>
      <c r="I25" s="101">
        <v>0</v>
      </c>
      <c r="J25" s="348" t="s">
        <v>327</v>
      </c>
      <c r="K25" s="153"/>
    </row>
    <row r="26" spans="3:11" ht="19.2" customHeight="1" x14ac:dyDescent="0.3">
      <c r="C26" s="157" t="s">
        <v>396</v>
      </c>
      <c r="D26" s="138" t="s">
        <v>384</v>
      </c>
      <c r="E26" s="138" t="s">
        <v>385</v>
      </c>
      <c r="F26" s="315" t="s">
        <v>386</v>
      </c>
      <c r="G26" s="255" t="s">
        <v>387</v>
      </c>
      <c r="H26" s="101">
        <v>0</v>
      </c>
      <c r="I26" s="101">
        <v>0</v>
      </c>
      <c r="J26" s="348" t="s">
        <v>327</v>
      </c>
      <c r="K26" s="153"/>
    </row>
    <row r="27" spans="3:11" ht="19.2" customHeight="1" x14ac:dyDescent="0.3">
      <c r="C27" s="157" t="s">
        <v>397</v>
      </c>
      <c r="D27" s="138" t="s">
        <v>384</v>
      </c>
      <c r="E27" s="138" t="s">
        <v>385</v>
      </c>
      <c r="F27" s="315" t="s">
        <v>386</v>
      </c>
      <c r="G27" s="255" t="s">
        <v>387</v>
      </c>
      <c r="H27" s="101">
        <v>0</v>
      </c>
      <c r="I27" s="101">
        <v>0</v>
      </c>
      <c r="J27" s="348" t="s">
        <v>327</v>
      </c>
      <c r="K27" s="153"/>
    </row>
    <row r="28" spans="3:11" ht="19.2" customHeight="1" x14ac:dyDescent="0.3">
      <c r="C28" s="157" t="s">
        <v>398</v>
      </c>
      <c r="D28" s="138" t="s">
        <v>384</v>
      </c>
      <c r="E28" s="138" t="s">
        <v>385</v>
      </c>
      <c r="F28" s="315" t="s">
        <v>386</v>
      </c>
      <c r="G28" s="255" t="s">
        <v>387</v>
      </c>
      <c r="H28" s="101">
        <v>0</v>
      </c>
      <c r="I28" s="101">
        <v>0</v>
      </c>
      <c r="J28" s="348" t="s">
        <v>327</v>
      </c>
      <c r="K28" s="153"/>
    </row>
    <row r="29" spans="3:11" ht="19.2" customHeight="1" x14ac:dyDescent="0.3">
      <c r="C29" s="157" t="s">
        <v>399</v>
      </c>
      <c r="D29" s="138" t="s">
        <v>384</v>
      </c>
      <c r="E29" s="138" t="s">
        <v>385</v>
      </c>
      <c r="F29" s="315" t="s">
        <v>386</v>
      </c>
      <c r="G29" s="255" t="s">
        <v>387</v>
      </c>
      <c r="H29" s="101">
        <v>0</v>
      </c>
      <c r="I29" s="101">
        <v>0</v>
      </c>
      <c r="J29" s="348" t="s">
        <v>327</v>
      </c>
      <c r="K29" s="153"/>
    </row>
    <row r="30" spans="3:11" ht="19.2" customHeight="1" x14ac:dyDescent="0.3">
      <c r="C30" s="157" t="s">
        <v>400</v>
      </c>
      <c r="D30" s="138" t="s">
        <v>384</v>
      </c>
      <c r="E30" s="138" t="s">
        <v>385</v>
      </c>
      <c r="F30" s="315" t="s">
        <v>386</v>
      </c>
      <c r="G30" s="255" t="s">
        <v>387</v>
      </c>
      <c r="H30" s="101">
        <v>0</v>
      </c>
      <c r="I30" s="101">
        <v>0</v>
      </c>
      <c r="J30" s="348" t="s">
        <v>327</v>
      </c>
      <c r="K30" s="153"/>
    </row>
    <row r="31" spans="3:11" ht="19.2" customHeight="1" x14ac:dyDescent="0.3">
      <c r="C31" s="157" t="s">
        <v>401</v>
      </c>
      <c r="D31" s="138" t="s">
        <v>384</v>
      </c>
      <c r="E31" s="138" t="s">
        <v>385</v>
      </c>
      <c r="F31" s="315" t="s">
        <v>386</v>
      </c>
      <c r="G31" s="255" t="s">
        <v>387</v>
      </c>
      <c r="H31" s="101">
        <v>0</v>
      </c>
      <c r="I31" s="101">
        <v>0</v>
      </c>
      <c r="J31" s="348" t="s">
        <v>327</v>
      </c>
      <c r="K31" s="153"/>
    </row>
    <row r="32" spans="3:11" ht="19.2" customHeight="1" x14ac:dyDescent="0.3">
      <c r="C32" s="157" t="s">
        <v>402</v>
      </c>
      <c r="D32" s="138" t="s">
        <v>384</v>
      </c>
      <c r="E32" s="138" t="s">
        <v>385</v>
      </c>
      <c r="F32" s="315" t="s">
        <v>386</v>
      </c>
      <c r="G32" s="255" t="s">
        <v>387</v>
      </c>
      <c r="H32" s="101">
        <v>0</v>
      </c>
      <c r="I32" s="101">
        <v>0</v>
      </c>
      <c r="J32" s="348" t="s">
        <v>327</v>
      </c>
      <c r="K32" s="153"/>
    </row>
    <row r="33" spans="3:11" ht="19.2" customHeight="1" x14ac:dyDescent="0.3">
      <c r="C33" s="157" t="s">
        <v>403</v>
      </c>
      <c r="D33" s="138" t="s">
        <v>384</v>
      </c>
      <c r="E33" s="138" t="s">
        <v>385</v>
      </c>
      <c r="F33" s="315" t="s">
        <v>386</v>
      </c>
      <c r="G33" s="255" t="s">
        <v>387</v>
      </c>
      <c r="H33" s="101">
        <v>0</v>
      </c>
      <c r="I33" s="101">
        <v>0</v>
      </c>
      <c r="J33" s="348" t="s">
        <v>327</v>
      </c>
      <c r="K33" s="153"/>
    </row>
    <row r="34" spans="3:11" ht="19.2" customHeight="1" x14ac:dyDescent="0.3">
      <c r="C34" s="157" t="s">
        <v>404</v>
      </c>
      <c r="D34" s="138" t="s">
        <v>384</v>
      </c>
      <c r="E34" s="138" t="s">
        <v>385</v>
      </c>
      <c r="F34" s="315" t="s">
        <v>386</v>
      </c>
      <c r="G34" s="255" t="s">
        <v>387</v>
      </c>
      <c r="H34" s="101">
        <v>0</v>
      </c>
      <c r="I34" s="101">
        <v>0</v>
      </c>
      <c r="J34" s="348" t="s">
        <v>327</v>
      </c>
      <c r="K34" s="153"/>
    </row>
    <row r="35" spans="3:11" ht="19.2" customHeight="1" x14ac:dyDescent="0.3">
      <c r="C35" s="157" t="s">
        <v>405</v>
      </c>
      <c r="D35" s="138" t="s">
        <v>384</v>
      </c>
      <c r="E35" s="138" t="s">
        <v>385</v>
      </c>
      <c r="F35" s="315" t="s">
        <v>386</v>
      </c>
      <c r="G35" s="255" t="s">
        <v>387</v>
      </c>
      <c r="H35" s="101">
        <v>0</v>
      </c>
      <c r="I35" s="101">
        <v>0</v>
      </c>
      <c r="J35" s="348" t="s">
        <v>327</v>
      </c>
      <c r="K35" s="153"/>
    </row>
    <row r="36" spans="3:11" ht="19.2" customHeight="1" x14ac:dyDescent="0.3">
      <c r="C36" s="157" t="s">
        <v>404</v>
      </c>
      <c r="D36" s="138" t="s">
        <v>384</v>
      </c>
      <c r="E36" s="138" t="s">
        <v>385</v>
      </c>
      <c r="F36" s="315" t="s">
        <v>386</v>
      </c>
      <c r="G36" s="255" t="s">
        <v>387</v>
      </c>
      <c r="H36" s="101">
        <v>0</v>
      </c>
      <c r="I36" s="101">
        <v>0</v>
      </c>
      <c r="J36" s="348" t="s">
        <v>327</v>
      </c>
      <c r="K36" s="153"/>
    </row>
    <row r="37" spans="3:11" ht="19.2" customHeight="1" x14ac:dyDescent="0.3">
      <c r="C37" s="157" t="s">
        <v>403</v>
      </c>
      <c r="D37" s="138" t="s">
        <v>384</v>
      </c>
      <c r="E37" s="138" t="s">
        <v>385</v>
      </c>
      <c r="F37" s="315" t="s">
        <v>386</v>
      </c>
      <c r="G37" s="255" t="s">
        <v>387</v>
      </c>
      <c r="H37" s="101">
        <v>0</v>
      </c>
      <c r="I37" s="101">
        <v>0</v>
      </c>
      <c r="J37" s="348" t="s">
        <v>327</v>
      </c>
      <c r="K37" s="153"/>
    </row>
    <row r="38" spans="3:11" ht="19.2" customHeight="1" x14ac:dyDescent="0.3">
      <c r="C38" s="157" t="s">
        <v>402</v>
      </c>
      <c r="D38" s="138" t="s">
        <v>384</v>
      </c>
      <c r="E38" s="138" t="s">
        <v>385</v>
      </c>
      <c r="F38" s="315" t="s">
        <v>386</v>
      </c>
      <c r="G38" s="255" t="s">
        <v>387</v>
      </c>
      <c r="H38" s="101">
        <v>0</v>
      </c>
      <c r="I38" s="101">
        <v>0</v>
      </c>
      <c r="J38" s="348" t="s">
        <v>327</v>
      </c>
    </row>
    <row r="39" spans="3:11" ht="15" customHeight="1" thickBot="1" x14ac:dyDescent="0.35">
      <c r="C39" s="257"/>
      <c r="D39" s="253"/>
      <c r="E39" s="253"/>
      <c r="F39" s="253"/>
      <c r="G39" s="256"/>
      <c r="H39" s="152"/>
      <c r="I39" s="152"/>
      <c r="J39" s="152"/>
      <c r="K39" s="152"/>
    </row>
    <row r="40" spans="3:11" x14ac:dyDescent="0.3">
      <c r="C40" s="243"/>
      <c r="D40" s="242"/>
      <c r="E40" s="242"/>
      <c r="F40" s="242"/>
      <c r="G40" s="554"/>
      <c r="H40" s="555"/>
      <c r="I40" s="258"/>
      <c r="J40" s="556"/>
      <c r="K40" s="555"/>
    </row>
    <row r="41" spans="3:11" x14ac:dyDescent="0.3">
      <c r="C41" s="241"/>
      <c r="D41" s="241"/>
      <c r="E41" s="241"/>
      <c r="F41" s="241"/>
      <c r="G41" s="241"/>
      <c r="H41" s="241"/>
      <c r="I41" s="241"/>
      <c r="J41" s="241"/>
      <c r="K41" s="241"/>
    </row>
    <row r="42" spans="3:11" x14ac:dyDescent="0.3">
      <c r="C42" s="151"/>
    </row>
    <row r="43" spans="3:11" x14ac:dyDescent="0.3">
      <c r="C43" s="151"/>
    </row>
  </sheetData>
  <mergeCells count="3">
    <mergeCell ref="G40:H40"/>
    <mergeCell ref="J40:K40"/>
    <mergeCell ref="C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C1:G35"/>
  <sheetViews>
    <sheetView showGridLines="0" workbookViewId="0">
      <selection activeCell="C27" sqref="C27"/>
    </sheetView>
  </sheetViews>
  <sheetFormatPr baseColWidth="10" defaultRowHeight="14.4" x14ac:dyDescent="0.3"/>
  <cols>
    <col min="3" max="3" width="26.44140625" customWidth="1"/>
    <col min="4" max="4" width="15.5546875" customWidth="1"/>
    <col min="5" max="5" width="13.77734375" customWidth="1"/>
    <col min="6" max="6" width="15" customWidth="1"/>
    <col min="7" max="7" width="13.88671875" customWidth="1"/>
  </cols>
  <sheetData>
    <row r="1" spans="3:7" x14ac:dyDescent="0.3">
      <c r="C1" s="5" t="s">
        <v>618</v>
      </c>
    </row>
    <row r="2" spans="3:7" x14ac:dyDescent="0.3">
      <c r="C2" s="457" t="s">
        <v>616</v>
      </c>
    </row>
    <row r="3" spans="3:7" x14ac:dyDescent="0.3">
      <c r="C3" s="358"/>
      <c r="D3" s="440">
        <v>46022</v>
      </c>
      <c r="F3" s="363">
        <v>45657</v>
      </c>
    </row>
    <row r="4" spans="3:7" x14ac:dyDescent="0.3">
      <c r="C4" s="364" t="s">
        <v>406</v>
      </c>
      <c r="D4" s="364" t="s">
        <v>407</v>
      </c>
      <c r="E4" s="364" t="s">
        <v>408</v>
      </c>
      <c r="F4" s="364" t="s">
        <v>407</v>
      </c>
      <c r="G4" s="364" t="s">
        <v>408</v>
      </c>
    </row>
    <row r="5" spans="3:7" x14ac:dyDescent="0.3">
      <c r="C5" s="360" t="s">
        <v>409</v>
      </c>
      <c r="D5" s="367">
        <v>50334500</v>
      </c>
      <c r="E5" s="368">
        <v>1</v>
      </c>
      <c r="F5" s="367">
        <v>50334500</v>
      </c>
      <c r="G5" s="368">
        <v>1</v>
      </c>
    </row>
    <row r="6" spans="3:7" x14ac:dyDescent="0.3">
      <c r="C6" s="365" t="s">
        <v>23</v>
      </c>
      <c r="D6" s="366">
        <v>50334500</v>
      </c>
      <c r="E6" s="369">
        <v>1</v>
      </c>
      <c r="F6" s="366">
        <v>50334500</v>
      </c>
      <c r="G6" s="369">
        <v>1</v>
      </c>
    </row>
    <row r="7" spans="3:7" x14ac:dyDescent="0.3">
      <c r="C7" s="359"/>
    </row>
    <row r="8" spans="3:7" x14ac:dyDescent="0.3">
      <c r="C8" s="457" t="s">
        <v>617</v>
      </c>
    </row>
    <row r="9" spans="3:7" x14ac:dyDescent="0.3">
      <c r="C9" s="474" t="s">
        <v>410</v>
      </c>
    </row>
    <row r="10" spans="3:7" x14ac:dyDescent="0.3">
      <c r="D10" s="361">
        <v>46022</v>
      </c>
      <c r="E10" s="361">
        <v>45657</v>
      </c>
    </row>
    <row r="11" spans="3:7" x14ac:dyDescent="0.3">
      <c r="C11" s="38"/>
      <c r="D11" s="38"/>
      <c r="E11" s="38"/>
    </row>
    <row r="12" spans="3:7" ht="20.399999999999999" customHeight="1" x14ac:dyDescent="0.3">
      <c r="C12" s="475" t="s">
        <v>411</v>
      </c>
      <c r="D12" s="362">
        <v>50334500</v>
      </c>
      <c r="E12" s="362">
        <v>50334500</v>
      </c>
    </row>
    <row r="13" spans="3:7" x14ac:dyDescent="0.3">
      <c r="C13" s="475" t="s">
        <v>412</v>
      </c>
      <c r="D13" s="362">
        <v>0</v>
      </c>
      <c r="E13" s="362">
        <v>0</v>
      </c>
    </row>
    <row r="14" spans="3:7" x14ac:dyDescent="0.3">
      <c r="C14" s="476" t="s">
        <v>108</v>
      </c>
      <c r="D14" s="370">
        <v>50334500</v>
      </c>
      <c r="E14" s="370">
        <v>50334500</v>
      </c>
    </row>
    <row r="15" spans="3:7" x14ac:dyDescent="0.3">
      <c r="C15" s="528"/>
      <c r="D15" s="529"/>
      <c r="E15" s="529"/>
    </row>
    <row r="16" spans="3:7" x14ac:dyDescent="0.3">
      <c r="C16" s="457" t="s">
        <v>620</v>
      </c>
    </row>
    <row r="17" spans="3:5" x14ac:dyDescent="0.3">
      <c r="C17" s="5" t="s">
        <v>619</v>
      </c>
    </row>
    <row r="18" spans="3:5" ht="15.6" x14ac:dyDescent="0.3">
      <c r="C18" s="477"/>
      <c r="D18" s="478" t="s">
        <v>621</v>
      </c>
      <c r="E18" s="478" t="s">
        <v>622</v>
      </c>
    </row>
    <row r="19" spans="3:5" x14ac:dyDescent="0.3">
      <c r="C19" s="479"/>
      <c r="D19" s="480" t="s">
        <v>334</v>
      </c>
      <c r="E19" s="480" t="s">
        <v>40</v>
      </c>
    </row>
    <row r="20" spans="3:5" ht="15.6" x14ac:dyDescent="0.3">
      <c r="C20" s="481"/>
      <c r="D20" s="477"/>
      <c r="E20" s="477"/>
    </row>
    <row r="21" spans="3:5" x14ac:dyDescent="0.3">
      <c r="C21" s="29" t="s">
        <v>623</v>
      </c>
      <c r="D21" s="34">
        <v>0</v>
      </c>
      <c r="E21" s="34">
        <v>0</v>
      </c>
    </row>
    <row r="22" spans="3:5" ht="15" thickBot="1" x14ac:dyDescent="0.35">
      <c r="C22" s="29" t="s">
        <v>624</v>
      </c>
      <c r="D22" s="34">
        <v>50334500</v>
      </c>
      <c r="E22" s="34">
        <v>50334500</v>
      </c>
    </row>
    <row r="23" spans="3:5" ht="23.4" thickBot="1" x14ac:dyDescent="0.35">
      <c r="C23" s="29" t="s">
        <v>625</v>
      </c>
      <c r="D23" s="482">
        <f>+D21/D22</f>
        <v>0</v>
      </c>
      <c r="E23" s="482">
        <f>+E21/E22</f>
        <v>0</v>
      </c>
    </row>
    <row r="24" spans="3:5" ht="15" thickTop="1" x14ac:dyDescent="0.3">
      <c r="C24" s="29"/>
      <c r="D24" s="480"/>
      <c r="E24" s="480"/>
    </row>
    <row r="25" spans="3:5" x14ac:dyDescent="0.3">
      <c r="C25" s="451" t="s">
        <v>666</v>
      </c>
    </row>
    <row r="26" spans="3:5" x14ac:dyDescent="0.3">
      <c r="C26" s="484" t="s">
        <v>450</v>
      </c>
    </row>
    <row r="28" spans="3:5" ht="15.6" x14ac:dyDescent="0.3">
      <c r="C28" s="477"/>
      <c r="D28" s="485" t="s">
        <v>621</v>
      </c>
      <c r="E28" s="485" t="s">
        <v>622</v>
      </c>
    </row>
    <row r="29" spans="3:5" x14ac:dyDescent="0.3">
      <c r="C29" s="118"/>
      <c r="D29" s="486" t="s">
        <v>334</v>
      </c>
      <c r="E29" s="486" t="s">
        <v>40</v>
      </c>
    </row>
    <row r="30" spans="3:5" ht="15.6" x14ac:dyDescent="0.3">
      <c r="C30" s="481"/>
      <c r="D30" s="477"/>
      <c r="E30" s="477"/>
    </row>
    <row r="31" spans="3:5" x14ac:dyDescent="0.3">
      <c r="C31" s="29" t="s">
        <v>626</v>
      </c>
      <c r="D31" s="34">
        <v>0</v>
      </c>
      <c r="E31" s="34">
        <v>0</v>
      </c>
    </row>
    <row r="32" spans="3:5" x14ac:dyDescent="0.3">
      <c r="C32" s="29" t="s">
        <v>627</v>
      </c>
      <c r="D32" s="64">
        <v>0</v>
      </c>
      <c r="E32" s="64">
        <v>0</v>
      </c>
    </row>
    <row r="33" spans="3:5" ht="15" thickBot="1" x14ac:dyDescent="0.35">
      <c r="C33" s="29" t="s">
        <v>628</v>
      </c>
      <c r="D33" s="34">
        <v>0</v>
      </c>
      <c r="E33" s="34">
        <v>0</v>
      </c>
    </row>
    <row r="34" spans="3:5" ht="15" thickBot="1" x14ac:dyDescent="0.35">
      <c r="C34" s="29" t="s">
        <v>629</v>
      </c>
      <c r="D34" s="488">
        <f>SUM(D31:D33)</f>
        <v>0</v>
      </c>
      <c r="E34" s="488">
        <f>SUM(E31:E33)</f>
        <v>0</v>
      </c>
    </row>
    <row r="35" spans="3:5" ht="15" thickTop="1" x14ac:dyDescent="0.3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C1:E51"/>
  <sheetViews>
    <sheetView showGridLines="0" topLeftCell="C1" zoomScale="80" zoomScaleNormal="80" workbookViewId="0">
      <selection activeCell="C1" sqref="C1"/>
    </sheetView>
  </sheetViews>
  <sheetFormatPr baseColWidth="10" defaultRowHeight="14.4" x14ac:dyDescent="0.3"/>
  <cols>
    <col min="1" max="1" width="19.44140625" bestFit="1" customWidth="1"/>
    <col min="3" max="3" width="51" customWidth="1"/>
    <col min="4" max="4" width="16.44140625" customWidth="1"/>
    <col min="5" max="5" width="13.88671875" customWidth="1"/>
  </cols>
  <sheetData>
    <row r="1" spans="3:5" x14ac:dyDescent="0.3">
      <c r="C1" s="457" t="s">
        <v>639</v>
      </c>
    </row>
    <row r="2" spans="3:5" x14ac:dyDescent="0.3">
      <c r="C2" s="386" t="s">
        <v>413</v>
      </c>
    </row>
    <row r="4" spans="3:5" x14ac:dyDescent="0.3">
      <c r="C4" s="558"/>
      <c r="D4" s="72" t="s">
        <v>0</v>
      </c>
      <c r="E4" s="72" t="s">
        <v>141</v>
      </c>
    </row>
    <row r="5" spans="3:5" x14ac:dyDescent="0.3">
      <c r="C5" s="533"/>
      <c r="D5" s="14" t="s">
        <v>6</v>
      </c>
      <c r="E5" s="14" t="s">
        <v>6</v>
      </c>
    </row>
    <row r="6" spans="3:5" x14ac:dyDescent="0.3">
      <c r="C6" s="233" t="s">
        <v>414</v>
      </c>
      <c r="D6" s="53"/>
      <c r="E6" s="53"/>
    </row>
    <row r="7" spans="3:5" x14ac:dyDescent="0.3">
      <c r="C7" s="233" t="s">
        <v>415</v>
      </c>
      <c r="D7" s="53"/>
      <c r="E7" s="53"/>
    </row>
    <row r="8" spans="3:5" x14ac:dyDescent="0.3">
      <c r="C8" s="233" t="s">
        <v>416</v>
      </c>
      <c r="D8" s="53"/>
      <c r="E8" s="53"/>
    </row>
    <row r="9" spans="3:5" x14ac:dyDescent="0.3">
      <c r="C9" s="233" t="s">
        <v>417</v>
      </c>
      <c r="D9" s="53"/>
      <c r="E9" s="53"/>
    </row>
    <row r="10" spans="3:5" x14ac:dyDescent="0.3">
      <c r="C10" s="233" t="s">
        <v>418</v>
      </c>
      <c r="D10" s="53"/>
      <c r="E10" s="53"/>
    </row>
    <row r="11" spans="3:5" x14ac:dyDescent="0.3">
      <c r="C11" s="233" t="s">
        <v>419</v>
      </c>
      <c r="D11" s="53"/>
      <c r="E11" s="53"/>
    </row>
    <row r="12" spans="3:5" x14ac:dyDescent="0.3">
      <c r="C12" s="233" t="s">
        <v>420</v>
      </c>
      <c r="D12" s="53"/>
      <c r="E12" s="53"/>
    </row>
    <row r="13" spans="3:5" x14ac:dyDescent="0.3">
      <c r="C13" s="233" t="s">
        <v>421</v>
      </c>
      <c r="D13" s="126"/>
      <c r="E13" s="126"/>
    </row>
    <row r="14" spans="3:5" ht="15" customHeight="1" thickBot="1" x14ac:dyDescent="0.35">
      <c r="C14" s="233" t="s">
        <v>422</v>
      </c>
      <c r="D14" s="52">
        <f>SUM(D6:D13)</f>
        <v>0</v>
      </c>
      <c r="E14" s="52">
        <f>SUM(E6:E13)</f>
        <v>0</v>
      </c>
    </row>
    <row r="15" spans="3:5" x14ac:dyDescent="0.3">
      <c r="D15" s="28"/>
      <c r="E15" s="28"/>
    </row>
    <row r="17" spans="3:5" x14ac:dyDescent="0.3">
      <c r="C17" s="17"/>
      <c r="E17" s="17"/>
    </row>
    <row r="18" spans="3:5" x14ac:dyDescent="0.3">
      <c r="C18" s="457" t="s">
        <v>640</v>
      </c>
      <c r="E18" s="17"/>
    </row>
    <row r="19" spans="3:5" x14ac:dyDescent="0.3">
      <c r="C19" s="413" t="s">
        <v>423</v>
      </c>
      <c r="E19" s="17"/>
    </row>
    <row r="20" spans="3:5" x14ac:dyDescent="0.3">
      <c r="C20" s="17"/>
      <c r="D20" s="72" t="s">
        <v>0</v>
      </c>
      <c r="E20" s="72" t="s">
        <v>141</v>
      </c>
    </row>
    <row r="21" spans="3:5" x14ac:dyDescent="0.3">
      <c r="C21" s="17"/>
      <c r="D21" s="14" t="s">
        <v>424</v>
      </c>
      <c r="E21" s="17" t="s">
        <v>6</v>
      </c>
    </row>
    <row r="22" spans="3:5" x14ac:dyDescent="0.3">
      <c r="C22" s="17"/>
      <c r="D22" s="14"/>
      <c r="E22" s="17"/>
    </row>
    <row r="23" spans="3:5" x14ac:dyDescent="0.3">
      <c r="C23" s="233" t="s">
        <v>425</v>
      </c>
      <c r="D23" s="132"/>
      <c r="E23" s="112"/>
    </row>
    <row r="24" spans="3:5" x14ac:dyDescent="0.3">
      <c r="C24" s="233" t="s">
        <v>426</v>
      </c>
      <c r="D24" s="132"/>
      <c r="E24" s="112"/>
    </row>
    <row r="25" spans="3:5" x14ac:dyDescent="0.3">
      <c r="C25" s="233" t="s">
        <v>427</v>
      </c>
      <c r="D25" s="132"/>
      <c r="E25" s="112"/>
    </row>
    <row r="26" spans="3:5" x14ac:dyDescent="0.3">
      <c r="C26" s="233" t="s">
        <v>428</v>
      </c>
      <c r="D26" s="132"/>
      <c r="E26" s="113"/>
    </row>
    <row r="27" spans="3:5" x14ac:dyDescent="0.3">
      <c r="C27" s="233" t="s">
        <v>429</v>
      </c>
      <c r="D27" s="132"/>
      <c r="E27" s="113"/>
    </row>
    <row r="28" spans="3:5" x14ac:dyDescent="0.3">
      <c r="C28" s="233" t="s">
        <v>430</v>
      </c>
      <c r="D28" s="132"/>
      <c r="E28" s="113"/>
    </row>
    <row r="29" spans="3:5" x14ac:dyDescent="0.3">
      <c r="C29" s="233" t="s">
        <v>431</v>
      </c>
      <c r="D29" s="132"/>
      <c r="E29" s="113"/>
    </row>
    <row r="30" spans="3:5" x14ac:dyDescent="0.3">
      <c r="C30" s="233" t="s">
        <v>432</v>
      </c>
      <c r="D30" s="132"/>
      <c r="E30" s="113"/>
    </row>
    <row r="31" spans="3:5" ht="15" customHeight="1" x14ac:dyDescent="0.3">
      <c r="C31" s="233" t="s">
        <v>433</v>
      </c>
      <c r="D31" s="132"/>
      <c r="E31" s="113"/>
    </row>
    <row r="32" spans="3:5" x14ac:dyDescent="0.3">
      <c r="C32" s="233" t="s">
        <v>434</v>
      </c>
      <c r="D32" s="132"/>
      <c r="E32" s="113"/>
    </row>
    <row r="33" spans="3:5" ht="15" customHeight="1" x14ac:dyDescent="0.3">
      <c r="C33" s="233" t="s">
        <v>435</v>
      </c>
      <c r="D33" s="132"/>
      <c r="E33" s="113"/>
    </row>
    <row r="34" spans="3:5" ht="15" customHeight="1" x14ac:dyDescent="0.3">
      <c r="C34" s="233" t="s">
        <v>436</v>
      </c>
      <c r="D34" s="132"/>
      <c r="E34" s="113"/>
    </row>
    <row r="35" spans="3:5" x14ac:dyDescent="0.3">
      <c r="C35" s="233" t="s">
        <v>437</v>
      </c>
      <c r="D35" s="132"/>
      <c r="E35" s="113"/>
    </row>
    <row r="36" spans="3:5" x14ac:dyDescent="0.3">
      <c r="C36" s="233" t="s">
        <v>438</v>
      </c>
      <c r="D36" s="132"/>
      <c r="E36" s="113"/>
    </row>
    <row r="37" spans="3:5" ht="15" customHeight="1" thickBot="1" x14ac:dyDescent="0.35">
      <c r="C37" s="233" t="s">
        <v>439</v>
      </c>
      <c r="D37" s="132"/>
      <c r="E37" s="114"/>
    </row>
    <row r="38" spans="3:5" ht="15" customHeight="1" thickBot="1" x14ac:dyDescent="0.35">
      <c r="C38" s="233" t="s">
        <v>440</v>
      </c>
      <c r="D38" s="133">
        <f>SUM(D23:D37)</f>
        <v>0</v>
      </c>
      <c r="E38" s="133">
        <f>SUM(E23:E37)</f>
        <v>0</v>
      </c>
    </row>
    <row r="39" spans="3:5" x14ac:dyDescent="0.3">
      <c r="D39" s="28"/>
      <c r="E39" s="28"/>
    </row>
    <row r="41" spans="3:5" x14ac:dyDescent="0.3">
      <c r="C41" s="392" t="s">
        <v>441</v>
      </c>
    </row>
    <row r="42" spans="3:5" x14ac:dyDescent="0.3">
      <c r="C42" s="1"/>
    </row>
    <row r="43" spans="3:5" x14ac:dyDescent="0.3">
      <c r="C43" s="233" t="s">
        <v>442</v>
      </c>
      <c r="D43" s="132"/>
      <c r="E43" s="113"/>
    </row>
    <row r="44" spans="3:5" ht="15" customHeight="1" thickBot="1" x14ac:dyDescent="0.35">
      <c r="C44" s="233" t="s">
        <v>443</v>
      </c>
      <c r="D44" s="145"/>
      <c r="E44" s="113"/>
    </row>
    <row r="45" spans="3:5" ht="15" customHeight="1" thickBot="1" x14ac:dyDescent="0.35">
      <c r="C45" s="233" t="s">
        <v>444</v>
      </c>
      <c r="D45" s="133">
        <f>SUM(D43:D44)</f>
        <v>0</v>
      </c>
      <c r="E45" s="133">
        <f>SUM(E43:E44)</f>
        <v>0</v>
      </c>
    </row>
    <row r="46" spans="3:5" ht="15" customHeight="1" x14ac:dyDescent="0.3">
      <c r="C46" s="233"/>
      <c r="D46" s="501"/>
      <c r="E46" s="501"/>
    </row>
    <row r="47" spans="3:5" x14ac:dyDescent="0.3">
      <c r="C47" s="457" t="s">
        <v>641</v>
      </c>
      <c r="E47" s="28"/>
    </row>
    <row r="48" spans="3:5" x14ac:dyDescent="0.3">
      <c r="C48" s="413" t="s">
        <v>445</v>
      </c>
      <c r="D48" s="28"/>
      <c r="E48" s="28"/>
    </row>
    <row r="49" spans="3:5" x14ac:dyDescent="0.3">
      <c r="C49" s="233" t="s">
        <v>446</v>
      </c>
      <c r="D49" s="132"/>
    </row>
    <row r="50" spans="3:5" ht="15" customHeight="1" thickBot="1" x14ac:dyDescent="0.35">
      <c r="C50" s="386" t="s">
        <v>447</v>
      </c>
      <c r="D50" s="38"/>
      <c r="E50" s="126"/>
    </row>
    <row r="51" spans="3:5" ht="15" customHeight="1" thickBot="1" x14ac:dyDescent="0.35">
      <c r="C51" s="233" t="s">
        <v>448</v>
      </c>
      <c r="D51" s="133">
        <f>SUM(D49:D50)</f>
        <v>0</v>
      </c>
      <c r="E51" s="133">
        <f>SUM(E49:E50)</f>
        <v>0</v>
      </c>
    </row>
  </sheetData>
  <mergeCells count="1">
    <mergeCell ref="C4: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B4:D39"/>
  <sheetViews>
    <sheetView showGridLines="0" workbookViewId="0">
      <selection activeCell="B32" sqref="B32"/>
    </sheetView>
  </sheetViews>
  <sheetFormatPr baseColWidth="10" defaultRowHeight="14.4" outlineLevelCol="1" x14ac:dyDescent="0.3"/>
  <cols>
    <col min="1" max="1" width="28.33203125" customWidth="1"/>
    <col min="2" max="2" width="40.6640625" customWidth="1"/>
    <col min="3" max="3" width="15.77734375" customWidth="1" outlineLevel="1"/>
    <col min="4" max="4" width="12.6640625" style="117" customWidth="1" outlineLevel="1"/>
  </cols>
  <sheetData>
    <row r="4" spans="2:4" x14ac:dyDescent="0.3">
      <c r="B4" s="457" t="s">
        <v>642</v>
      </c>
    </row>
    <row r="5" spans="2:4" x14ac:dyDescent="0.3">
      <c r="B5" s="1"/>
      <c r="C5" s="72" t="s">
        <v>0</v>
      </c>
      <c r="D5" s="72" t="s">
        <v>141</v>
      </c>
    </row>
    <row r="6" spans="2:4" x14ac:dyDescent="0.3">
      <c r="B6" s="14"/>
      <c r="C6" s="14" t="s">
        <v>6</v>
      </c>
      <c r="D6" s="14" t="s">
        <v>6</v>
      </c>
    </row>
    <row r="7" spans="2:4" x14ac:dyDescent="0.3">
      <c r="B7" s="1"/>
      <c r="C7" s="64"/>
      <c r="D7" s="116"/>
    </row>
    <row r="8" spans="2:4" x14ac:dyDescent="0.3">
      <c r="B8" s="233" t="s">
        <v>456</v>
      </c>
      <c r="C8" s="53"/>
      <c r="D8" s="53"/>
    </row>
    <row r="9" spans="2:4" x14ac:dyDescent="0.3">
      <c r="B9" s="233" t="s">
        <v>457</v>
      </c>
      <c r="C9" s="53"/>
      <c r="D9" s="53"/>
    </row>
    <row r="10" spans="2:4" x14ac:dyDescent="0.3">
      <c r="B10" s="233" t="s">
        <v>458</v>
      </c>
      <c r="C10" s="53"/>
      <c r="D10" s="53"/>
    </row>
    <row r="11" spans="2:4" x14ac:dyDescent="0.3">
      <c r="B11" s="233" t="s">
        <v>459</v>
      </c>
      <c r="C11" s="53"/>
      <c r="D11" s="53"/>
    </row>
    <row r="12" spans="2:4" x14ac:dyDescent="0.3">
      <c r="B12" s="233" t="s">
        <v>460</v>
      </c>
      <c r="C12" s="53"/>
      <c r="D12" s="53"/>
    </row>
    <row r="13" spans="2:4" x14ac:dyDescent="0.3">
      <c r="B13" s="233" t="s">
        <v>461</v>
      </c>
      <c r="C13" s="53"/>
      <c r="D13" s="53"/>
    </row>
    <row r="14" spans="2:4" x14ac:dyDescent="0.3">
      <c r="B14" s="233" t="s">
        <v>462</v>
      </c>
      <c r="C14" s="53"/>
      <c r="D14" s="53"/>
    </row>
    <row r="15" spans="2:4" x14ac:dyDescent="0.3">
      <c r="B15" s="233" t="s">
        <v>463</v>
      </c>
      <c r="C15" s="53"/>
      <c r="D15" s="53"/>
    </row>
    <row r="16" spans="2:4" x14ac:dyDescent="0.3">
      <c r="B16" s="233" t="s">
        <v>464</v>
      </c>
      <c r="C16" s="53"/>
      <c r="D16" s="53"/>
    </row>
    <row r="17" spans="2:4" x14ac:dyDescent="0.3">
      <c r="B17" s="233" t="s">
        <v>465</v>
      </c>
      <c r="C17" s="53"/>
      <c r="D17" s="53"/>
    </row>
    <row r="18" spans="2:4" x14ac:dyDescent="0.3">
      <c r="B18" s="233" t="s">
        <v>466</v>
      </c>
      <c r="C18" s="53"/>
      <c r="D18" s="53"/>
    </row>
    <row r="19" spans="2:4" x14ac:dyDescent="0.3">
      <c r="B19" s="233" t="s">
        <v>467</v>
      </c>
      <c r="C19" s="53"/>
      <c r="D19" s="53"/>
    </row>
    <row r="20" spans="2:4" x14ac:dyDescent="0.3">
      <c r="B20" s="233" t="s">
        <v>468</v>
      </c>
      <c r="C20" s="53"/>
      <c r="D20" s="53"/>
    </row>
    <row r="21" spans="2:4" x14ac:dyDescent="0.3">
      <c r="B21" s="233" t="s">
        <v>469</v>
      </c>
      <c r="C21" s="53"/>
      <c r="D21" s="53"/>
    </row>
    <row r="22" spans="2:4" x14ac:dyDescent="0.3">
      <c r="B22" s="233" t="s">
        <v>470</v>
      </c>
      <c r="C22" s="53"/>
      <c r="D22" s="53"/>
    </row>
    <row r="23" spans="2:4" x14ac:dyDescent="0.3">
      <c r="B23" s="233" t="s">
        <v>471</v>
      </c>
      <c r="C23" s="53"/>
      <c r="D23" s="53"/>
    </row>
    <row r="24" spans="2:4" x14ac:dyDescent="0.3">
      <c r="B24" s="233" t="s">
        <v>472</v>
      </c>
      <c r="C24" s="53"/>
      <c r="D24" s="53"/>
    </row>
    <row r="25" spans="2:4" ht="15" customHeight="1" thickBot="1" x14ac:dyDescent="0.35">
      <c r="B25" s="233" t="s">
        <v>473</v>
      </c>
      <c r="C25" s="53"/>
      <c r="D25" s="53"/>
    </row>
    <row r="26" spans="2:4" ht="15" customHeight="1" thickBot="1" x14ac:dyDescent="0.35">
      <c r="B26" s="233" t="s">
        <v>474</v>
      </c>
      <c r="C26" s="68">
        <f>SUM(C8:C25)</f>
        <v>0</v>
      </c>
      <c r="D26" s="68">
        <f>SUM(D8:D25)</f>
        <v>0</v>
      </c>
    </row>
    <row r="27" spans="2:4" x14ac:dyDescent="0.3">
      <c r="C27" s="28"/>
      <c r="D27" s="28"/>
    </row>
    <row r="28" spans="2:4" x14ac:dyDescent="0.3">
      <c r="C28" s="28"/>
      <c r="D28" s="28"/>
    </row>
    <row r="31" spans="2:4" x14ac:dyDescent="0.3">
      <c r="B31" s="451" t="s">
        <v>667</v>
      </c>
    </row>
    <row r="32" spans="2:4" x14ac:dyDescent="0.3">
      <c r="B32" s="386" t="s">
        <v>475</v>
      </c>
      <c r="C32" s="72" t="s">
        <v>0</v>
      </c>
      <c r="D32" s="72" t="s">
        <v>141</v>
      </c>
    </row>
    <row r="33" spans="2:4" x14ac:dyDescent="0.3">
      <c r="C33" s="14" t="s">
        <v>6</v>
      </c>
      <c r="D33" s="14" t="s">
        <v>6</v>
      </c>
    </row>
    <row r="34" spans="2:4" x14ac:dyDescent="0.3">
      <c r="C34" s="14"/>
      <c r="D34" s="14"/>
    </row>
    <row r="35" spans="2:4" x14ac:dyDescent="0.3">
      <c r="B35" s="386" t="s">
        <v>476</v>
      </c>
      <c r="C35" s="70"/>
      <c r="D35" s="70"/>
    </row>
    <row r="36" spans="2:4" x14ac:dyDescent="0.3">
      <c r="B36" s="386" t="s">
        <v>477</v>
      </c>
      <c r="C36" s="70"/>
      <c r="D36" s="70"/>
    </row>
    <row r="37" spans="2:4" x14ac:dyDescent="0.3">
      <c r="B37" s="386" t="s">
        <v>478</v>
      </c>
      <c r="C37" s="70"/>
      <c r="D37" s="70"/>
    </row>
    <row r="38" spans="2:4" ht="15" customHeight="1" thickBot="1" x14ac:dyDescent="0.35">
      <c r="C38" s="67">
        <f>SUM(C35:C37)</f>
        <v>0</v>
      </c>
      <c r="D38" s="67">
        <f>SUM(D35:D37)</f>
        <v>0</v>
      </c>
    </row>
    <row r="39" spans="2:4" ht="15" customHeight="1" thickTop="1" x14ac:dyDescent="0.3"/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C1:G23"/>
  <sheetViews>
    <sheetView showGridLines="0" topLeftCell="B1" zoomScale="90" zoomScaleNormal="90" workbookViewId="0">
      <selection activeCell="C17" sqref="C17"/>
    </sheetView>
  </sheetViews>
  <sheetFormatPr baseColWidth="10" defaultRowHeight="14.4" x14ac:dyDescent="0.3"/>
  <cols>
    <col min="3" max="3" width="35.44140625" bestFit="1" customWidth="1"/>
    <col min="4" max="4" width="22.109375" customWidth="1"/>
    <col min="5" max="5" width="11.5546875" customWidth="1"/>
    <col min="6" max="6" width="13" customWidth="1"/>
    <col min="8" max="8" width="11.6640625" bestFit="1" customWidth="1"/>
  </cols>
  <sheetData>
    <row r="1" spans="3:7" x14ac:dyDescent="0.3">
      <c r="C1" s="457" t="s">
        <v>643</v>
      </c>
    </row>
    <row r="2" spans="3:7" x14ac:dyDescent="0.3">
      <c r="C2" s="387" t="s">
        <v>479</v>
      </c>
      <c r="E2" s="24"/>
      <c r="F2" s="24"/>
    </row>
    <row r="3" spans="3:7" x14ac:dyDescent="0.3">
      <c r="E3" s="72" t="s">
        <v>0</v>
      </c>
      <c r="F3" s="72" t="s">
        <v>141</v>
      </c>
    </row>
    <row r="4" spans="3:7" x14ac:dyDescent="0.3">
      <c r="C4" s="32"/>
      <c r="D4" s="32"/>
      <c r="E4" s="14" t="s">
        <v>6</v>
      </c>
      <c r="F4" s="14" t="s">
        <v>6</v>
      </c>
    </row>
    <row r="5" spans="3:7" x14ac:dyDescent="0.3">
      <c r="C5" s="32"/>
      <c r="D5" s="32"/>
      <c r="E5" s="14"/>
      <c r="F5" s="14"/>
    </row>
    <row r="6" spans="3:7" x14ac:dyDescent="0.3">
      <c r="C6" s="110" t="s">
        <v>449</v>
      </c>
      <c r="D6" s="110" t="s">
        <v>64</v>
      </c>
      <c r="E6" s="53"/>
      <c r="F6" s="53"/>
      <c r="G6" s="28"/>
    </row>
    <row r="7" spans="3:7" x14ac:dyDescent="0.3">
      <c r="C7" s="110" t="s">
        <v>480</v>
      </c>
      <c r="D7" s="110" t="s">
        <v>64</v>
      </c>
      <c r="E7" s="53"/>
      <c r="F7" s="53"/>
      <c r="G7" s="28"/>
    </row>
    <row r="8" spans="3:7" x14ac:dyDescent="0.3">
      <c r="C8" s="110" t="s">
        <v>481</v>
      </c>
      <c r="D8" s="110" t="s">
        <v>64</v>
      </c>
      <c r="E8" s="53"/>
      <c r="F8" s="53"/>
      <c r="G8" s="28"/>
    </row>
    <row r="9" spans="3:7" x14ac:dyDescent="0.3">
      <c r="C9" s="110" t="s">
        <v>482</v>
      </c>
      <c r="D9" s="110" t="s">
        <v>64</v>
      </c>
      <c r="E9" s="53"/>
      <c r="F9" s="53"/>
      <c r="G9" s="28"/>
    </row>
    <row r="10" spans="3:7" x14ac:dyDescent="0.3">
      <c r="C10" s="233" t="s">
        <v>483</v>
      </c>
      <c r="D10" s="110" t="s">
        <v>64</v>
      </c>
      <c r="E10" s="53"/>
      <c r="F10" s="53"/>
      <c r="G10" s="28"/>
    </row>
    <row r="11" spans="3:7" x14ac:dyDescent="0.3">
      <c r="C11" s="233" t="s">
        <v>484</v>
      </c>
      <c r="D11" s="110" t="s">
        <v>64</v>
      </c>
      <c r="E11" s="53"/>
      <c r="F11" s="53"/>
      <c r="G11" s="28"/>
    </row>
    <row r="12" spans="3:7" ht="15" customHeight="1" thickBot="1" x14ac:dyDescent="0.35">
      <c r="C12" s="110" t="s">
        <v>485</v>
      </c>
      <c r="D12" s="110" t="s">
        <v>64</v>
      </c>
      <c r="E12" s="52"/>
      <c r="F12" s="52"/>
    </row>
    <row r="13" spans="3:7" ht="15" customHeight="1" thickBot="1" x14ac:dyDescent="0.35">
      <c r="C13" s="110" t="s">
        <v>486</v>
      </c>
      <c r="D13" s="110"/>
      <c r="E13" s="52">
        <f>SUM(E6:E12)</f>
        <v>0</v>
      </c>
      <c r="F13" s="52">
        <f>SUM(F6:F12)</f>
        <v>0</v>
      </c>
    </row>
    <row r="14" spans="3:7" x14ac:dyDescent="0.3">
      <c r="E14" s="28"/>
      <c r="F14" s="28"/>
    </row>
    <row r="16" spans="3:7" x14ac:dyDescent="0.3">
      <c r="C16" s="457" t="s">
        <v>644</v>
      </c>
    </row>
    <row r="17" spans="3:6" x14ac:dyDescent="0.3">
      <c r="C17" s="387" t="s">
        <v>487</v>
      </c>
      <c r="E17" s="24"/>
      <c r="F17" s="24"/>
    </row>
    <row r="18" spans="3:6" x14ac:dyDescent="0.3">
      <c r="C18" s="559"/>
      <c r="D18" s="33"/>
      <c r="E18" s="72" t="s">
        <v>0</v>
      </c>
      <c r="F18" s="72" t="s">
        <v>141</v>
      </c>
    </row>
    <row r="19" spans="3:6" x14ac:dyDescent="0.3">
      <c r="C19" s="533"/>
      <c r="D19" s="393" t="s">
        <v>69</v>
      </c>
      <c r="E19" s="14" t="s">
        <v>6</v>
      </c>
      <c r="F19" s="14" t="s">
        <v>6</v>
      </c>
    </row>
    <row r="20" spans="3:6" x14ac:dyDescent="0.3">
      <c r="C20" s="533"/>
      <c r="D20" s="111"/>
      <c r="E20" s="14"/>
      <c r="F20" s="14"/>
    </row>
    <row r="21" spans="3:6" x14ac:dyDescent="0.3">
      <c r="C21" s="110" t="s">
        <v>488</v>
      </c>
      <c r="D21" s="394" t="s">
        <v>222</v>
      </c>
      <c r="E21" s="53"/>
      <c r="F21" s="53"/>
    </row>
    <row r="22" spans="3:6" ht="15" customHeight="1" thickBot="1" x14ac:dyDescent="0.35">
      <c r="C22" s="110" t="s">
        <v>198</v>
      </c>
      <c r="D22" s="394" t="s">
        <v>222</v>
      </c>
      <c r="E22" s="52"/>
      <c r="F22" s="52"/>
    </row>
    <row r="23" spans="3:6" ht="15" customHeight="1" thickBot="1" x14ac:dyDescent="0.35">
      <c r="C23" s="110" t="s">
        <v>489</v>
      </c>
      <c r="D23" s="33"/>
      <c r="E23" s="52">
        <f>SUM(E21:E22)</f>
        <v>0</v>
      </c>
      <c r="F23" s="52">
        <f>SUM(F21:F22)</f>
        <v>0</v>
      </c>
    </row>
  </sheetData>
  <mergeCells count="1">
    <mergeCell ref="C18:C2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B1:D26"/>
  <sheetViews>
    <sheetView showGridLines="0" zoomScale="80" zoomScaleNormal="80" workbookViewId="0">
      <selection activeCell="C18" sqref="C18"/>
    </sheetView>
  </sheetViews>
  <sheetFormatPr baseColWidth="10" defaultRowHeight="14.4" x14ac:dyDescent="0.3"/>
  <cols>
    <col min="2" max="2" width="42.109375" customWidth="1"/>
    <col min="3" max="3" width="13.109375" customWidth="1"/>
    <col min="4" max="4" width="12.77734375" customWidth="1"/>
    <col min="5" max="5" width="3.109375" customWidth="1"/>
  </cols>
  <sheetData>
    <row r="1" spans="2:4" x14ac:dyDescent="0.3">
      <c r="B1" s="457" t="s">
        <v>645</v>
      </c>
    </row>
    <row r="2" spans="2:4" x14ac:dyDescent="0.3">
      <c r="B2" s="387" t="s">
        <v>455</v>
      </c>
      <c r="C2" s="24"/>
      <c r="D2" s="24"/>
    </row>
    <row r="4" spans="2:4" x14ac:dyDescent="0.3">
      <c r="B4" s="17"/>
      <c r="C4" s="72" t="s">
        <v>0</v>
      </c>
      <c r="D4" s="72" t="s">
        <v>141</v>
      </c>
    </row>
    <row r="5" spans="2:4" x14ac:dyDescent="0.3">
      <c r="B5" s="17"/>
      <c r="C5" s="118" t="s">
        <v>6</v>
      </c>
      <c r="D5" s="118" t="s">
        <v>6</v>
      </c>
    </row>
    <row r="6" spans="2:4" x14ac:dyDescent="0.3">
      <c r="B6" s="17"/>
      <c r="C6" s="33"/>
      <c r="D6" s="33"/>
    </row>
    <row r="7" spans="2:4" x14ac:dyDescent="0.3">
      <c r="B7" s="233" t="s">
        <v>490</v>
      </c>
      <c r="C7" s="53"/>
      <c r="D7" s="45"/>
    </row>
    <row r="8" spans="2:4" x14ac:dyDescent="0.3">
      <c r="B8" s="233" t="s">
        <v>491</v>
      </c>
      <c r="C8" s="53"/>
      <c r="D8" s="45"/>
    </row>
    <row r="9" spans="2:4" x14ac:dyDescent="0.3">
      <c r="B9" s="233" t="s">
        <v>492</v>
      </c>
      <c r="C9" s="53"/>
      <c r="D9" s="45"/>
    </row>
    <row r="10" spans="2:4" x14ac:dyDescent="0.3">
      <c r="B10" s="233" t="s">
        <v>493</v>
      </c>
      <c r="C10" s="53"/>
      <c r="D10" s="45"/>
    </row>
    <row r="11" spans="2:4" x14ac:dyDescent="0.3">
      <c r="B11" s="233" t="s">
        <v>494</v>
      </c>
      <c r="C11" s="53"/>
      <c r="D11" s="53"/>
    </row>
    <row r="12" spans="2:4" x14ac:dyDescent="0.3">
      <c r="B12" s="233" t="s">
        <v>495</v>
      </c>
      <c r="C12" s="53"/>
      <c r="D12" s="53"/>
    </row>
    <row r="13" spans="2:4" x14ac:dyDescent="0.3">
      <c r="B13" s="233" t="s">
        <v>496</v>
      </c>
      <c r="C13" s="53"/>
      <c r="D13" s="53"/>
    </row>
    <row r="14" spans="2:4" x14ac:dyDescent="0.3">
      <c r="B14" s="233" t="s">
        <v>497</v>
      </c>
      <c r="C14" s="45"/>
      <c r="D14" s="45"/>
    </row>
    <row r="15" spans="2:4" ht="15" customHeight="1" thickBot="1" x14ac:dyDescent="0.35">
      <c r="B15" s="233" t="s">
        <v>498</v>
      </c>
      <c r="C15" s="46"/>
      <c r="D15" s="46"/>
    </row>
    <row r="16" spans="2:4" ht="15" customHeight="1" thickBot="1" x14ac:dyDescent="0.35">
      <c r="B16" s="233" t="s">
        <v>499</v>
      </c>
      <c r="C16" s="46">
        <f>SUM(C7:C15)</f>
        <v>0</v>
      </c>
      <c r="D16" s="46">
        <f>SUM(D7:D15)</f>
        <v>0</v>
      </c>
    </row>
    <row r="17" spans="2:4" ht="20.100000000000001" customHeight="1" x14ac:dyDescent="0.3">
      <c r="C17" s="28"/>
      <c r="D17" s="28"/>
    </row>
    <row r="18" spans="2:4" x14ac:dyDescent="0.3">
      <c r="D18" s="28"/>
    </row>
    <row r="19" spans="2:4" x14ac:dyDescent="0.3">
      <c r="B19" s="457" t="s">
        <v>646</v>
      </c>
    </row>
    <row r="20" spans="2:4" x14ac:dyDescent="0.3">
      <c r="B20" s="387" t="s">
        <v>454</v>
      </c>
      <c r="C20" s="24"/>
      <c r="D20" s="24"/>
    </row>
    <row r="21" spans="2:4" x14ac:dyDescent="0.3">
      <c r="B21" s="558"/>
      <c r="C21" s="72" t="s">
        <v>0</v>
      </c>
      <c r="D21" s="72" t="s">
        <v>141</v>
      </c>
    </row>
    <row r="22" spans="2:4" x14ac:dyDescent="0.3">
      <c r="B22" s="533"/>
      <c r="C22" s="33" t="s">
        <v>6</v>
      </c>
      <c r="D22" s="33" t="s">
        <v>6</v>
      </c>
    </row>
    <row r="23" spans="2:4" x14ac:dyDescent="0.3">
      <c r="B23" s="233" t="s">
        <v>500</v>
      </c>
      <c r="C23" s="53">
        <v>0</v>
      </c>
      <c r="D23" s="53">
        <v>0</v>
      </c>
    </row>
    <row r="24" spans="2:4" ht="23.4" customHeight="1" thickBot="1" x14ac:dyDescent="0.35">
      <c r="B24" s="233" t="s">
        <v>501</v>
      </c>
      <c r="C24" s="53"/>
      <c r="D24" s="53"/>
    </row>
    <row r="25" spans="2:4" ht="15" customHeight="1" thickBot="1" x14ac:dyDescent="0.35">
      <c r="B25" s="233" t="s">
        <v>62</v>
      </c>
      <c r="C25" s="68">
        <f>SUM(C23:C24)</f>
        <v>0</v>
      </c>
      <c r="D25" s="68">
        <f>SUM(D23:D24)</f>
        <v>0</v>
      </c>
    </row>
    <row r="26" spans="2:4" x14ac:dyDescent="0.3">
      <c r="B26" s="54"/>
    </row>
  </sheetData>
  <mergeCells count="1">
    <mergeCell ref="B21:B2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</sheetPr>
  <dimension ref="B1:AN12"/>
  <sheetViews>
    <sheetView showGridLines="0" workbookViewId="0">
      <selection activeCell="C1" sqref="C1:E1048576"/>
    </sheetView>
  </sheetViews>
  <sheetFormatPr baseColWidth="10" defaultRowHeight="14.4" x14ac:dyDescent="0.3"/>
  <cols>
    <col min="2" max="2" width="36" customWidth="1"/>
    <col min="3" max="3" width="13.5546875" customWidth="1"/>
    <col min="4" max="5" width="13.6640625" customWidth="1"/>
    <col min="6" max="13" width="11.5546875" customWidth="1"/>
    <col min="14" max="14" width="14.77734375" customWidth="1"/>
    <col min="15" max="38" width="13" hidden="1" customWidth="1"/>
    <col min="39" max="39" width="12" customWidth="1"/>
  </cols>
  <sheetData>
    <row r="1" spans="2:40" x14ac:dyDescent="0.3">
      <c r="B1" s="5" t="s">
        <v>649</v>
      </c>
    </row>
    <row r="2" spans="2:40" x14ac:dyDescent="0.3">
      <c r="B2" s="457" t="s">
        <v>647</v>
      </c>
    </row>
    <row r="3" spans="2:40" x14ac:dyDescent="0.3">
      <c r="C3" s="72" t="s">
        <v>0</v>
      </c>
      <c r="D3" s="72" t="s">
        <v>141</v>
      </c>
    </row>
    <row r="4" spans="2:40" x14ac:dyDescent="0.3">
      <c r="C4" s="14" t="s">
        <v>6</v>
      </c>
      <c r="D4" s="14" t="s">
        <v>6</v>
      </c>
    </row>
    <row r="5" spans="2:40" x14ac:dyDescent="0.3">
      <c r="C5" s="14"/>
      <c r="D5" s="33"/>
    </row>
    <row r="6" spans="2:40" x14ac:dyDescent="0.3">
      <c r="B6" s="233" t="s">
        <v>502</v>
      </c>
      <c r="C6" s="53"/>
      <c r="D6" s="53"/>
    </row>
    <row r="7" spans="2:40" x14ac:dyDescent="0.3">
      <c r="B7" s="233" t="s">
        <v>503</v>
      </c>
      <c r="C7" s="53"/>
      <c r="D7" s="53"/>
    </row>
    <row r="8" spans="2:40" x14ac:dyDescent="0.3">
      <c r="B8" s="233" t="s">
        <v>504</v>
      </c>
      <c r="C8" s="53"/>
      <c r="D8" s="53"/>
    </row>
    <row r="9" spans="2:40" x14ac:dyDescent="0.3">
      <c r="B9" s="233" t="s">
        <v>505</v>
      </c>
      <c r="C9" s="53"/>
      <c r="D9" s="53"/>
    </row>
    <row r="10" spans="2:40" x14ac:dyDescent="0.3">
      <c r="B10" s="233" t="s">
        <v>506</v>
      </c>
      <c r="C10" s="53"/>
      <c r="D10" s="53"/>
    </row>
    <row r="11" spans="2:40" ht="15" customHeight="1" thickBot="1" x14ac:dyDescent="0.35">
      <c r="B11" s="233" t="s">
        <v>507</v>
      </c>
      <c r="C11" s="52"/>
      <c r="D11" s="52"/>
      <c r="AN11" s="166"/>
    </row>
    <row r="12" spans="2:40" ht="15" customHeight="1" thickBot="1" x14ac:dyDescent="0.35">
      <c r="B12" s="233" t="s">
        <v>62</v>
      </c>
      <c r="C12" s="51" t="str">
        <f ca="1">SUM(C6:C12)</f>
        <v/>
      </c>
      <c r="D12" s="51" t="str">
        <f ca="1">SUM(D6:D12)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</sheetPr>
  <dimension ref="B3:D13"/>
  <sheetViews>
    <sheetView showGridLines="0" workbookViewId="0">
      <selection activeCell="B4" sqref="B4"/>
    </sheetView>
  </sheetViews>
  <sheetFormatPr baseColWidth="10" defaultRowHeight="14.4" x14ac:dyDescent="0.3"/>
  <cols>
    <col min="2" max="2" width="40.33203125" customWidth="1"/>
    <col min="3" max="3" width="13.77734375" customWidth="1"/>
    <col min="4" max="4" width="12.21875" customWidth="1"/>
  </cols>
  <sheetData>
    <row r="3" spans="2:4" x14ac:dyDescent="0.3">
      <c r="B3" s="5" t="s">
        <v>453</v>
      </c>
    </row>
    <row r="4" spans="2:4" x14ac:dyDescent="0.3">
      <c r="B4" s="457" t="s">
        <v>648</v>
      </c>
    </row>
    <row r="5" spans="2:4" x14ac:dyDescent="0.3">
      <c r="B5" s="558"/>
      <c r="C5" s="72" t="s">
        <v>141</v>
      </c>
      <c r="D5" s="72" t="s">
        <v>141</v>
      </c>
    </row>
    <row r="6" spans="2:4" x14ac:dyDescent="0.3">
      <c r="B6" s="533"/>
      <c r="C6" s="14" t="s">
        <v>6</v>
      </c>
      <c r="D6" s="33" t="s">
        <v>6</v>
      </c>
    </row>
    <row r="7" spans="2:4" x14ac:dyDescent="0.3">
      <c r="B7" s="1"/>
      <c r="C7" s="14"/>
      <c r="D7" s="33"/>
    </row>
    <row r="8" spans="2:4" x14ac:dyDescent="0.3">
      <c r="B8" s="233" t="s">
        <v>508</v>
      </c>
      <c r="C8" s="53"/>
      <c r="D8" s="53"/>
    </row>
    <row r="9" spans="2:4" x14ac:dyDescent="0.3">
      <c r="B9" s="233" t="s">
        <v>509</v>
      </c>
      <c r="C9" s="53"/>
      <c r="D9" s="53"/>
    </row>
    <row r="10" spans="2:4" x14ac:dyDescent="0.3">
      <c r="B10" s="233" t="s">
        <v>510</v>
      </c>
      <c r="C10" s="53"/>
      <c r="D10" s="53"/>
    </row>
    <row r="11" spans="2:4" x14ac:dyDescent="0.3">
      <c r="B11" s="233" t="s">
        <v>511</v>
      </c>
      <c r="C11" s="53"/>
      <c r="D11" s="53"/>
    </row>
    <row r="12" spans="2:4" ht="15" customHeight="1" thickBot="1" x14ac:dyDescent="0.35">
      <c r="B12" s="233" t="s">
        <v>512</v>
      </c>
      <c r="C12" s="52"/>
      <c r="D12" s="52"/>
    </row>
    <row r="13" spans="2:4" ht="15" customHeight="1" thickBot="1" x14ac:dyDescent="0.35">
      <c r="B13" s="233" t="s">
        <v>62</v>
      </c>
      <c r="C13" s="51">
        <f>SUM(C8:C12)</f>
        <v>0</v>
      </c>
      <c r="D13" s="51">
        <f>SUM(D8:D12)</f>
        <v>0</v>
      </c>
    </row>
  </sheetData>
  <mergeCells count="1">
    <mergeCell ref="B5:B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2:J43"/>
  <sheetViews>
    <sheetView showGridLines="0" workbookViewId="0">
      <selection activeCell="H26" sqref="H26"/>
    </sheetView>
  </sheetViews>
  <sheetFormatPr baseColWidth="10" defaultColWidth="8.88671875" defaultRowHeight="14.4" x14ac:dyDescent="0.3"/>
  <cols>
    <col min="1" max="1" width="11.5546875" customWidth="1"/>
    <col min="2" max="2" width="27.6640625" customWidth="1"/>
    <col min="3" max="3" width="10" customWidth="1"/>
    <col min="4" max="4" width="10.77734375" customWidth="1"/>
    <col min="5" max="5" width="10" customWidth="1"/>
    <col min="6" max="6" width="9.77734375" bestFit="1" customWidth="1"/>
    <col min="7" max="7" width="11.5546875" customWidth="1"/>
  </cols>
  <sheetData>
    <row r="2" spans="2:10" x14ac:dyDescent="0.3">
      <c r="B2" s="457" t="s">
        <v>650</v>
      </c>
    </row>
    <row r="3" spans="2:10" x14ac:dyDescent="0.3">
      <c r="B3" s="442" t="s">
        <v>529</v>
      </c>
    </row>
    <row r="5" spans="2:10" x14ac:dyDescent="0.3">
      <c r="B5" s="316"/>
      <c r="C5" s="317"/>
      <c r="D5" s="317">
        <v>2026</v>
      </c>
      <c r="E5" s="317"/>
      <c r="F5" s="317"/>
      <c r="G5" s="317"/>
      <c r="H5" s="317">
        <v>2025</v>
      </c>
      <c r="I5" s="317"/>
      <c r="J5" s="317"/>
    </row>
    <row r="6" spans="2:10" x14ac:dyDescent="0.3">
      <c r="B6" s="316"/>
      <c r="C6" s="443" t="s">
        <v>530</v>
      </c>
      <c r="D6" s="443" t="s">
        <v>528</v>
      </c>
      <c r="E6" s="443" t="s">
        <v>531</v>
      </c>
      <c r="F6" s="318" t="s">
        <v>62</v>
      </c>
      <c r="G6" s="443" t="s">
        <v>530</v>
      </c>
      <c r="H6" s="443" t="s">
        <v>528</v>
      </c>
      <c r="I6" s="443" t="s">
        <v>531</v>
      </c>
      <c r="J6" s="318" t="s">
        <v>62</v>
      </c>
    </row>
    <row r="7" spans="2:10" x14ac:dyDescent="0.3">
      <c r="B7" s="316"/>
      <c r="C7" s="319" t="s">
        <v>6</v>
      </c>
      <c r="D7" s="319" t="s">
        <v>6</v>
      </c>
      <c r="E7" s="319" t="s">
        <v>6</v>
      </c>
      <c r="F7" s="319" t="s">
        <v>6</v>
      </c>
      <c r="G7" s="319" t="s">
        <v>6</v>
      </c>
      <c r="H7" s="319" t="s">
        <v>6</v>
      </c>
      <c r="I7" s="319" t="s">
        <v>6</v>
      </c>
      <c r="J7" s="319" t="s">
        <v>6</v>
      </c>
    </row>
    <row r="8" spans="2:10" x14ac:dyDescent="0.3">
      <c r="B8" s="316"/>
      <c r="C8" s="316"/>
      <c r="D8" s="316"/>
      <c r="E8" s="316"/>
      <c r="F8" s="316"/>
      <c r="G8" s="316"/>
      <c r="H8" s="316"/>
      <c r="I8" s="316"/>
      <c r="J8" s="316"/>
    </row>
    <row r="9" spans="2:10" x14ac:dyDescent="0.3">
      <c r="B9" s="444" t="s">
        <v>449</v>
      </c>
      <c r="C9" s="321">
        <v>0</v>
      </c>
      <c r="D9" s="321">
        <v>0</v>
      </c>
      <c r="E9" s="321">
        <v>0</v>
      </c>
      <c r="F9" s="321">
        <f>+C9+D9+E9</f>
        <v>0</v>
      </c>
      <c r="G9" s="321">
        <v>0</v>
      </c>
      <c r="H9" s="321">
        <v>0</v>
      </c>
      <c r="I9" s="321">
        <v>0</v>
      </c>
      <c r="J9" s="321">
        <f>+G9+H9+I9</f>
        <v>0</v>
      </c>
    </row>
    <row r="10" spans="2:10" ht="19.2" customHeight="1" x14ac:dyDescent="0.3">
      <c r="B10" s="444" t="s">
        <v>532</v>
      </c>
      <c r="C10" s="321">
        <v>0</v>
      </c>
      <c r="D10" s="321">
        <v>0</v>
      </c>
      <c r="E10" s="321">
        <v>0</v>
      </c>
      <c r="F10" s="321">
        <f t="shared" ref="F10:F19" si="0">+C10+D10+E10</f>
        <v>0</v>
      </c>
      <c r="G10" s="321">
        <v>0</v>
      </c>
      <c r="H10" s="321">
        <v>0</v>
      </c>
      <c r="I10" s="321">
        <v>0</v>
      </c>
      <c r="J10" s="321">
        <f t="shared" ref="J10:J19" si="1">+G10+H10+I10</f>
        <v>0</v>
      </c>
    </row>
    <row r="11" spans="2:10" x14ac:dyDescent="0.3">
      <c r="B11" s="444" t="s">
        <v>533</v>
      </c>
      <c r="C11" s="321">
        <v>0</v>
      </c>
      <c r="D11" s="321">
        <v>0</v>
      </c>
      <c r="E11" s="321">
        <v>0</v>
      </c>
      <c r="F11" s="321">
        <f t="shared" si="0"/>
        <v>0</v>
      </c>
      <c r="G11" s="321">
        <v>0</v>
      </c>
      <c r="H11" s="321">
        <v>0</v>
      </c>
      <c r="I11" s="321">
        <v>0</v>
      </c>
      <c r="J11" s="321">
        <f t="shared" si="1"/>
        <v>0</v>
      </c>
    </row>
    <row r="12" spans="2:10" x14ac:dyDescent="0.3">
      <c r="B12" s="444" t="s">
        <v>534</v>
      </c>
      <c r="C12" s="321">
        <v>0</v>
      </c>
      <c r="D12" s="321">
        <v>0</v>
      </c>
      <c r="E12" s="321">
        <v>0</v>
      </c>
      <c r="F12" s="321">
        <f t="shared" si="0"/>
        <v>0</v>
      </c>
      <c r="G12" s="321">
        <v>0</v>
      </c>
      <c r="H12" s="321">
        <v>0</v>
      </c>
      <c r="I12" s="321">
        <v>0</v>
      </c>
      <c r="J12" s="321">
        <f t="shared" si="1"/>
        <v>0</v>
      </c>
    </row>
    <row r="13" spans="2:10" ht="19.2" customHeight="1" x14ac:dyDescent="0.3">
      <c r="B13" s="444" t="s">
        <v>535</v>
      </c>
      <c r="C13" s="321">
        <v>0</v>
      </c>
      <c r="D13" s="321">
        <v>0</v>
      </c>
      <c r="E13" s="321">
        <v>0</v>
      </c>
      <c r="F13" s="321">
        <f t="shared" si="0"/>
        <v>0</v>
      </c>
      <c r="G13" s="321">
        <v>0</v>
      </c>
      <c r="H13" s="321">
        <v>0</v>
      </c>
      <c r="I13" s="321">
        <v>0</v>
      </c>
      <c r="J13" s="321">
        <f t="shared" si="1"/>
        <v>0</v>
      </c>
    </row>
    <row r="14" spans="2:10" x14ac:dyDescent="0.3">
      <c r="B14" s="320"/>
      <c r="C14" s="321">
        <v>0</v>
      </c>
      <c r="D14" s="321">
        <v>0</v>
      </c>
      <c r="E14" s="321">
        <v>0</v>
      </c>
      <c r="F14" s="321">
        <f t="shared" si="0"/>
        <v>0</v>
      </c>
      <c r="G14" s="321">
        <v>0</v>
      </c>
      <c r="H14" s="321">
        <v>0</v>
      </c>
      <c r="I14" s="321">
        <v>0</v>
      </c>
      <c r="J14" s="321">
        <f t="shared" si="1"/>
        <v>0</v>
      </c>
    </row>
    <row r="15" spans="2:10" x14ac:dyDescent="0.3">
      <c r="B15" s="444" t="s">
        <v>536</v>
      </c>
      <c r="C15" s="321">
        <v>0</v>
      </c>
      <c r="D15" s="321">
        <v>0</v>
      </c>
      <c r="E15" s="321">
        <v>0</v>
      </c>
      <c r="F15" s="321">
        <f t="shared" si="0"/>
        <v>0</v>
      </c>
      <c r="G15" s="321">
        <v>0</v>
      </c>
      <c r="H15" s="321">
        <v>0</v>
      </c>
      <c r="I15" s="321">
        <v>0</v>
      </c>
      <c r="J15" s="321">
        <f t="shared" si="1"/>
        <v>0</v>
      </c>
    </row>
    <row r="16" spans="2:10" x14ac:dyDescent="0.3">
      <c r="B16" s="444" t="s">
        <v>537</v>
      </c>
      <c r="C16" s="321">
        <v>0</v>
      </c>
      <c r="D16" s="321">
        <v>0</v>
      </c>
      <c r="E16" s="321">
        <v>0</v>
      </c>
      <c r="F16" s="321">
        <f t="shared" si="0"/>
        <v>0</v>
      </c>
      <c r="G16" s="321">
        <v>0</v>
      </c>
      <c r="H16" s="321">
        <v>0</v>
      </c>
      <c r="I16" s="321">
        <v>0</v>
      </c>
      <c r="J16" s="321">
        <f t="shared" si="1"/>
        <v>0</v>
      </c>
    </row>
    <row r="17" spans="2:10" x14ac:dyDescent="0.3">
      <c r="B17" s="320"/>
      <c r="C17" s="321">
        <v>0</v>
      </c>
      <c r="D17" s="321">
        <v>0</v>
      </c>
      <c r="E17" s="321">
        <v>0</v>
      </c>
      <c r="F17" s="321">
        <f t="shared" si="0"/>
        <v>0</v>
      </c>
      <c r="G17" s="321">
        <v>0</v>
      </c>
      <c r="H17" s="321">
        <v>0</v>
      </c>
      <c r="I17" s="321">
        <v>0</v>
      </c>
      <c r="J17" s="321">
        <f t="shared" si="1"/>
        <v>0</v>
      </c>
    </row>
    <row r="18" spans="2:10" x14ac:dyDescent="0.3">
      <c r="B18" s="444" t="s">
        <v>538</v>
      </c>
      <c r="C18" s="321">
        <v>0</v>
      </c>
      <c r="D18" s="321">
        <v>0</v>
      </c>
      <c r="E18" s="321">
        <v>0</v>
      </c>
      <c r="F18" s="321">
        <f t="shared" si="0"/>
        <v>0</v>
      </c>
      <c r="G18" s="321">
        <v>0</v>
      </c>
      <c r="H18" s="321">
        <v>0</v>
      </c>
      <c r="I18" s="321">
        <v>0</v>
      </c>
      <c r="J18" s="321">
        <f t="shared" si="1"/>
        <v>0</v>
      </c>
    </row>
    <row r="19" spans="2:10" x14ac:dyDescent="0.3">
      <c r="B19" s="444" t="s">
        <v>539</v>
      </c>
      <c r="C19" s="321">
        <v>0</v>
      </c>
      <c r="D19" s="321">
        <v>0</v>
      </c>
      <c r="E19" s="321">
        <v>0</v>
      </c>
      <c r="F19" s="321">
        <f t="shared" si="0"/>
        <v>0</v>
      </c>
      <c r="G19" s="321">
        <v>0</v>
      </c>
      <c r="H19" s="321">
        <v>0</v>
      </c>
      <c r="I19" s="321">
        <v>0</v>
      </c>
      <c r="J19" s="321">
        <f t="shared" si="1"/>
        <v>0</v>
      </c>
    </row>
    <row r="20" spans="2:10" x14ac:dyDescent="0.3">
      <c r="B20" s="320"/>
      <c r="C20" s="322"/>
      <c r="D20" s="322"/>
      <c r="E20" s="322"/>
      <c r="F20" s="322"/>
      <c r="G20" s="322"/>
      <c r="H20" s="322"/>
      <c r="I20" s="322"/>
      <c r="J20" s="322"/>
    </row>
    <row r="23" spans="2:10" x14ac:dyDescent="0.3">
      <c r="B23" s="457" t="s">
        <v>651</v>
      </c>
    </row>
    <row r="24" spans="2:10" x14ac:dyDescent="0.3">
      <c r="B24" s="442" t="s">
        <v>540</v>
      </c>
    </row>
    <row r="25" spans="2:10" x14ac:dyDescent="0.3">
      <c r="B25" s="316"/>
      <c r="C25" s="317"/>
      <c r="D25" s="317">
        <v>2026</v>
      </c>
      <c r="E25" s="317"/>
      <c r="F25" s="317"/>
      <c r="G25" s="317"/>
      <c r="H25" s="317">
        <v>2025</v>
      </c>
      <c r="I25" s="317"/>
      <c r="J25" s="317"/>
    </row>
    <row r="26" spans="2:10" x14ac:dyDescent="0.3">
      <c r="B26" s="316"/>
      <c r="C26" s="443" t="s">
        <v>530</v>
      </c>
      <c r="D26" s="443" t="s">
        <v>528</v>
      </c>
      <c r="E26" s="443" t="s">
        <v>531</v>
      </c>
      <c r="F26" s="318" t="s">
        <v>62</v>
      </c>
      <c r="G26" s="443" t="s">
        <v>530</v>
      </c>
      <c r="H26" s="443" t="s">
        <v>528</v>
      </c>
      <c r="I26" s="443" t="s">
        <v>531</v>
      </c>
      <c r="J26" s="318" t="s">
        <v>62</v>
      </c>
    </row>
    <row r="27" spans="2:10" x14ac:dyDescent="0.3">
      <c r="B27" s="316"/>
      <c r="C27" s="319" t="s">
        <v>6</v>
      </c>
      <c r="D27" s="319" t="s">
        <v>6</v>
      </c>
      <c r="E27" s="319" t="s">
        <v>6</v>
      </c>
      <c r="F27" s="319" t="s">
        <v>6</v>
      </c>
      <c r="G27" s="319" t="s">
        <v>6</v>
      </c>
      <c r="H27" s="319" t="s">
        <v>6</v>
      </c>
      <c r="I27" s="319" t="s">
        <v>6</v>
      </c>
      <c r="J27" s="319" t="s">
        <v>6</v>
      </c>
    </row>
    <row r="28" spans="2:10" x14ac:dyDescent="0.3">
      <c r="B28" s="445" t="s">
        <v>541</v>
      </c>
      <c r="C28" s="316"/>
      <c r="D28" s="316"/>
      <c r="E28" s="316"/>
      <c r="F28" s="316"/>
      <c r="G28" s="316"/>
      <c r="H28" s="316"/>
      <c r="I28" s="316"/>
      <c r="J28" s="316"/>
    </row>
    <row r="29" spans="2:10" x14ac:dyDescent="0.3">
      <c r="B29" s="444" t="s">
        <v>451</v>
      </c>
      <c r="C29" s="321">
        <v>0</v>
      </c>
      <c r="D29" s="321">
        <v>0</v>
      </c>
      <c r="E29" s="321">
        <v>0</v>
      </c>
      <c r="F29" s="321">
        <f>+C29+D29+E29</f>
        <v>0</v>
      </c>
      <c r="G29" s="321">
        <v>0</v>
      </c>
      <c r="H29" s="321">
        <v>0</v>
      </c>
      <c r="I29" s="321">
        <v>0</v>
      </c>
      <c r="J29" s="321">
        <f>+G29+H29+I29</f>
        <v>0</v>
      </c>
    </row>
    <row r="30" spans="2:10" x14ac:dyDescent="0.3">
      <c r="B30" s="444" t="s">
        <v>452</v>
      </c>
      <c r="C30" s="321">
        <v>0</v>
      </c>
      <c r="D30" s="321">
        <v>0</v>
      </c>
      <c r="E30" s="321">
        <v>0</v>
      </c>
      <c r="F30" s="321">
        <f>+C30+D30+E30</f>
        <v>0</v>
      </c>
      <c r="G30" s="321">
        <v>0</v>
      </c>
      <c r="H30" s="321">
        <v>0</v>
      </c>
      <c r="I30" s="321">
        <v>0</v>
      </c>
      <c r="J30" s="321">
        <f>+G30+H30+I30</f>
        <v>0</v>
      </c>
    </row>
    <row r="31" spans="2:10" x14ac:dyDescent="0.3">
      <c r="B31" s="444" t="s">
        <v>542</v>
      </c>
      <c r="C31" s="323">
        <f>SUM(C29:C30)</f>
        <v>0</v>
      </c>
      <c r="D31" s="323">
        <f t="shared" ref="D31:F31" si="2">SUM(D29:D30)</f>
        <v>0</v>
      </c>
      <c r="E31" s="323">
        <f t="shared" si="2"/>
        <v>0</v>
      </c>
      <c r="F31" s="323">
        <f t="shared" si="2"/>
        <v>0</v>
      </c>
      <c r="G31" s="323">
        <f>SUM(G29:G30)</f>
        <v>0</v>
      </c>
      <c r="H31" s="323">
        <f t="shared" ref="H31:J31" si="3">SUM(H29:H30)</f>
        <v>0</v>
      </c>
      <c r="I31" s="323">
        <f t="shared" si="3"/>
        <v>0</v>
      </c>
      <c r="J31" s="323">
        <f t="shared" si="3"/>
        <v>0</v>
      </c>
    </row>
    <row r="32" spans="2:10" x14ac:dyDescent="0.3">
      <c r="B32" s="320"/>
      <c r="C32" s="321"/>
      <c r="D32" s="316"/>
      <c r="E32" s="316"/>
      <c r="F32" s="316"/>
      <c r="G32" s="321"/>
      <c r="H32" s="316"/>
      <c r="I32" s="316"/>
      <c r="J32" s="316"/>
    </row>
    <row r="33" spans="2:10" x14ac:dyDescent="0.3">
      <c r="B33" s="444" t="s">
        <v>543</v>
      </c>
      <c r="C33" s="321">
        <v>0</v>
      </c>
      <c r="D33" s="321">
        <v>0</v>
      </c>
      <c r="E33" s="321">
        <v>0</v>
      </c>
      <c r="F33" s="321">
        <f>+C33+D33+E33</f>
        <v>0</v>
      </c>
      <c r="G33" s="321">
        <v>0</v>
      </c>
      <c r="H33" s="321">
        <v>0</v>
      </c>
      <c r="I33" s="321">
        <v>0</v>
      </c>
      <c r="J33" s="321">
        <f>+G33+H33+I33</f>
        <v>0</v>
      </c>
    </row>
    <row r="34" spans="2:10" x14ac:dyDescent="0.3">
      <c r="B34" s="444" t="s">
        <v>544</v>
      </c>
      <c r="C34" s="321">
        <v>0</v>
      </c>
      <c r="D34" s="321">
        <v>0</v>
      </c>
      <c r="E34" s="321">
        <v>0</v>
      </c>
      <c r="F34" s="321">
        <f t="shared" ref="F34:F41" si="4">+C34+D34+E34</f>
        <v>0</v>
      </c>
      <c r="G34" s="321">
        <v>0</v>
      </c>
      <c r="H34" s="321">
        <v>0</v>
      </c>
      <c r="I34" s="321">
        <v>0</v>
      </c>
      <c r="J34" s="321">
        <f t="shared" ref="J34:J38" si="5">+G34+H34+I34</f>
        <v>0</v>
      </c>
    </row>
    <row r="35" spans="2:10" x14ac:dyDescent="0.3">
      <c r="B35" s="446" t="s">
        <v>545</v>
      </c>
      <c r="C35" s="321">
        <v>0</v>
      </c>
      <c r="D35" s="321">
        <v>0</v>
      </c>
      <c r="E35" s="321">
        <v>0</v>
      </c>
      <c r="F35" s="321">
        <f t="shared" si="4"/>
        <v>0</v>
      </c>
      <c r="G35" s="321">
        <v>0</v>
      </c>
      <c r="H35" s="321">
        <v>0</v>
      </c>
      <c r="I35" s="321">
        <v>0</v>
      </c>
      <c r="J35" s="321">
        <f t="shared" si="5"/>
        <v>0</v>
      </c>
    </row>
    <row r="36" spans="2:10" x14ac:dyDescent="0.3">
      <c r="B36" s="444" t="s">
        <v>454</v>
      </c>
      <c r="C36" s="321">
        <v>0</v>
      </c>
      <c r="D36" s="321">
        <v>0</v>
      </c>
      <c r="E36" s="321">
        <v>0</v>
      </c>
      <c r="F36" s="321">
        <f t="shared" si="4"/>
        <v>0</v>
      </c>
      <c r="G36" s="321">
        <v>0</v>
      </c>
      <c r="H36" s="321">
        <v>0</v>
      </c>
      <c r="I36" s="321">
        <v>0</v>
      </c>
      <c r="J36" s="321">
        <f t="shared" si="5"/>
        <v>0</v>
      </c>
    </row>
    <row r="37" spans="2:10" x14ac:dyDescent="0.3">
      <c r="B37" s="444" t="s">
        <v>455</v>
      </c>
      <c r="C37" s="321">
        <v>0</v>
      </c>
      <c r="D37" s="321">
        <v>0</v>
      </c>
      <c r="E37" s="321">
        <v>0</v>
      </c>
      <c r="F37" s="321">
        <f t="shared" si="4"/>
        <v>0</v>
      </c>
      <c r="G37" s="321">
        <v>0</v>
      </c>
      <c r="H37" s="321">
        <v>0</v>
      </c>
      <c r="I37" s="321">
        <v>0</v>
      </c>
      <c r="J37" s="321">
        <f t="shared" si="5"/>
        <v>0</v>
      </c>
    </row>
    <row r="38" spans="2:10" x14ac:dyDescent="0.3">
      <c r="B38" s="444" t="s">
        <v>546</v>
      </c>
      <c r="C38" s="321">
        <v>0</v>
      </c>
      <c r="D38" s="321">
        <v>0</v>
      </c>
      <c r="E38" s="321">
        <v>0</v>
      </c>
      <c r="F38" s="321">
        <f t="shared" si="4"/>
        <v>0</v>
      </c>
      <c r="G38" s="321">
        <v>0</v>
      </c>
      <c r="H38" s="321">
        <v>0</v>
      </c>
      <c r="I38" s="321">
        <v>0</v>
      </c>
      <c r="J38" s="321">
        <f t="shared" si="5"/>
        <v>0</v>
      </c>
    </row>
    <row r="39" spans="2:10" x14ac:dyDescent="0.3">
      <c r="B39" s="316"/>
      <c r="C39" s="316"/>
      <c r="D39" s="316"/>
      <c r="E39" s="316"/>
      <c r="F39" s="321"/>
      <c r="G39" s="316"/>
      <c r="H39" s="316"/>
      <c r="I39" s="316"/>
      <c r="J39" s="321"/>
    </row>
    <row r="40" spans="2:10" x14ac:dyDescent="0.3">
      <c r="B40" s="324"/>
      <c r="C40" s="321"/>
      <c r="D40" s="321"/>
      <c r="E40" s="321"/>
      <c r="F40" s="321"/>
      <c r="G40" s="321"/>
      <c r="H40" s="321"/>
      <c r="I40" s="321"/>
      <c r="J40" s="321"/>
    </row>
    <row r="41" spans="2:10" x14ac:dyDescent="0.3">
      <c r="B41" s="441" t="s">
        <v>547</v>
      </c>
      <c r="C41" s="321">
        <v>0</v>
      </c>
      <c r="D41" s="321">
        <v>0</v>
      </c>
      <c r="E41" s="321">
        <v>0</v>
      </c>
      <c r="F41" s="321">
        <f t="shared" si="4"/>
        <v>0</v>
      </c>
      <c r="G41" s="321">
        <v>0</v>
      </c>
      <c r="H41" s="321">
        <v>0</v>
      </c>
      <c r="I41" s="321">
        <v>0</v>
      </c>
      <c r="J41" s="321">
        <f t="shared" ref="J41" si="6">+G41+H41+I41</f>
        <v>0</v>
      </c>
    </row>
    <row r="42" spans="2:10" x14ac:dyDescent="0.3">
      <c r="C42" s="325"/>
      <c r="D42" s="325"/>
      <c r="E42" s="325"/>
      <c r="F42" s="325"/>
      <c r="G42" s="325"/>
      <c r="H42" s="325"/>
      <c r="I42" s="325"/>
      <c r="J42" s="325"/>
    </row>
    <row r="43" spans="2:10" x14ac:dyDescent="0.3">
      <c r="B43" s="324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E3:J33"/>
  <sheetViews>
    <sheetView showGridLines="0" topLeftCell="D12" workbookViewId="0">
      <selection activeCell="I28" sqref="I28"/>
    </sheetView>
  </sheetViews>
  <sheetFormatPr baseColWidth="10" defaultRowHeight="14.4" x14ac:dyDescent="0.3"/>
  <cols>
    <col min="5" max="5" width="32.6640625" customWidth="1"/>
    <col min="6" max="6" width="15.21875" customWidth="1"/>
    <col min="7" max="8" width="15.109375" customWidth="1"/>
  </cols>
  <sheetData>
    <row r="3" spans="5:8" x14ac:dyDescent="0.3">
      <c r="E3" s="457" t="s">
        <v>652</v>
      </c>
    </row>
    <row r="4" spans="5:8" x14ac:dyDescent="0.3">
      <c r="E4" s="386" t="s">
        <v>513</v>
      </c>
    </row>
    <row r="6" spans="5:8" x14ac:dyDescent="0.3">
      <c r="E6" s="561"/>
      <c r="F6" s="14"/>
      <c r="G6" s="14" t="s">
        <v>514</v>
      </c>
      <c r="H6" s="14" t="s">
        <v>515</v>
      </c>
    </row>
    <row r="7" spans="5:8" x14ac:dyDescent="0.3">
      <c r="E7" s="533"/>
      <c r="F7" s="14" t="s">
        <v>141</v>
      </c>
      <c r="G7" s="14" t="s">
        <v>516</v>
      </c>
      <c r="H7" s="14" t="s">
        <v>517</v>
      </c>
    </row>
    <row r="8" spans="5:8" x14ac:dyDescent="0.3">
      <c r="E8" s="552"/>
      <c r="F8" s="503" t="s">
        <v>6</v>
      </c>
      <c r="G8" s="503" t="s">
        <v>6</v>
      </c>
      <c r="H8" s="503" t="s">
        <v>6</v>
      </c>
    </row>
    <row r="9" spans="5:8" x14ac:dyDescent="0.3">
      <c r="E9" s="82" t="s">
        <v>518</v>
      </c>
      <c r="F9" s="502"/>
      <c r="G9" s="502">
        <f>+F9*-0.1</f>
        <v>0</v>
      </c>
      <c r="H9" s="502">
        <f>+F9*0.1</f>
        <v>0</v>
      </c>
    </row>
    <row r="10" spans="5:8" x14ac:dyDescent="0.3">
      <c r="E10" s="82" t="s">
        <v>519</v>
      </c>
      <c r="F10" s="502"/>
      <c r="G10" s="502">
        <f>+F10*-0.1</f>
        <v>0</v>
      </c>
      <c r="H10" s="502">
        <f>+F10*0.1</f>
        <v>0</v>
      </c>
    </row>
    <row r="11" spans="5:8" x14ac:dyDescent="0.3">
      <c r="E11" s="306" t="s">
        <v>520</v>
      </c>
      <c r="F11" s="504"/>
      <c r="G11" s="504">
        <f>+F11*-0.1</f>
        <v>0</v>
      </c>
      <c r="H11" s="504">
        <f>+F11*0.1</f>
        <v>0</v>
      </c>
    </row>
    <row r="12" spans="5:8" ht="22.8" customHeight="1" x14ac:dyDescent="0.3">
      <c r="E12" s="512" t="s">
        <v>521</v>
      </c>
      <c r="F12" s="504">
        <f>SUM(F9:F11)</f>
        <v>0</v>
      </c>
      <c r="G12" s="504">
        <f>SUM(G9:G11)</f>
        <v>0</v>
      </c>
      <c r="H12" s="504">
        <f>SUM(H9:H11)</f>
        <v>0</v>
      </c>
    </row>
    <row r="15" spans="5:8" x14ac:dyDescent="0.3">
      <c r="E15" s="457" t="s">
        <v>653</v>
      </c>
    </row>
    <row r="16" spans="5:8" x14ac:dyDescent="0.3">
      <c r="E16" s="386" t="s">
        <v>522</v>
      </c>
    </row>
    <row r="18" spans="5:10" x14ac:dyDescent="0.3">
      <c r="E18" s="562"/>
      <c r="F18" s="560" t="s">
        <v>523</v>
      </c>
      <c r="G18" s="13" t="s">
        <v>524</v>
      </c>
      <c r="H18" s="505" t="s">
        <v>525</v>
      </c>
    </row>
    <row r="19" spans="5:10" x14ac:dyDescent="0.3">
      <c r="E19" s="552"/>
      <c r="F19" s="552"/>
      <c r="G19" s="506" t="s">
        <v>6</v>
      </c>
      <c r="H19" s="506" t="s">
        <v>6</v>
      </c>
    </row>
    <row r="20" spans="5:10" x14ac:dyDescent="0.3">
      <c r="E20" s="508" t="s">
        <v>526</v>
      </c>
      <c r="F20" s="509">
        <v>0</v>
      </c>
      <c r="G20" s="510">
        <f>+F20*0.1</f>
        <v>0</v>
      </c>
      <c r="H20" s="510">
        <f>+F20*-0.1</f>
        <v>0</v>
      </c>
    </row>
    <row r="21" spans="5:10" ht="22.8" customHeight="1" x14ac:dyDescent="0.3">
      <c r="E21" s="511" t="s">
        <v>521</v>
      </c>
      <c r="F21" s="507"/>
      <c r="G21" s="504">
        <f>+G20</f>
        <v>0</v>
      </c>
      <c r="H21" s="504">
        <f>+H20</f>
        <v>0</v>
      </c>
    </row>
    <row r="24" spans="5:10" x14ac:dyDescent="0.3">
      <c r="E24" s="513" t="s">
        <v>654</v>
      </c>
    </row>
    <row r="25" spans="5:10" x14ac:dyDescent="0.3">
      <c r="E25" s="451" t="s">
        <v>668</v>
      </c>
    </row>
    <row r="27" spans="5:10" ht="15" thickBot="1" x14ac:dyDescent="0.35">
      <c r="E27" s="483"/>
    </row>
    <row r="28" spans="5:10" ht="21" thickBot="1" x14ac:dyDescent="0.35">
      <c r="E28" s="515" t="s">
        <v>655</v>
      </c>
      <c r="F28" s="525" t="s">
        <v>69</v>
      </c>
      <c r="G28" s="526" t="s">
        <v>656</v>
      </c>
      <c r="H28" s="526" t="s">
        <v>657</v>
      </c>
      <c r="I28" s="514" t="s">
        <v>658</v>
      </c>
      <c r="J28" s="514" t="s">
        <v>659</v>
      </c>
    </row>
    <row r="29" spans="5:10" x14ac:dyDescent="0.3">
      <c r="E29" s="520" t="s">
        <v>236</v>
      </c>
      <c r="F29" s="516" t="s">
        <v>231</v>
      </c>
      <c r="G29" s="521">
        <v>0</v>
      </c>
      <c r="H29">
        <v>0</v>
      </c>
      <c r="I29" s="517">
        <v>44971</v>
      </c>
      <c r="J29" s="517">
        <v>47569</v>
      </c>
    </row>
    <row r="30" spans="5:10" x14ac:dyDescent="0.3">
      <c r="E30" s="89" t="s">
        <v>236</v>
      </c>
      <c r="F30" s="516" t="s">
        <v>222</v>
      </c>
      <c r="G30" s="522">
        <v>0</v>
      </c>
      <c r="H30">
        <v>0</v>
      </c>
      <c r="I30" s="517">
        <v>44949</v>
      </c>
      <c r="J30" s="517">
        <v>47908</v>
      </c>
    </row>
    <row r="31" spans="5:10" x14ac:dyDescent="0.3">
      <c r="E31" s="291" t="s">
        <v>660</v>
      </c>
      <c r="F31" s="516" t="s">
        <v>231</v>
      </c>
      <c r="G31" s="522">
        <v>0</v>
      </c>
      <c r="H31">
        <v>0</v>
      </c>
      <c r="I31" s="517">
        <v>45826</v>
      </c>
      <c r="J31" s="517">
        <v>46696</v>
      </c>
    </row>
    <row r="32" spans="5:10" ht="15" thickBot="1" x14ac:dyDescent="0.35">
      <c r="E32" s="518" t="s">
        <v>661</v>
      </c>
      <c r="F32" s="375" t="s">
        <v>222</v>
      </c>
      <c r="G32" s="523">
        <v>0</v>
      </c>
      <c r="H32">
        <v>0</v>
      </c>
      <c r="I32" s="519">
        <v>45264</v>
      </c>
      <c r="J32" s="519">
        <v>46179</v>
      </c>
    </row>
    <row r="33" spans="5:8" ht="16.2" thickBot="1" x14ac:dyDescent="0.35">
      <c r="E33" s="487"/>
      <c r="F33" s="524"/>
      <c r="G33" s="358" t="s">
        <v>62</v>
      </c>
      <c r="H33" s="526">
        <f>SUM(H29:H32)</f>
        <v>0</v>
      </c>
    </row>
  </sheetData>
  <mergeCells count="3">
    <mergeCell ref="F18:F19"/>
    <mergeCell ref="E6:E8"/>
    <mergeCell ref="E18:E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Efectivo</vt:lpstr>
      <vt:lpstr>Otros activos no financieros, c</vt:lpstr>
      <vt:lpstr>Deudores</vt:lpstr>
      <vt:lpstr>Inventarios</vt:lpstr>
      <vt:lpstr>Intangibles</vt:lpstr>
      <vt:lpstr>Activo Fijo</vt:lpstr>
      <vt:lpstr>Activo por derechos de uso</vt:lpstr>
      <vt:lpstr>Plusvalia</vt:lpstr>
      <vt:lpstr>Impuestos corrientes</vt:lpstr>
      <vt:lpstr>Pasivos derechos de  uso</vt:lpstr>
      <vt:lpstr>Pasivos financieros </vt:lpstr>
      <vt:lpstr>Cuentas por pagar</vt:lpstr>
      <vt:lpstr>Provisiones</vt:lpstr>
      <vt:lpstr>Impuestos Diferidos</vt:lpstr>
      <vt:lpstr>Inversion en relacionadas</vt:lpstr>
      <vt:lpstr>Empresas relacionadas</vt:lpstr>
      <vt:lpstr>Patrimonio</vt:lpstr>
      <vt:lpstr>Ingresos Ctos operacion</vt:lpstr>
      <vt:lpstr>Gtos Adm</vt:lpstr>
      <vt:lpstr>DC y Reajustes</vt:lpstr>
      <vt:lpstr>Costos e ingresos Financieros</vt:lpstr>
      <vt:lpstr>Otros gastos por funcion</vt:lpstr>
      <vt:lpstr>Otros ingresos por funcion</vt:lpstr>
      <vt:lpstr>Segmentos</vt:lpstr>
      <vt:lpstr>Cuadros adicionales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Constanza Loreto Garrido Coloma</dc:creator>
  <cp:lastModifiedBy>Cristiàn Saavedra</cp:lastModifiedBy>
  <cp:lastPrinted>2024-01-30T17:49:35Z</cp:lastPrinted>
  <dcterms:created xsi:type="dcterms:W3CDTF">2023-05-10T14:20:27Z</dcterms:created>
  <dcterms:modified xsi:type="dcterms:W3CDTF">2026-10-04T16:37:00Z</dcterms:modified>
</cp:coreProperties>
</file>