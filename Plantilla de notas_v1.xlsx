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Efectivo" sheetId="1" state="visible" r:id="rId1"/>
    <sheet xmlns:r="http://schemas.openxmlformats.org/officeDocument/2006/relationships" name="Otros activos no financieros, c" sheetId="2" state="visible" r:id="rId2"/>
    <sheet xmlns:r="http://schemas.openxmlformats.org/officeDocument/2006/relationships" name="Deudores" sheetId="3" state="visible" r:id="rId3"/>
    <sheet xmlns:r="http://schemas.openxmlformats.org/officeDocument/2006/relationships" name="Inventarios" sheetId="4" state="visible" r:id="rId4"/>
    <sheet xmlns:r="http://schemas.openxmlformats.org/officeDocument/2006/relationships" name="Intangibles" sheetId="5" state="visible" r:id="rId5"/>
    <sheet xmlns:r="http://schemas.openxmlformats.org/officeDocument/2006/relationships" name="Activo Fijo" sheetId="6" state="visible" r:id="rId6"/>
    <sheet xmlns:r="http://schemas.openxmlformats.org/officeDocument/2006/relationships" name="Activo por derechos de uso" sheetId="7" state="visible" r:id="rId7"/>
    <sheet xmlns:r="http://schemas.openxmlformats.org/officeDocument/2006/relationships" name="Plusvalia" sheetId="8" state="visible" r:id="rId8"/>
    <sheet xmlns:r="http://schemas.openxmlformats.org/officeDocument/2006/relationships" name="Impuestos corrientes" sheetId="9" state="visible" r:id="rId9"/>
    <sheet xmlns:r="http://schemas.openxmlformats.org/officeDocument/2006/relationships" name="Pasivos derechos de  uso" sheetId="10" state="visible" r:id="rId10"/>
    <sheet xmlns:r="http://schemas.openxmlformats.org/officeDocument/2006/relationships" name="Pasivos financieros " sheetId="11" state="visible" r:id="rId11"/>
    <sheet xmlns:r="http://schemas.openxmlformats.org/officeDocument/2006/relationships" name="Cuentas por pagar" sheetId="12" state="visible" r:id="rId12"/>
    <sheet xmlns:r="http://schemas.openxmlformats.org/officeDocument/2006/relationships" name="Provisiones" sheetId="13" state="visible" r:id="rId13"/>
    <sheet xmlns:r="http://schemas.openxmlformats.org/officeDocument/2006/relationships" name="Impuestos Diferidos" sheetId="14" state="visible" r:id="rId14"/>
    <sheet xmlns:r="http://schemas.openxmlformats.org/officeDocument/2006/relationships" name="Inversion en relacionadas" sheetId="15" state="visible" r:id="rId15"/>
    <sheet xmlns:r="http://schemas.openxmlformats.org/officeDocument/2006/relationships" name="Empresas relacionadas" sheetId="16" state="visible" r:id="rId16"/>
    <sheet xmlns:r="http://schemas.openxmlformats.org/officeDocument/2006/relationships" name="Patrimonio" sheetId="17" state="visible" r:id="rId17"/>
    <sheet xmlns:r="http://schemas.openxmlformats.org/officeDocument/2006/relationships" name="Ingresos Ctos operacion" sheetId="18" state="visible" r:id="rId18"/>
    <sheet xmlns:r="http://schemas.openxmlformats.org/officeDocument/2006/relationships" name="Gtos Adm" sheetId="19" state="visible" r:id="rId19"/>
    <sheet xmlns:r="http://schemas.openxmlformats.org/officeDocument/2006/relationships" name="DC y Reajustes" sheetId="20" state="visible" r:id="rId20"/>
    <sheet xmlns:r="http://schemas.openxmlformats.org/officeDocument/2006/relationships" name="Costos e ingresos Financieros" sheetId="21" state="visible" r:id="rId21"/>
    <sheet xmlns:r="http://schemas.openxmlformats.org/officeDocument/2006/relationships" name="Otros gastos por funcion" sheetId="22" state="visible" r:id="rId22"/>
    <sheet xmlns:r="http://schemas.openxmlformats.org/officeDocument/2006/relationships" name="Otros ingresos por funcion" sheetId="23" state="visible" r:id="rId23"/>
    <sheet xmlns:r="http://schemas.openxmlformats.org/officeDocument/2006/relationships" name="Segmentos" sheetId="24" state="visible" r:id="rId24"/>
    <sheet xmlns:r="http://schemas.openxmlformats.org/officeDocument/2006/relationships" name="Cuadros adicionales" sheetId="25" state="visible" r:id="rId25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 * #,##0_ ;_ * \-#,##0_ ;_ * &quot;-&quot;_ ;_ @_ "/>
    <numFmt numFmtId="165" formatCode="_ * #,##0_ ;_ * \-#,##0_ ;_ * &quot;-&quot;??_ ;_ @_ "/>
    <numFmt numFmtId="166" formatCode="_(#,##0_);_(\ \(#,##0\);_(&quot;-&quot;??_);_(@_)"/>
    <numFmt numFmtId="167" formatCode="_(* #,##0_);_(* \(#,##0\);_(* &quot;-&quot;??_);_(@_)"/>
    <numFmt numFmtId="168" formatCode="0.0%"/>
    <numFmt numFmtId="169" formatCode="_-* #,##0_-;\-* #,##0_-;_-* &quot;-&quot;_-;_-@_-"/>
    <numFmt numFmtId="170" formatCode="_-* #,##0.00_-;\-* #,##0.00_-;_-* &quot;-&quot;??_-;_-@_-"/>
  </numFmts>
  <fonts count="8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color rgb="FFFF0000"/>
      <sz val="8"/>
    </font>
    <font>
      <name val="Arial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FF0000"/>
      <sz val="10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9"/>
    </font>
    <font>
      <name val="Arial"/>
      <family val="2"/>
      <color theme="1"/>
      <sz val="9"/>
      <u val="single"/>
    </font>
    <font>
      <name val="Arial"/>
      <family val="2"/>
      <color rgb="FF000000"/>
      <sz val="9"/>
      <u val="single"/>
    </font>
    <font>
      <name val="Arial"/>
      <family val="2"/>
      <color rgb="FF000000"/>
      <sz val="8"/>
    </font>
    <font>
      <name val="Georgia"/>
      <family val="1"/>
      <color theme="1"/>
      <sz val="10"/>
    </font>
    <font>
      <name val="Georgia"/>
      <family val="1"/>
      <color theme="1"/>
      <sz val="8"/>
    </font>
    <font>
      <name val="Georgia"/>
      <family val="1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6"/>
    </font>
    <font>
      <name val="Arial"/>
      <family val="2"/>
      <b val="1"/>
      <color rgb="FF000000"/>
      <sz val="6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00"/>
      <sz val="9"/>
      <u val="single"/>
    </font>
    <font>
      <name val="Arial"/>
      <family val="2"/>
      <color rgb="FF000000"/>
      <sz val="8"/>
      <u val="single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7"/>
    </font>
    <font>
      <name val="Arial"/>
      <family val="2"/>
      <color theme="1"/>
      <sz val="8"/>
      <u val="single"/>
    </font>
    <font>
      <name val="Arial"/>
      <family val="2"/>
      <sz val="8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7"/>
    </font>
    <font>
      <name val="Arial"/>
      <family val="2"/>
      <b val="1"/>
      <color rgb="FF000000"/>
      <sz val="7"/>
    </font>
    <font>
      <name val="Arial"/>
      <family val="2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Arial"/>
      <family val="2"/>
      <color rgb="FF000000"/>
      <sz val="7"/>
      <u val="single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0"/>
      <u val="single"/>
    </font>
    <font>
      <name val="Arial"/>
      <family val="2"/>
      <color rgb="FFFF0000"/>
      <sz val="7"/>
    </font>
    <font>
      <name val="Times New Roman"/>
      <family val="1"/>
      <color theme="1"/>
      <sz val="9"/>
    </font>
    <font>
      <name val="Arial"/>
      <family val="2"/>
      <color theme="1"/>
      <sz val="10"/>
      <u val="single"/>
    </font>
    <font>
      <name val="Calibri"/>
      <family val="2"/>
      <b val="1"/>
      <sz val="11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  <u val="single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  <font>
      <name val="Arial"/>
      <family val="2"/>
      <color rgb="FF212121"/>
      <sz val="8"/>
      <u val="single"/>
    </font>
    <font>
      <name val="Arial"/>
      <family val="2"/>
      <color rgb="FF212121"/>
      <sz val="8"/>
    </font>
    <font>
      <name val="Consolas"/>
      <family val="3"/>
      <color rgb="FFFF0000"/>
      <sz val="10"/>
    </font>
    <font>
      <name val="Arial"/>
      <family val="2"/>
      <sz val="11"/>
      <u val="single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1"/>
      <scheme val="minor"/>
    </font>
    <font>
      <name val="Source Code Pro"/>
      <family val="3"/>
      <color rgb="FFFF0000"/>
      <sz val="8.25"/>
    </font>
    <font>
      <name val="Source Code Pro"/>
      <family val="3"/>
      <color rgb="FFFF0000"/>
      <sz val="8.25"/>
    </font>
    <font>
      <name val="Calibri"/>
      <family val="2"/>
      <color rgb="FF111827"/>
      <sz val="7"/>
    </font>
    <font>
      <name val="Calibri"/>
      <family val="2"/>
      <color rgb="FF000000"/>
      <sz val="7"/>
    </font>
    <font>
      <name val="Aptos Narrow"/>
      <family val="2"/>
      <color rgb="FF000000"/>
      <sz val="7"/>
    </font>
    <font>
      <name val="Calibri"/>
      <family val="2"/>
      <color rgb="FF374151"/>
      <sz val="7"/>
    </font>
    <font>
      <name val="Aptos"/>
      <family val="2"/>
      <color theme="1"/>
      <sz val="12"/>
    </font>
    <font>
      <name val="Arial"/>
      <family val="2"/>
      <b val="1"/>
      <color theme="1"/>
      <sz val="9"/>
    </font>
    <font>
      <name val="Georgia"/>
      <family val="1"/>
      <color theme="1"/>
      <sz val="11"/>
    </font>
    <font>
      <name val="Georgia"/>
      <family val="1"/>
      <b val="1"/>
      <color theme="1"/>
      <sz val="11"/>
    </font>
    <font>
      <name val="Arial"/>
      <family val="2"/>
      <b val="1"/>
      <sz val="10"/>
      <u val="single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1">
    <xf numFmtId="0" fontId="1" fillId="0" borderId="0"/>
    <xf numFmtId="43" fontId="1" fillId="0" borderId="0"/>
    <xf numFmtId="41" fontId="1" fillId="0" borderId="0"/>
    <xf numFmtId="9" fontId="1" fillId="0" borderId="0"/>
    <xf numFmtId="0" fontId="7" fillId="0" borderId="0"/>
    <xf numFmtId="0" fontId="9" fillId="0" borderId="0"/>
    <xf numFmtId="41" fontId="59" fillId="0" borderId="0"/>
    <xf numFmtId="0" fontId="9" fillId="0" borderId="0"/>
    <xf numFmtId="0" fontId="1" fillId="0" borderId="0"/>
    <xf numFmtId="10" fontId="9" fillId="0" borderId="0"/>
    <xf numFmtId="169" fontId="1" fillId="0" borderId="0"/>
    <xf numFmtId="43" fontId="9" fillId="0" borderId="0"/>
    <xf numFmtId="170" fontId="9" fillId="0" borderId="0"/>
    <xf numFmtId="0" fontId="9" fillId="0" borderId="0"/>
    <xf numFmtId="0" fontId="1" fillId="0" borderId="0"/>
    <xf numFmtId="0" fontId="9" fillId="0" borderId="0"/>
    <xf numFmtId="0" fontId="40" fillId="0" borderId="0"/>
    <xf numFmtId="9" fontId="40" fillId="0" borderId="0"/>
    <xf numFmtId="41" fontId="1" fillId="0" borderId="0"/>
    <xf numFmtId="41" fontId="1" fillId="0" borderId="0"/>
    <xf numFmtId="41" fontId="1" fillId="0" borderId="0"/>
  </cellStyleXfs>
  <cellXfs count="727">
    <xf numFmtId="0" fontId="0" fillId="0" borderId="0" pivotButton="0" quotePrefix="0" xfId="0"/>
    <xf numFmtId="0" fontId="5" fillId="0" borderId="0" applyAlignment="1" pivotButton="0" quotePrefix="0" xfId="0">
      <alignment horizontal="justify" vertical="center" wrapText="1"/>
    </xf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0" fontId="6" fillId="0" borderId="0" pivotButton="0" quotePrefix="0" xfId="0"/>
    <xf numFmtId="0" fontId="13" fillId="0" borderId="0" pivotButton="0" quotePrefix="0" xfId="0"/>
    <xf numFmtId="0" fontId="13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164" fontId="0" fillId="0" borderId="1" pivotButton="0" quotePrefix="0" xfId="2"/>
    <xf numFmtId="164" fontId="0" fillId="0" borderId="4" pivotButton="0" quotePrefix="0" xfId="2"/>
    <xf numFmtId="0" fontId="1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164" fontId="0" fillId="0" borderId="1" pivotButton="0" quotePrefix="0" xfId="0"/>
    <xf numFmtId="165" fontId="5" fillId="0" borderId="0" applyAlignment="1" pivotButton="0" quotePrefix="0" xfId="1">
      <alignment horizontal="right" vertical="center" wrapText="1"/>
    </xf>
    <xf numFmtId="165" fontId="5" fillId="0" borderId="9" applyAlignment="1" pivotButton="0" quotePrefix="0" xfId="1">
      <alignment vertical="center" wrapText="1"/>
    </xf>
    <xf numFmtId="165" fontId="0" fillId="0" borderId="0" pivotButton="0" quotePrefix="0" xfId="1"/>
    <xf numFmtId="0" fontId="6" fillId="0" borderId="0" applyAlignment="1" pivotButton="0" quotePrefix="0" xfId="0">
      <alignment horizontal="center"/>
    </xf>
    <xf numFmtId="166" fontId="0" fillId="0" borderId="0" pivotButton="0" quotePrefix="0" xfId="2"/>
    <xf numFmtId="166" fontId="0" fillId="0" borderId="1" pivotButton="0" quotePrefix="0" xfId="2"/>
    <xf numFmtId="166" fontId="6" fillId="0" borderId="3" pivotButton="0" quotePrefix="0" xfId="2"/>
    <xf numFmtId="166" fontId="0" fillId="0" borderId="0" pivotButton="0" quotePrefix="0" xfId="0"/>
    <xf numFmtId="0" fontId="5" fillId="5" borderId="0" applyAlignment="1" pivotButton="0" quotePrefix="0" xfId="0">
      <alignment vertical="center" wrapText="1"/>
    </xf>
    <xf numFmtId="0" fontId="17" fillId="5" borderId="0" applyAlignment="1" pivotButton="0" quotePrefix="0" xfId="0">
      <alignment vertical="center" wrapText="1"/>
    </xf>
    <xf numFmtId="0" fontId="19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justify" vertical="center" wrapText="1"/>
    </xf>
    <xf numFmtId="0" fontId="5" fillId="5" borderId="0" applyAlignment="1" pivotButton="0" quotePrefix="0" xfId="0">
      <alignment horizontal="center" vertical="center" wrapText="1"/>
    </xf>
    <xf numFmtId="3" fontId="5" fillId="5" borderId="0" applyAlignment="1" pivotButton="0" quotePrefix="0" xfId="0">
      <alignment horizontal="right" vertical="center" wrapText="1"/>
    </xf>
    <xf numFmtId="3" fontId="5" fillId="5" borderId="8" applyAlignment="1" pivotButton="0" quotePrefix="0" xfId="0">
      <alignment horizontal="right" vertical="center" wrapText="1"/>
    </xf>
    <xf numFmtId="3" fontId="17" fillId="5" borderId="0" applyAlignment="1" pivotButton="0" quotePrefix="0" xfId="0">
      <alignment horizontal="right" vertical="center" wrapText="1"/>
    </xf>
    <xf numFmtId="166" fontId="17" fillId="5" borderId="8" applyAlignment="1" pivotButton="0" quotePrefix="0" xfId="0">
      <alignment horizontal="right" vertical="center" wrapText="1"/>
    </xf>
    <xf numFmtId="0" fontId="0" fillId="0" borderId="1" pivotButton="0" quotePrefix="0" xfId="0"/>
    <xf numFmtId="3" fontId="5" fillId="6" borderId="0" applyAlignment="1" pivotButton="0" quotePrefix="0" xfId="0">
      <alignment horizontal="right" vertical="center" wrapText="1"/>
    </xf>
    <xf numFmtId="3" fontId="5" fillId="6" borderId="8" applyAlignment="1" pivotButton="0" quotePrefix="0" xfId="0">
      <alignment horizontal="right" vertical="center" wrapText="1"/>
    </xf>
    <xf numFmtId="166" fontId="0" fillId="0" borderId="3" pivotButton="0" quotePrefix="0" xfId="2"/>
    <xf numFmtId="0" fontId="22" fillId="0" borderId="0" applyAlignment="1" pivotButton="0" quotePrefix="0" xfId="0">
      <alignment horizontal="justify" vertical="center"/>
    </xf>
    <xf numFmtId="0" fontId="23" fillId="0" borderId="0" applyAlignment="1" pivotButton="0" quotePrefix="0" xfId="0">
      <alignment horizontal="justify" vertical="center"/>
    </xf>
    <xf numFmtId="0" fontId="17" fillId="5" borderId="0" applyAlignment="1" pivotButton="0" quotePrefix="0" xfId="0">
      <alignment horizontal="justify" vertical="center" wrapText="1"/>
    </xf>
    <xf numFmtId="166" fontId="5" fillId="5" borderId="0" applyAlignment="1" pivotButton="0" quotePrefix="0" xfId="0">
      <alignment horizontal="right" vertical="center" wrapText="1"/>
    </xf>
    <xf numFmtId="166" fontId="5" fillId="5" borderId="8" applyAlignment="1" pivotButton="0" quotePrefix="0" xfId="0">
      <alignment horizontal="right" vertical="center" wrapText="1"/>
    </xf>
    <xf numFmtId="14" fontId="18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66" fontId="17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justify" vertical="center" wrapText="1"/>
    </xf>
    <xf numFmtId="166" fontId="17" fillId="0" borderId="8" applyAlignment="1" pivotButton="0" quotePrefix="0" xfId="0">
      <alignment horizontal="right" vertical="center" wrapText="1"/>
    </xf>
    <xf numFmtId="166" fontId="5" fillId="0" borderId="8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justify" vertical="center"/>
    </xf>
    <xf numFmtId="0" fontId="25" fillId="0" borderId="0" pivotButton="0" quotePrefix="0" xfId="0"/>
    <xf numFmtId="0" fontId="26" fillId="5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6" fontId="25" fillId="0" borderId="0" pivotButton="0" quotePrefix="0" xfId="0"/>
    <xf numFmtId="166" fontId="11" fillId="0" borderId="3" applyAlignment="1" pivotButton="0" quotePrefix="0" xfId="0">
      <alignment horizontal="right" vertical="center" wrapText="1"/>
    </xf>
    <xf numFmtId="166" fontId="27" fillId="0" borderId="3" applyAlignment="1" pivotButton="0" quotePrefix="0" xfId="0">
      <alignment horizontal="right" vertical="center" wrapText="1"/>
    </xf>
    <xf numFmtId="165" fontId="29" fillId="0" borderId="0" applyAlignment="1" pivotButton="0" quotePrefix="0" xfId="1">
      <alignment horizontal="right" vertical="center" wrapText="1"/>
    </xf>
    <xf numFmtId="0" fontId="5" fillId="5" borderId="0" applyAlignment="1" pivotButton="0" quotePrefix="0" xfId="0">
      <alignment horizontal="right" vertical="center" wrapText="1"/>
    </xf>
    <xf numFmtId="0" fontId="0" fillId="0" borderId="8" pivotButton="0" quotePrefix="0" xfId="0"/>
    <xf numFmtId="0" fontId="0" fillId="0" borderId="1" applyAlignment="1" pivotButton="0" quotePrefix="0" xfId="0">
      <alignment wrapText="1"/>
    </xf>
    <xf numFmtId="166" fontId="0" fillId="0" borderId="3" pivotButton="0" quotePrefix="0" xfId="0"/>
    <xf numFmtId="166" fontId="5" fillId="5" borderId="9" applyAlignment="1" pivotButton="0" quotePrefix="0" xfId="0">
      <alignment horizontal="right" vertical="center" wrapText="1"/>
    </xf>
    <xf numFmtId="166" fontId="0" fillId="0" borderId="4" pivotButton="0" quotePrefix="0" xfId="0"/>
    <xf numFmtId="166" fontId="0" fillId="0" borderId="0" pivotButton="0" quotePrefix="0" xfId="1"/>
    <xf numFmtId="0" fontId="19" fillId="0" borderId="0" applyAlignment="1" pivotButton="0" quotePrefix="0" xfId="0">
      <alignment horizontal="center" vertical="center" wrapText="1"/>
    </xf>
    <xf numFmtId="14" fontId="1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14" fontId="24" fillId="0" borderId="0" applyAlignment="1" pivotButton="0" quotePrefix="0" xfId="0">
      <alignment horizontal="center" vertical="center" wrapText="1"/>
    </xf>
    <xf numFmtId="166" fontId="10" fillId="0" borderId="0" pivotButton="0" quotePrefix="0" xfId="2"/>
    <xf numFmtId="166" fontId="10" fillId="0" borderId="0" pivotButton="0" quotePrefix="0" xfId="0"/>
    <xf numFmtId="166" fontId="10" fillId="0" borderId="1" pivotButton="0" quotePrefix="0" xfId="2"/>
    <xf numFmtId="166" fontId="10" fillId="0" borderId="1" pivotButton="0" quotePrefix="0" xfId="0"/>
    <xf numFmtId="166" fontId="26" fillId="0" borderId="8" applyAlignment="1" pivotButton="0" quotePrefix="0" xfId="0">
      <alignment horizontal="right" vertical="center" wrapText="1"/>
    </xf>
    <xf numFmtId="166" fontId="24" fillId="0" borderId="0" applyAlignment="1" pivotButton="0" quotePrefix="0" xfId="0">
      <alignment horizontal="center" vertical="center" wrapText="1"/>
    </xf>
    <xf numFmtId="166" fontId="26" fillId="0" borderId="9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6" fontId="17" fillId="0" borderId="9" applyAlignment="1" pivotButton="0" quotePrefix="0" xfId="0">
      <alignment vertical="center" wrapText="1"/>
    </xf>
    <xf numFmtId="0" fontId="33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0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justify" vertical="center" wrapText="1"/>
    </xf>
    <xf numFmtId="0" fontId="20" fillId="5" borderId="0" applyAlignment="1" pivotButton="0" quotePrefix="0" xfId="0">
      <alignment horizontal="justify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left" vertical="center" wrapText="1"/>
    </xf>
    <xf numFmtId="166" fontId="20" fillId="5" borderId="0" applyAlignment="1" pivotButton="0" quotePrefix="0" xfId="0">
      <alignment horizontal="right" vertical="center" wrapText="1"/>
    </xf>
    <xf numFmtId="0" fontId="20" fillId="5" borderId="8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justify" vertical="center" wrapText="1"/>
    </xf>
    <xf numFmtId="165" fontId="5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5" fillId="0" borderId="8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right" vertical="center" wrapText="1"/>
    </xf>
    <xf numFmtId="166" fontId="20" fillId="5" borderId="0" applyAlignment="1" pivotButton="0" quotePrefix="0" xfId="1">
      <alignment horizontal="right" vertical="center" wrapText="1"/>
    </xf>
    <xf numFmtId="166" fontId="20" fillId="5" borderId="8" applyAlignment="1" pivotButton="0" quotePrefix="0" xfId="1">
      <alignment horizontal="right" vertical="center" wrapText="1"/>
    </xf>
    <xf numFmtId="165" fontId="5" fillId="0" borderId="8" applyAlignment="1" pivotButton="0" quotePrefix="0" xfId="1">
      <alignment vertical="center" wrapText="1"/>
    </xf>
    <xf numFmtId="0" fontId="5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wrapText="1"/>
    </xf>
    <xf numFmtId="164" fontId="5" fillId="0" borderId="0" applyAlignment="1" pivotButton="0" quotePrefix="0" xfId="2">
      <alignment horizontal="right" vertical="center" wrapText="1"/>
    </xf>
    <xf numFmtId="166" fontId="5" fillId="0" borderId="0" applyAlignment="1" pivotButton="0" quotePrefix="0" xfId="0">
      <alignment vertical="center" wrapText="1"/>
    </xf>
    <xf numFmtId="166" fontId="5" fillId="0" borderId="8" applyAlignment="1" pivotButton="0" quotePrefix="0" xfId="0">
      <alignment vertical="center" wrapText="1"/>
    </xf>
    <xf numFmtId="165" fontId="5" fillId="5" borderId="8" applyAlignment="1" pivotButton="0" quotePrefix="0" xfId="1">
      <alignment horizontal="right" vertical="center" wrapText="1"/>
    </xf>
    <xf numFmtId="1" fontId="5" fillId="5" borderId="0" applyAlignment="1" pivotButton="0" quotePrefix="0" xfId="0">
      <alignment horizontal="right" vertical="center" wrapText="1"/>
    </xf>
    <xf numFmtId="1" fontId="0" fillId="0" borderId="0" pivotButton="0" quotePrefix="0" xfId="0"/>
    <xf numFmtId="0" fontId="36" fillId="5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17" fillId="0" borderId="0" pivotButton="0" quotePrefix="0" xfId="0"/>
    <xf numFmtId="165" fontId="0" fillId="0" borderId="0" pivotButton="0" quotePrefix="0" xfId="0"/>
    <xf numFmtId="0" fontId="17" fillId="0" borderId="0" applyAlignment="1" pivotButton="0" quotePrefix="0" xfId="0">
      <alignment horizontal="justify" vertical="center"/>
    </xf>
    <xf numFmtId="167" fontId="0" fillId="0" borderId="0" pivotButton="0" quotePrefix="0" xfId="0"/>
    <xf numFmtId="165" fontId="0" fillId="0" borderId="3" pivotButton="0" quotePrefix="0" xfId="0"/>
    <xf numFmtId="165" fontId="5" fillId="0" borderId="1" applyAlignment="1" pivotButton="0" quotePrefix="0" xfId="1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5" fontId="36" fillId="0" borderId="3" applyAlignment="1" pivotButton="0" quotePrefix="0" xfId="1">
      <alignment horizontal="right" vertical="center" wrapText="1"/>
    </xf>
    <xf numFmtId="167" fontId="5" fillId="0" borderId="0" applyAlignment="1" pivotButton="0" quotePrefix="0" xfId="1">
      <alignment horizontal="right" vertical="center" wrapText="1"/>
    </xf>
    <xf numFmtId="167" fontId="5" fillId="0" borderId="8" applyAlignment="1" pivotButton="0" quotePrefix="0" xfId="0">
      <alignment horizontal="right" vertical="center" wrapText="1"/>
    </xf>
    <xf numFmtId="167" fontId="0" fillId="0" borderId="0" pivotButton="0" quotePrefix="0" xfId="2"/>
    <xf numFmtId="165" fontId="5" fillId="0" borderId="9" applyAlignment="1" pivotButton="0" quotePrefix="0" xfId="0">
      <alignment horizontal="left" vertical="center" wrapText="1"/>
    </xf>
    <xf numFmtId="167" fontId="5" fillId="0" borderId="0" applyAlignment="1" pivotButton="0" quotePrefix="0" xfId="2">
      <alignment horizontal="right" vertical="center" wrapText="1"/>
    </xf>
    <xf numFmtId="167" fontId="17" fillId="0" borderId="9" applyAlignment="1" pivotButton="0" quotePrefix="0" xfId="0">
      <alignment vertical="center" wrapText="1"/>
    </xf>
    <xf numFmtId="0" fontId="12" fillId="0" borderId="0" pivotButton="0" quotePrefix="0" xfId="0"/>
    <xf numFmtId="166" fontId="10" fillId="0" borderId="0" applyAlignment="1" pivotButton="0" quotePrefix="0" xfId="0">
      <alignment horizontal="right"/>
    </xf>
    <xf numFmtId="0" fontId="43" fillId="0" borderId="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horizontal="left" vertical="center" wrapText="1"/>
    </xf>
    <xf numFmtId="0" fontId="43" fillId="0" borderId="9" applyAlignment="1" pivotButton="0" quotePrefix="0" xfId="0">
      <alignment horizontal="right" vertical="center" wrapText="1"/>
    </xf>
    <xf numFmtId="165" fontId="38" fillId="0" borderId="0" applyAlignment="1" pivotButton="0" quotePrefix="0" xfId="1">
      <alignment horizontal="right" vertical="center" wrapText="1"/>
    </xf>
    <xf numFmtId="165" fontId="43" fillId="0" borderId="9" applyAlignment="1" pivotButton="0" quotePrefix="0" xfId="1">
      <alignment horizontal="right" vertical="center" wrapText="1"/>
    </xf>
    <xf numFmtId="0" fontId="44" fillId="0" borderId="0" applyAlignment="1" pivotButton="0" quotePrefix="0" xfId="0">
      <alignment horizontal="center" vertical="center" wrapText="1"/>
    </xf>
    <xf numFmtId="166" fontId="38" fillId="0" borderId="0" applyAlignment="1" pivotButton="0" quotePrefix="0" xfId="1">
      <alignment horizontal="right" vertical="center" wrapText="1"/>
    </xf>
    <xf numFmtId="166" fontId="43" fillId="0" borderId="9" applyAlignment="1" pivotButton="0" quotePrefix="0" xfId="1">
      <alignment horizontal="right" vertical="center" wrapText="1"/>
    </xf>
    <xf numFmtId="167" fontId="5" fillId="0" borderId="1" applyAlignment="1" pivotButton="0" quotePrefix="0" xfId="2">
      <alignment horizontal="right" vertical="center" wrapText="1"/>
    </xf>
    <xf numFmtId="0" fontId="0" fillId="3" borderId="0" pivotButton="0" quotePrefix="0" xfId="0"/>
    <xf numFmtId="0" fontId="26" fillId="5" borderId="0" applyAlignment="1" pivotButton="0" quotePrefix="0" xfId="0">
      <alignment vertical="center" wrapText="1"/>
    </xf>
    <xf numFmtId="167" fontId="13" fillId="0" borderId="0" pivotButton="0" quotePrefix="0" xfId="1"/>
    <xf numFmtId="167" fontId="26" fillId="5" borderId="0" applyAlignment="1" pivotButton="0" quotePrefix="0" xfId="1">
      <alignment horizontal="right" vertical="center" wrapText="1"/>
    </xf>
    <xf numFmtId="0" fontId="4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justify" vertical="center"/>
    </xf>
    <xf numFmtId="0" fontId="43" fillId="0" borderId="8" applyAlignment="1" pivotButton="0" quotePrefix="0" xfId="0">
      <alignment vertical="center" wrapText="1"/>
    </xf>
    <xf numFmtId="0" fontId="43" fillId="0" borderId="0" applyAlignment="1" pivotButton="0" quotePrefix="0" xfId="0">
      <alignment vertical="center" wrapText="1"/>
    </xf>
    <xf numFmtId="0" fontId="46" fillId="0" borderId="0" pivotButton="0" quotePrefix="0" xfId="0"/>
    <xf numFmtId="166" fontId="44" fillId="0" borderId="0" applyAlignment="1" pivotButton="0" quotePrefix="0" xfId="1">
      <alignment horizontal="right" vertical="center" wrapText="1"/>
    </xf>
    <xf numFmtId="166" fontId="21" fillId="0" borderId="0" applyAlignment="1" pivotButton="0" quotePrefix="0" xfId="1">
      <alignment vertical="center" wrapText="1"/>
    </xf>
    <xf numFmtId="0" fontId="38" fillId="0" borderId="0" applyAlignment="1" pivotButton="0" quotePrefix="0" xfId="0">
      <alignment horizontal="justify" vertical="center" wrapText="1"/>
    </xf>
    <xf numFmtId="0" fontId="47" fillId="5" borderId="0" applyAlignment="1" pivotButton="0" quotePrefix="0" xfId="0">
      <alignment horizontal="left" vertical="center" wrapText="1"/>
    </xf>
    <xf numFmtId="0" fontId="47" fillId="5" borderId="0" applyAlignment="1" pivotButton="0" quotePrefix="0" xfId="0">
      <alignment horizontal="center" vertical="center" wrapText="1"/>
    </xf>
    <xf numFmtId="0" fontId="38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38" fillId="5" borderId="0" applyAlignment="1" pivotButton="0" quotePrefix="0" xfId="0">
      <alignment horizontal="justify" vertical="center" wrapText="1"/>
    </xf>
    <xf numFmtId="0" fontId="38" fillId="5" borderId="0" applyAlignment="1" pivotButton="0" quotePrefix="0" xfId="0">
      <alignment horizontal="right" vertical="center" wrapText="1"/>
    </xf>
    <xf numFmtId="165" fontId="5" fillId="6" borderId="0" applyAlignment="1" pivotButton="0" quotePrefix="0" xfId="1">
      <alignment horizontal="right" vertical="center" wrapText="1"/>
    </xf>
    <xf numFmtId="0" fontId="48" fillId="0" borderId="0" pivotButton="0" quotePrefix="0" xfId="0"/>
    <xf numFmtId="0" fontId="49" fillId="0" borderId="0" pivotButton="0" quotePrefix="0" xfId="0"/>
    <xf numFmtId="166" fontId="0" fillId="3" borderId="0" pivotButton="0" quotePrefix="0" xfId="2"/>
    <xf numFmtId="0" fontId="26" fillId="3" borderId="0" applyAlignment="1" pivotButton="0" quotePrefix="0" xfId="0">
      <alignment horizontal="justify" vertical="center" wrapText="1"/>
    </xf>
    <xf numFmtId="0" fontId="26" fillId="3" borderId="0" applyAlignment="1" pivotButton="0" quotePrefix="0" xfId="0">
      <alignment horizontal="center" vertical="center" wrapText="1"/>
    </xf>
    <xf numFmtId="166" fontId="26" fillId="3" borderId="0" applyAlignment="1" pivotButton="0" quotePrefix="0" xfId="0">
      <alignment vertical="center" wrapText="1"/>
    </xf>
    <xf numFmtId="0" fontId="25" fillId="3" borderId="0" pivotButton="0" quotePrefix="0" xfId="0"/>
    <xf numFmtId="0" fontId="26" fillId="3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justify" vertical="center" wrapText="1"/>
    </xf>
    <xf numFmtId="14" fontId="24" fillId="3" borderId="0" applyAlignment="1" pivotButton="0" quotePrefix="0" xfId="0">
      <alignment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vertical="center" wrapText="1"/>
    </xf>
    <xf numFmtId="166" fontId="26" fillId="3" borderId="3" applyAlignment="1" pivotButton="0" quotePrefix="0" xfId="0">
      <alignment horizontal="right" vertical="center" wrapText="1"/>
    </xf>
    <xf numFmtId="0" fontId="50" fillId="0" borderId="0" pivotButton="0" quotePrefix="0" xfId="0"/>
    <xf numFmtId="166" fontId="35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right" vertical="center" wrapText="1"/>
    </xf>
    <xf numFmtId="0" fontId="20" fillId="3" borderId="8" applyAlignment="1" pivotButton="0" quotePrefix="0" xfId="0">
      <alignment horizontal="right" vertical="center" wrapText="1"/>
    </xf>
    <xf numFmtId="10" fontId="20" fillId="3" borderId="8" applyAlignment="1" pivotButton="0" quotePrefix="0" xfId="0">
      <alignment horizontal="right" vertical="center" wrapText="1"/>
    </xf>
    <xf numFmtId="0" fontId="4" fillId="5" borderId="0" applyAlignment="1" pivotButton="0" quotePrefix="0" xfId="0">
      <alignment horizontal="left" vertical="center" wrapText="1"/>
    </xf>
    <xf numFmtId="165" fontId="2" fillId="0" borderId="0" pivotButton="0" quotePrefix="0" xfId="0"/>
    <xf numFmtId="166" fontId="4" fillId="0" borderId="0" pivotButton="0" quotePrefix="0" xfId="0"/>
    <xf numFmtId="164" fontId="5" fillId="5" borderId="0" applyAlignment="1" pivotButton="0" quotePrefix="0" xfId="2">
      <alignment horizontal="right" vertical="center" wrapText="1"/>
    </xf>
    <xf numFmtId="0" fontId="2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165" fontId="26" fillId="0" borderId="0" applyAlignment="1" pivotButton="0" quotePrefix="0" xfId="1">
      <alignment horizontal="right" vertical="center" wrapText="1"/>
    </xf>
    <xf numFmtId="0" fontId="38" fillId="5" borderId="0" applyAlignment="1" pivotButton="0" quotePrefix="0" xfId="0">
      <alignment horizontal="left" vertical="center" wrapText="1"/>
    </xf>
    <xf numFmtId="166" fontId="10" fillId="0" borderId="0" applyAlignment="1" pivotButton="0" quotePrefix="0" xfId="0">
      <alignment horizontal="right" vertical="center" wrapText="1"/>
    </xf>
    <xf numFmtId="3" fontId="28" fillId="0" borderId="0" applyAlignment="1" pivotButton="0" quotePrefix="0" xfId="0">
      <alignment horizontal="right" vertical="center" wrapText="1"/>
    </xf>
    <xf numFmtId="3" fontId="29" fillId="0" borderId="0" applyAlignment="1" pivotButton="0" quotePrefix="0" xfId="0">
      <alignment horizontal="right" vertical="center" wrapText="1"/>
    </xf>
    <xf numFmtId="3" fontId="25" fillId="0" borderId="0" pivotButton="0" quotePrefix="0" xfId="0"/>
    <xf numFmtId="0" fontId="26" fillId="3" borderId="2" applyAlignment="1" pivotButton="0" quotePrefix="0" xfId="0">
      <alignment horizontal="center" vertical="center" wrapText="1"/>
    </xf>
    <xf numFmtId="0" fontId="26" fillId="3" borderId="19" applyAlignment="1" pivotButton="0" quotePrefix="0" xfId="0">
      <alignment horizontal="left" vertical="center" wrapText="1"/>
    </xf>
    <xf numFmtId="166" fontId="26" fillId="3" borderId="20" applyAlignment="1" pivotButton="0" quotePrefix="0" xfId="0">
      <alignment vertical="center" wrapText="1"/>
    </xf>
    <xf numFmtId="0" fontId="26" fillId="3" borderId="15" applyAlignment="1" pivotButton="0" quotePrefix="0" xfId="0">
      <alignment horizontal="center" vertical="center" wrapText="1"/>
    </xf>
    <xf numFmtId="166" fontId="0" fillId="3" borderId="19" pivotButton="0" quotePrefix="0" xfId="2"/>
    <xf numFmtId="0" fontId="17" fillId="3" borderId="0" pivotButton="0" quotePrefix="0" xfId="0"/>
    <xf numFmtId="0" fontId="38" fillId="3" borderId="0" applyAlignment="1" pivotButton="0" quotePrefix="0" xfId="0">
      <alignment horizontal="left" vertical="center" wrapText="1"/>
    </xf>
    <xf numFmtId="0" fontId="26" fillId="3" borderId="17" applyAlignment="1" pivotButton="0" quotePrefix="0" xfId="0">
      <alignment horizontal="left" vertical="center" wrapText="1"/>
    </xf>
    <xf numFmtId="166" fontId="0" fillId="3" borderId="17" pivotButton="0" quotePrefix="0" xfId="2"/>
    <xf numFmtId="166" fontId="0" fillId="3" borderId="1" pivotButton="0" quotePrefix="0" xfId="2"/>
    <xf numFmtId="166" fontId="26" fillId="3" borderId="18" applyAlignment="1" pivotButton="0" quotePrefix="0" xfId="0">
      <alignment vertical="center" wrapText="1"/>
    </xf>
    <xf numFmtId="0" fontId="30" fillId="3" borderId="0" pivotButton="0" quotePrefix="0" xfId="0"/>
    <xf numFmtId="0" fontId="26" fillId="3" borderId="19" applyAlignment="1" pivotButton="0" quotePrefix="0" xfId="0">
      <alignment horizontal="center" vertical="center" wrapText="1"/>
    </xf>
    <xf numFmtId="0" fontId="26" fillId="3" borderId="20" applyAlignment="1" pivotButton="0" quotePrefix="0" xfId="0">
      <alignment vertical="center" wrapText="1"/>
    </xf>
    <xf numFmtId="0" fontId="26" fillId="3" borderId="20" applyAlignment="1" pivotButton="0" quotePrefix="0" xfId="0">
      <alignment horizontal="center" vertical="center" wrapText="1"/>
    </xf>
    <xf numFmtId="0" fontId="26" fillId="3" borderId="17" applyAlignment="1" pivotButton="0" quotePrefix="0" xfId="0">
      <alignment horizontal="center" vertical="center" wrapText="1"/>
    </xf>
    <xf numFmtId="0" fontId="26" fillId="3" borderId="18" applyAlignment="1" pivotButton="0" quotePrefix="0" xfId="0">
      <alignment horizontal="center" vertical="center" wrapText="1"/>
    </xf>
    <xf numFmtId="14" fontId="24" fillId="3" borderId="2" applyAlignment="1" pivotButton="0" quotePrefix="0" xfId="0">
      <alignment vertical="center" wrapText="1"/>
    </xf>
    <xf numFmtId="0" fontId="25" fillId="3" borderId="15" pivotButton="0" quotePrefix="0" xfId="0"/>
    <xf numFmtId="14" fontId="24" fillId="3" borderId="16" applyAlignment="1" pivotButton="0" quotePrefix="0" xfId="0">
      <alignment vertical="center" wrapText="1"/>
    </xf>
    <xf numFmtId="0" fontId="25" fillId="0" borderId="1" applyAlignment="1" pivotButton="0" quotePrefix="0" xfId="0">
      <alignment wrapText="1"/>
    </xf>
    <xf numFmtId="166" fontId="10" fillId="0" borderId="1" applyAlignment="1" pivotButton="0" quotePrefix="0" xfId="0">
      <alignment horizontal="right" vertical="center" wrapText="1"/>
    </xf>
    <xf numFmtId="166" fontId="26" fillId="0" borderId="1" applyAlignment="1" pivotButton="0" quotePrefix="0" xfId="0">
      <alignment horizontal="right" vertical="center" wrapText="1"/>
    </xf>
    <xf numFmtId="164" fontId="20" fillId="5" borderId="0" applyAlignment="1" pivotButton="0" quotePrefix="0" xfId="0">
      <alignment horizontal="right" vertical="center" wrapText="1"/>
    </xf>
    <xf numFmtId="164" fontId="20" fillId="5" borderId="9" applyAlignment="1" pivotButton="0" quotePrefix="0" xfId="0">
      <alignment horizontal="right" vertical="center" wrapText="1"/>
    </xf>
    <xf numFmtId="164" fontId="20" fillId="0" borderId="4" applyAlignment="1" pivotButton="0" quotePrefix="0" xfId="0">
      <alignment horizontal="right" vertical="center"/>
    </xf>
    <xf numFmtId="164" fontId="20" fillId="5" borderId="8" applyAlignment="1" pivotButton="0" quotePrefix="0" xfId="0">
      <alignment horizontal="right" vertical="center" wrapText="1"/>
    </xf>
    <xf numFmtId="164" fontId="20" fillId="5" borderId="0" applyAlignment="1" pivotButton="0" quotePrefix="0" xfId="0">
      <alignment vertical="center" wrapText="1"/>
    </xf>
    <xf numFmtId="164" fontId="20" fillId="5" borderId="8" applyAlignment="1" pivotButton="0" quotePrefix="0" xfId="0">
      <alignment vertical="center" wrapText="1"/>
    </xf>
    <xf numFmtId="164" fontId="20" fillId="5" borderId="9" applyAlignment="1" pivotButton="0" quotePrefix="0" xfId="0">
      <alignment vertical="center" wrapText="1"/>
    </xf>
    <xf numFmtId="14" fontId="19" fillId="5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justify" vertical="center"/>
    </xf>
    <xf numFmtId="0" fontId="19" fillId="5" borderId="0" applyAlignment="1" pivotButton="0" quotePrefix="0" xfId="0">
      <alignment horizontal="left" vertical="center" wrapText="1"/>
    </xf>
    <xf numFmtId="164" fontId="3" fillId="5" borderId="0" applyAlignment="1" pivotButton="0" quotePrefix="0" xfId="0">
      <alignment horizontal="right" vertical="center" wrapText="1"/>
    </xf>
    <xf numFmtId="164" fontId="3" fillId="5" borderId="8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164" fontId="5" fillId="0" borderId="8" applyAlignment="1" pivotButton="0" quotePrefix="0" xfId="0">
      <alignment horizontal="right" vertical="center"/>
    </xf>
    <xf numFmtId="164" fontId="5" fillId="0" borderId="4" applyAlignment="1" pivotButton="0" quotePrefix="0" xfId="0">
      <alignment horizontal="right" vertical="center"/>
    </xf>
    <xf numFmtId="164" fontId="3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3" fontId="5" fillId="0" borderId="8" applyAlignment="1" pivotButton="0" quotePrefix="0" xfId="0">
      <alignment horizontal="right" vertical="center" wrapText="1"/>
    </xf>
    <xf numFmtId="0" fontId="20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justify" vertical="center" wrapText="1"/>
    </xf>
    <xf numFmtId="164" fontId="35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20" fillId="5" borderId="0" applyAlignment="1" pivotButton="0" quotePrefix="0" xfId="0">
      <alignment horizontal="left" vertical="center"/>
    </xf>
    <xf numFmtId="164" fontId="20" fillId="5" borderId="11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/>
    </xf>
    <xf numFmtId="0" fontId="51" fillId="0" borderId="0" pivotButton="0" quotePrefix="0" xfId="0"/>
    <xf numFmtId="168" fontId="35" fillId="5" borderId="0" applyAlignment="1" pivotButton="0" quotePrefix="0" xfId="3">
      <alignment horizontal="right" vertical="center"/>
    </xf>
    <xf numFmtId="0" fontId="3" fillId="5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vertical="top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justify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vertical="center" wrapText="1"/>
    </xf>
    <xf numFmtId="14" fontId="34" fillId="5" borderId="0" applyAlignment="1" pivotButton="0" quotePrefix="0" xfId="0">
      <alignment vertical="center" wrapText="1"/>
    </xf>
    <xf numFmtId="0" fontId="34" fillId="5" borderId="0" applyAlignment="1" pivotButton="0" quotePrefix="0" xfId="0">
      <alignment vertical="center" wrapText="1"/>
    </xf>
    <xf numFmtId="0" fontId="20" fillId="5" borderId="0" applyAlignment="1" pivotButton="0" quotePrefix="0" xfId="0">
      <alignment vertical="center" wrapText="1"/>
    </xf>
    <xf numFmtId="14" fontId="20" fillId="5" borderId="1" applyAlignment="1" pivotButton="0" quotePrefix="0" xfId="0">
      <alignment horizontal="center" vertical="center" wrapText="1"/>
    </xf>
    <xf numFmtId="3" fontId="20" fillId="5" borderId="0" applyAlignment="1" pivotButton="0" quotePrefix="0" xfId="0">
      <alignment vertical="center" wrapText="1"/>
    </xf>
    <xf numFmtId="0" fontId="43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8" fillId="0" borderId="8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3" fontId="5" fillId="0" borderId="8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 wrapText="1"/>
    </xf>
    <xf numFmtId="165" fontId="5" fillId="3" borderId="0" applyAlignment="1" pivotButton="0" quotePrefix="0" xfId="1">
      <alignment horizontal="right" vertical="center" wrapText="1"/>
    </xf>
    <xf numFmtId="166" fontId="3" fillId="3" borderId="8" applyAlignment="1" pivotButton="0" quotePrefix="0" xfId="1">
      <alignment horizontal="right" vertical="center" wrapText="1"/>
    </xf>
    <xf numFmtId="166" fontId="20" fillId="3" borderId="0" applyAlignment="1" pivotButton="0" quotePrefix="0" xfId="0">
      <alignment horizontal="right" vertical="center" wrapText="1"/>
    </xf>
    <xf numFmtId="166" fontId="20" fillId="3" borderId="8" applyAlignment="1" pivotButton="0" quotePrefix="0" xfId="0">
      <alignment horizontal="right" vertical="center" wrapText="1"/>
    </xf>
    <xf numFmtId="14" fontId="13" fillId="0" borderId="1" applyAlignment="1" pivotButton="0" quotePrefix="0" xfId="0">
      <alignment horizontal="center"/>
    </xf>
    <xf numFmtId="0" fontId="20" fillId="5" borderId="1" applyAlignment="1" pivotButton="0" quotePrefix="0" xfId="0">
      <alignment horizontal="right" vertical="center" wrapText="1"/>
    </xf>
    <xf numFmtId="166" fontId="20" fillId="3" borderId="1" applyAlignment="1" pivotButton="0" quotePrefix="0" xfId="0">
      <alignment horizontal="right" vertical="center" wrapText="1"/>
    </xf>
    <xf numFmtId="10" fontId="43" fillId="0" borderId="0" applyAlignment="1" pivotButton="0" quotePrefix="0" xfId="3">
      <alignment horizontal="center"/>
    </xf>
    <xf numFmtId="166" fontId="17" fillId="7" borderId="0" applyAlignment="1" pivotButton="0" quotePrefix="0" xfId="0">
      <alignment horizontal="right" vertical="center" wrapText="1"/>
    </xf>
    <xf numFmtId="166" fontId="17" fillId="7" borderId="8" applyAlignment="1" pivotButton="0" quotePrefix="0" xfId="0">
      <alignment horizontal="right" vertical="center" wrapText="1"/>
    </xf>
    <xf numFmtId="167" fontId="5" fillId="7" borderId="0" applyAlignment="1" pivotButton="0" quotePrefix="0" xfId="0">
      <alignment horizontal="right" vertical="center" wrapText="1"/>
    </xf>
    <xf numFmtId="167" fontId="0" fillId="7" borderId="0" pivotButton="0" quotePrefix="0" xfId="0"/>
    <xf numFmtId="167" fontId="5" fillId="7" borderId="8" applyAlignment="1" pivotButton="0" quotePrefix="0" xfId="0">
      <alignment horizontal="right" vertical="center" wrapText="1"/>
    </xf>
    <xf numFmtId="166" fontId="5" fillId="7" borderId="0" applyAlignment="1" pivotButton="0" quotePrefix="0" xfId="0">
      <alignment horizontal="right" vertical="center" wrapText="1"/>
    </xf>
    <xf numFmtId="166" fontId="5" fillId="7" borderId="1" applyAlignment="1" pivotButton="0" quotePrefix="0" xfId="0">
      <alignment horizontal="right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10" fontId="20" fillId="3" borderId="0" applyAlignment="1" pivotButton="0" quotePrefix="0" xfId="0">
      <alignment horizontal="right" vertical="center" wrapText="1"/>
    </xf>
    <xf numFmtId="164" fontId="20" fillId="3" borderId="8" applyAlignment="1" pivotButton="0" quotePrefix="0" xfId="0">
      <alignment horizontal="right" vertical="center" wrapText="1"/>
    </xf>
    <xf numFmtId="164" fontId="5" fillId="0" borderId="0" applyAlignment="1" pivotButton="0" quotePrefix="0" xfId="2">
      <alignment horizontal="right" vertical="center"/>
    </xf>
    <xf numFmtId="164" fontId="5" fillId="0" borderId="8" applyAlignment="1" pivotButton="0" quotePrefix="0" xfId="2">
      <alignment horizontal="right" vertical="center"/>
    </xf>
    <xf numFmtId="167" fontId="2" fillId="0" borderId="0" pivotButton="0" quotePrefix="0" xfId="0"/>
    <xf numFmtId="166" fontId="38" fillId="0" borderId="0" applyAlignment="1" pivotButton="0" quotePrefix="0" xfId="0">
      <alignment horizontal="right" vertical="center" wrapText="1"/>
    </xf>
    <xf numFmtId="164" fontId="37" fillId="0" borderId="0" pivotButton="0" quotePrefix="0" xfId="2"/>
    <xf numFmtId="164" fontId="18" fillId="0" borderId="0" applyAlignment="1" pivotButton="0" quotePrefix="0" xfId="2">
      <alignment horizontal="center" vertical="center" wrapText="1"/>
    </xf>
    <xf numFmtId="0" fontId="10" fillId="0" borderId="0" applyAlignment="1" pivotButton="0" quotePrefix="0" xfId="0">
      <alignment horizontal="left" vertical="center" wrapText="1" indent="1"/>
    </xf>
    <xf numFmtId="3" fontId="10" fillId="0" borderId="0" applyAlignment="1" pivotButton="0" quotePrefix="0" xfId="0">
      <alignment horizontal="right" vertical="center" wrapText="1"/>
    </xf>
    <xf numFmtId="3" fontId="10" fillId="0" borderId="9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center" vertical="center"/>
    </xf>
    <xf numFmtId="14" fontId="56" fillId="0" borderId="0" applyAlignment="1" pivotButton="0" quotePrefix="0" xfId="0">
      <alignment horizontal="center" vertical="center"/>
    </xf>
    <xf numFmtId="0" fontId="56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/>
    </xf>
    <xf numFmtId="3" fontId="17" fillId="5" borderId="1" applyAlignment="1" pivotButton="0" quotePrefix="0" xfId="0">
      <alignment horizontal="right" vertical="center" wrapText="1"/>
    </xf>
    <xf numFmtId="0" fontId="57" fillId="0" borderId="0" applyAlignment="1" pivotButton="0" quotePrefix="0" xfId="0">
      <alignment horizontal="center" vertical="center"/>
    </xf>
    <xf numFmtId="0" fontId="57" fillId="5" borderId="0" applyAlignment="1" pivotButton="0" quotePrefix="0" xfId="0">
      <alignment horizontal="center" vertical="center"/>
    </xf>
    <xf numFmtId="0" fontId="37" fillId="3" borderId="0" pivotButton="0" quotePrefix="0" xfId="0"/>
    <xf numFmtId="0" fontId="37" fillId="0" borderId="0" applyAlignment="1" pivotButton="0" quotePrefix="0" xfId="0">
      <alignment wrapText="1"/>
    </xf>
    <xf numFmtId="165" fontId="4" fillId="3" borderId="0" pivotButton="0" quotePrefix="0" xfId="0"/>
    <xf numFmtId="0" fontId="58" fillId="0" borderId="0" pivotButton="0" quotePrefix="0" xfId="0"/>
    <xf numFmtId="0" fontId="53" fillId="0" borderId="0" applyAlignment="1" pivotButton="0" quotePrefix="0" xfId="0">
      <alignment horizontal="left" vertical="center" wrapText="1"/>
    </xf>
    <xf numFmtId="0" fontId="61" fillId="0" borderId="0" pivotButton="0" quotePrefix="0" xfId="0"/>
    <xf numFmtId="0" fontId="61" fillId="0" borderId="1" pivotButton="0" quotePrefix="0" xfId="0"/>
    <xf numFmtId="0" fontId="61" fillId="0" borderId="5" pivotButton="0" quotePrefix="0" xfId="0"/>
    <xf numFmtId="0" fontId="61" fillId="0" borderId="0" applyAlignment="1" pivotButton="0" quotePrefix="0" xfId="0">
      <alignment horizontal="center"/>
    </xf>
    <xf numFmtId="0" fontId="61" fillId="0" borderId="0" applyAlignment="1" pivotButton="0" quotePrefix="0" xfId="0">
      <alignment wrapText="1"/>
    </xf>
    <xf numFmtId="167" fontId="61" fillId="0" borderId="0" pivotButton="0" quotePrefix="0" xfId="0"/>
    <xf numFmtId="167" fontId="61" fillId="0" borderId="1" pivotButton="0" quotePrefix="0" xfId="0"/>
    <xf numFmtId="167" fontId="61" fillId="0" borderId="5" pivotButton="0" quotePrefix="0" xfId="0"/>
    <xf numFmtId="0" fontId="63" fillId="0" borderId="0" pivotButton="0" quotePrefix="0" xfId="0"/>
    <xf numFmtId="0" fontId="59" fillId="0" borderId="1" pivotButton="0" quotePrefix="0" xfId="0"/>
    <xf numFmtId="166" fontId="26" fillId="3" borderId="1" applyAlignment="1" pivotButton="0" quotePrefix="0" xfId="0">
      <alignment horizontal="right" vertical="center" wrapText="1"/>
    </xf>
    <xf numFmtId="166" fontId="10" fillId="3" borderId="1" applyAlignment="1" pivotButton="0" quotePrefix="0" xfId="0">
      <alignment horizontal="right" vertical="center" wrapText="1"/>
    </xf>
    <xf numFmtId="166" fontId="11" fillId="3" borderId="3" applyAlignment="1" pivotButton="0" quotePrefix="0" xfId="0">
      <alignment horizontal="right" vertical="center" wrapText="1"/>
    </xf>
    <xf numFmtId="14" fontId="24" fillId="3" borderId="0" applyAlignment="1" pivotButton="0" quotePrefix="0" xfId="0">
      <alignment horizontal="center" vertical="center" wrapText="1"/>
    </xf>
    <xf numFmtId="166" fontId="44" fillId="0" borderId="4" applyAlignment="1" pivotButton="0" quotePrefix="0" xfId="1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7" fontId="0" fillId="0" borderId="1" pivotButton="0" quotePrefix="0" xfId="0"/>
    <xf numFmtId="167" fontId="5" fillId="3" borderId="0" applyAlignment="1" pivotButton="0" quotePrefix="0" xfId="0">
      <alignment horizontal="right" vertical="center" wrapText="1"/>
    </xf>
    <xf numFmtId="164" fontId="20" fillId="3" borderId="8" applyAlignment="1" pivotButton="0" quotePrefix="0" xfId="2">
      <alignment horizontal="right" vertical="center" wrapText="1"/>
    </xf>
    <xf numFmtId="164" fontId="5" fillId="3" borderId="0" applyAlignment="1" pivotButton="0" quotePrefix="0" xfId="2">
      <alignment horizontal="right" vertical="center" wrapText="1"/>
    </xf>
    <xf numFmtId="166" fontId="17" fillId="3" borderId="9" applyAlignment="1" pivotButton="0" quotePrefix="0" xfId="0">
      <alignment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right" vertical="center" wrapText="1"/>
    </xf>
    <xf numFmtId="166" fontId="5" fillId="3" borderId="8" applyAlignment="1" pivotButton="0" quotePrefix="0" xfId="0">
      <alignment horizontal="right" vertical="center" wrapText="1"/>
    </xf>
    <xf numFmtId="166" fontId="17" fillId="3" borderId="8" applyAlignment="1" pivotButton="0" quotePrefix="0" xfId="0">
      <alignment horizontal="right" vertical="center" wrapText="1"/>
    </xf>
    <xf numFmtId="166" fontId="5" fillId="3" borderId="9" applyAlignment="1" pivotButton="0" quotePrefix="0" xfId="0">
      <alignment horizontal="right" vertical="center" wrapText="1"/>
    </xf>
    <xf numFmtId="0" fontId="37" fillId="3" borderId="0" applyAlignment="1" pivotButton="0" quotePrefix="0" xfId="0">
      <alignment wrapText="1"/>
    </xf>
    <xf numFmtId="166" fontId="0" fillId="3" borderId="0" pivotButton="0" quotePrefix="0" xfId="0"/>
    <xf numFmtId="166" fontId="20" fillId="3" borderId="0" applyAlignment="1" pivotButton="0" quotePrefix="0" xfId="1">
      <alignment horizontal="right" vertical="center" wrapText="1"/>
    </xf>
    <xf numFmtId="166" fontId="3" fillId="5" borderId="0" applyAlignment="1" pivotButton="0" quotePrefix="0" xfId="1">
      <alignment horizontal="right" vertical="center" wrapText="1"/>
    </xf>
    <xf numFmtId="166" fontId="20" fillId="3" borderId="9" applyAlignment="1" pivotButton="0" quotePrefix="0" xfId="0">
      <alignment horizontal="right" vertical="center" wrapText="1"/>
    </xf>
    <xf numFmtId="165" fontId="5" fillId="0" borderId="12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right" vertical="center" wrapText="1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wrapText="1"/>
    </xf>
    <xf numFmtId="166" fontId="25" fillId="3" borderId="0" pivotButton="0" quotePrefix="0" xfId="0"/>
    <xf numFmtId="0" fontId="65" fillId="0" borderId="0" applyAlignment="1" pivotButton="0" quotePrefix="0" xfId="0">
      <alignment horizontal="center" vertical="center"/>
    </xf>
    <xf numFmtId="164" fontId="1" fillId="0" borderId="0" pivotButton="0" quotePrefix="0" xfId="2"/>
    <xf numFmtId="164" fontId="1" fillId="0" borderId="21" pivotButton="0" quotePrefix="0" xfId="2"/>
    <xf numFmtId="0" fontId="64" fillId="0" borderId="0" applyAlignment="1" pivotButton="0" quotePrefix="0" xfId="0">
      <alignment vertical="center"/>
    </xf>
    <xf numFmtId="0" fontId="65" fillId="0" borderId="0" applyAlignment="1" pivotButton="0" quotePrefix="0" xfId="0">
      <alignment horizontal="left" vertical="center" indent="3"/>
    </xf>
    <xf numFmtId="0" fontId="3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2"/>
    </xf>
    <xf numFmtId="14" fontId="39" fillId="0" borderId="0" applyAlignment="1" pivotButton="0" quotePrefix="0" xfId="0">
      <alignment horizontal="left" vertical="center" indent="2"/>
    </xf>
    <xf numFmtId="3" fontId="3" fillId="0" borderId="0" applyAlignment="1" pivotButton="0" quotePrefix="0" xfId="0">
      <alignment horizontal="right" vertical="center" wrapText="1"/>
    </xf>
    <xf numFmtId="14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2"/>
    </xf>
    <xf numFmtId="0" fontId="3" fillId="0" borderId="21" applyAlignment="1" pivotButton="0" quotePrefix="0" xfId="0">
      <alignment horizontal="left" vertical="center" indent="2"/>
    </xf>
    <xf numFmtId="3" fontId="3" fillId="0" borderId="21" applyAlignment="1" pivotButton="0" quotePrefix="0" xfId="0">
      <alignment horizontal="right" vertical="center" indent="2"/>
    </xf>
    <xf numFmtId="3" fontId="3" fillId="0" borderId="0" applyAlignment="1" pivotButton="0" quotePrefix="0" xfId="0">
      <alignment horizontal="right" vertical="center" indent="2"/>
    </xf>
    <xf numFmtId="9" fontId="3" fillId="0" borderId="0" applyAlignment="1" pivotButton="0" quotePrefix="0" xfId="0">
      <alignment horizontal="right" vertical="center" indent="2"/>
    </xf>
    <xf numFmtId="9" fontId="3" fillId="0" borderId="21" applyAlignment="1" pivotButton="0" quotePrefix="0" xfId="0">
      <alignment horizontal="right" vertical="center" indent="2"/>
    </xf>
    <xf numFmtId="3" fontId="3" fillId="0" borderId="21" applyAlignment="1" pivotButton="0" quotePrefix="0" xfId="0">
      <alignment vertical="center"/>
    </xf>
    <xf numFmtId="0" fontId="10" fillId="3" borderId="0" pivotButton="0" quotePrefix="0" xfId="0"/>
    <xf numFmtId="14" fontId="34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9" fontId="20" fillId="0" borderId="0" applyAlignment="1" pivotButton="0" quotePrefix="0" xfId="0">
      <alignment horizontal="right" vertical="center"/>
    </xf>
    <xf numFmtId="0" fontId="20" fillId="0" borderId="8" applyAlignment="1" pivotButton="0" quotePrefix="0" xfId="0">
      <alignment horizontal="right" vertical="center"/>
    </xf>
    <xf numFmtId="0" fontId="10" fillId="5" borderId="22" applyAlignment="1" pivotButton="0" quotePrefix="0" xfId="0">
      <alignment horizontal="justify" vertical="center" wrapText="1"/>
    </xf>
    <xf numFmtId="0" fontId="26" fillId="5" borderId="23" applyAlignment="1" pivotButton="0" quotePrefix="0" xfId="0">
      <alignment horizontal="justify" vertical="center" wrapText="1"/>
    </xf>
    <xf numFmtId="0" fontId="26" fillId="5" borderId="14" applyAlignment="1" pivotButton="0" quotePrefix="0" xfId="0">
      <alignment horizontal="justify" vertical="center" wrapText="1"/>
    </xf>
    <xf numFmtId="0" fontId="66" fillId="0" borderId="0" pivotButton="0" quotePrefix="0" xfId="0"/>
    <xf numFmtId="14" fontId="35" fillId="5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14" fontId="35" fillId="5" borderId="0" applyAlignment="1" pivotButton="0" quotePrefix="0" xfId="0">
      <alignment horizontal="center" vertical="center" wrapText="1"/>
    </xf>
    <xf numFmtId="0" fontId="20" fillId="5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left" vertical="center"/>
    </xf>
    <xf numFmtId="0" fontId="24" fillId="5" borderId="23" applyAlignment="1" pivotButton="0" quotePrefix="0" xfId="0">
      <alignment horizontal="left" vertical="center"/>
    </xf>
    <xf numFmtId="0" fontId="26" fillId="3" borderId="19" applyAlignment="1" pivotButton="0" quotePrefix="0" xfId="0">
      <alignment horizontal="left" vertical="center"/>
    </xf>
    <xf numFmtId="0" fontId="26" fillId="3" borderId="0" applyAlignment="1" pivotButton="0" quotePrefix="0" xfId="0">
      <alignment horizontal="left" vertical="center"/>
    </xf>
    <xf numFmtId="0" fontId="26" fillId="3" borderId="20" applyAlignment="1" pivotButton="0" quotePrefix="0" xfId="0">
      <alignment horizontal="left" vertical="center"/>
    </xf>
    <xf numFmtId="0" fontId="26" fillId="3" borderId="1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/>
    </xf>
    <xf numFmtId="0" fontId="25" fillId="3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4" fontId="6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57" fillId="5" borderId="0" applyAlignment="1" pivotButton="0" quotePrefix="0" xfId="0">
      <alignment horizontal="left" vertical="center"/>
    </xf>
    <xf numFmtId="0" fontId="67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69" fillId="0" borderId="0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14" fontId="20" fillId="3" borderId="0" applyAlignment="1" pivotButton="0" quotePrefix="0" xfId="0">
      <alignment horizontal="left" vertical="center"/>
    </xf>
    <xf numFmtId="0" fontId="20" fillId="5" borderId="8" applyAlignment="1" pivotButton="0" quotePrefix="0" xfId="0">
      <alignment horizontal="left" vertical="center"/>
    </xf>
    <xf numFmtId="0" fontId="49" fillId="3" borderId="0" applyAlignment="1" pivotButton="0" quotePrefix="0" xfId="0">
      <alignment horizontal="left" vertical="center"/>
    </xf>
    <xf numFmtId="0" fontId="47" fillId="5" borderId="0" applyAlignment="1" pivotButton="0" quotePrefix="0" xfId="0">
      <alignment horizontal="left" vertical="center"/>
    </xf>
    <xf numFmtId="0" fontId="38" fillId="5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4" fontId="13" fillId="0" borderId="0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/>
    </xf>
    <xf numFmtId="14" fontId="19" fillId="5" borderId="0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14" fontId="34" fillId="0" borderId="0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61" fillId="0" borderId="5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left" vertical="center"/>
    </xf>
    <xf numFmtId="0" fontId="61" fillId="3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vertical="center" wrapText="1"/>
    </xf>
    <xf numFmtId="0" fontId="0" fillId="3" borderId="0" applyAlignment="1" pivotButton="0" quotePrefix="1" xfId="0">
      <alignment horizontal="left" vertical="center"/>
    </xf>
    <xf numFmtId="165" fontId="5" fillId="0" borderId="0" applyAlignment="1" pivotButton="0" quotePrefix="0" xfId="1">
      <alignment vertical="center" wrapText="1"/>
    </xf>
    <xf numFmtId="0" fontId="70" fillId="2" borderId="0" pivotButton="0" quotePrefix="0" xfId="0"/>
    <xf numFmtId="14" fontId="0" fillId="0" borderId="0" applyAlignment="1" pivotButton="0" quotePrefix="0" xfId="0">
      <alignment vertical="center"/>
    </xf>
    <xf numFmtId="167" fontId="0" fillId="0" borderId="1" pivotButton="0" quotePrefix="0" xfId="2"/>
    <xf numFmtId="0" fontId="0" fillId="0" borderId="21" applyAlignment="1" pivotButton="0" quotePrefix="0" xfId="0">
      <alignment horizontal="left" vertical="center"/>
    </xf>
    <xf numFmtId="166" fontId="0" fillId="0" borderId="21" pivotButton="0" quotePrefix="0" xfId="0"/>
    <xf numFmtId="0" fontId="66" fillId="2" borderId="0" applyAlignment="1" pivotButton="0" quotePrefix="0" xfId="0">
      <alignment horizontal="left" vertical="center"/>
    </xf>
    <xf numFmtId="0" fontId="71" fillId="2" borderId="0" pivotButton="0" quotePrefix="0" xfId="0"/>
    <xf numFmtId="0" fontId="72" fillId="5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vertical="center" wrapText="1"/>
    </xf>
    <xf numFmtId="0" fontId="73" fillId="0" borderId="0" applyAlignment="1" pivotButton="0" quotePrefix="0" xfId="0">
      <alignment vertical="center"/>
    </xf>
    <xf numFmtId="0" fontId="73" fillId="0" borderId="0" applyAlignment="1" pivotButton="0" quotePrefix="0" xfId="0">
      <alignment horizontal="center" vertical="center"/>
    </xf>
    <xf numFmtId="0" fontId="73" fillId="5" borderId="0" applyAlignment="1" pivotButton="0" quotePrefix="0" xfId="0">
      <alignment horizontal="right" vertical="center"/>
    </xf>
    <xf numFmtId="0" fontId="73" fillId="0" borderId="0" applyAlignment="1" pivotButton="0" quotePrefix="0" xfId="0">
      <alignment horizontal="right" vertical="center"/>
    </xf>
    <xf numFmtId="0" fontId="74" fillId="0" borderId="0" applyAlignment="1" pivotButton="0" quotePrefix="0" xfId="0">
      <alignment horizontal="right" vertical="center" wrapText="1"/>
    </xf>
    <xf numFmtId="0" fontId="73" fillId="5" borderId="8" applyAlignment="1" pivotButton="0" quotePrefix="0" xfId="0">
      <alignment vertical="center"/>
    </xf>
    <xf numFmtId="0" fontId="73" fillId="5" borderId="8" applyAlignment="1" pivotButton="0" quotePrefix="0" xfId="0">
      <alignment horizontal="center" vertical="center"/>
    </xf>
    <xf numFmtId="0" fontId="72" fillId="5" borderId="0" applyAlignment="1" pivotButton="0" quotePrefix="0" xfId="0">
      <alignment vertical="center"/>
    </xf>
    <xf numFmtId="0" fontId="75" fillId="5" borderId="0" applyAlignment="1" pivotButton="0" quotePrefix="0" xfId="0">
      <alignment vertical="center"/>
    </xf>
    <xf numFmtId="0" fontId="75" fillId="5" borderId="0" applyAlignment="1" pivotButton="0" quotePrefix="0" xfId="0">
      <alignment horizontal="right" vertical="center"/>
    </xf>
    <xf numFmtId="0" fontId="75" fillId="5" borderId="8" applyAlignment="1" pivotButton="0" quotePrefix="0" xfId="0">
      <alignment horizontal="right" vertical="center"/>
    </xf>
    <xf numFmtId="14" fontId="74" fillId="0" borderId="0" applyAlignment="1" pivotButton="0" quotePrefix="0" xfId="0">
      <alignment horizontal="center" vertical="center"/>
    </xf>
    <xf numFmtId="14" fontId="73" fillId="0" borderId="0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left" vertical="center" wrapText="1"/>
    </xf>
    <xf numFmtId="0" fontId="3" fillId="3" borderId="21" applyAlignment="1" pivotButton="0" quotePrefix="0" xfId="0">
      <alignment horizontal="left" vertical="center" indent="2"/>
    </xf>
    <xf numFmtId="0" fontId="76" fillId="0" borderId="0" pivotButton="0" quotePrefix="0" xfId="0"/>
    <xf numFmtId="0" fontId="18" fillId="0" borderId="0" applyAlignment="1" pivotButton="0" quotePrefix="0" xfId="0">
      <alignment horizontal="right" vertical="center"/>
    </xf>
    <xf numFmtId="0" fontId="36" fillId="5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/>
    </xf>
    <xf numFmtId="0" fontId="76" fillId="5" borderId="0" applyAlignment="1" pivotButton="0" quotePrefix="0" xfId="0">
      <alignment vertical="center" wrapText="1"/>
    </xf>
    <xf numFmtId="0" fontId="17" fillId="0" borderId="10" applyAlignment="1" pivotButton="0" quotePrefix="0" xfId="0">
      <alignment horizontal="right" vertical="center"/>
    </xf>
    <xf numFmtId="0" fontId="78" fillId="0" borderId="0" applyAlignment="1" pivotButton="0" quotePrefix="0" xfId="0">
      <alignment horizontal="justify" vertical="center"/>
    </xf>
    <xf numFmtId="0" fontId="79" fillId="0" borderId="0" applyAlignment="1" pivotButton="0" quotePrefix="0" xfId="0">
      <alignment horizontal="justify" vertical="center"/>
    </xf>
    <xf numFmtId="0" fontId="18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vertical="center"/>
    </xf>
    <xf numFmtId="3" fontId="17" fillId="0" borderId="1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wrapText="1" indent="1"/>
    </xf>
    <xf numFmtId="0" fontId="76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5" fillId="0" borderId="0" applyAlignment="1" pivotButton="0" quotePrefix="0" xfId="0">
      <alignment vertical="center" wrapText="1"/>
    </xf>
    <xf numFmtId="0" fontId="26" fillId="0" borderId="8" applyAlignment="1" pivotButton="0" quotePrefix="0" xfId="0">
      <alignment vertical="center" wrapText="1"/>
    </xf>
    <xf numFmtId="0" fontId="26" fillId="0" borderId="9" applyAlignment="1" pivotButton="0" quotePrefix="0" xfId="0">
      <alignment vertical="center" wrapText="1"/>
    </xf>
    <xf numFmtId="14" fontId="55" fillId="0" borderId="0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3" fontId="26" fillId="0" borderId="9" applyAlignment="1" pivotButton="0" quotePrefix="0" xfId="0">
      <alignment vertical="center" wrapText="1"/>
    </xf>
    <xf numFmtId="3" fontId="26" fillId="0" borderId="8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justify" vertical="center"/>
    </xf>
    <xf numFmtId="167" fontId="17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left" vertical="center" wrapText="1" indent="1"/>
    </xf>
    <xf numFmtId="0" fontId="17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2">
      <alignment horizontal="left" vertical="center" wrapText="1"/>
    </xf>
    <xf numFmtId="0" fontId="17" fillId="0" borderId="21" applyAlignment="1" pivotButton="0" quotePrefix="0" xfId="0">
      <alignment horizontal="left" vertical="center" wrapText="1"/>
    </xf>
    <xf numFmtId="164" fontId="5" fillId="0" borderId="21" applyAlignment="1" pivotButton="0" quotePrefix="0" xfId="2">
      <alignment horizontal="right" vertical="center" wrapText="1"/>
    </xf>
    <xf numFmtId="164" fontId="5" fillId="0" borderId="21" applyAlignment="1" pivotButton="0" quotePrefix="0" xfId="0">
      <alignment horizontal="right" vertical="center" wrapText="1"/>
    </xf>
    <xf numFmtId="0" fontId="77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 wrapText="1"/>
    </xf>
    <xf numFmtId="0" fontId="78" fillId="0" borderId="0" applyAlignment="1" pivotButton="0" quotePrefix="0" xfId="0">
      <alignment vertical="center"/>
    </xf>
    <xf numFmtId="0" fontId="20" fillId="0" borderId="9" applyAlignment="1" pivotButton="0" quotePrefix="0" xfId="0">
      <alignment horizontal="right" vertical="center"/>
    </xf>
    <xf numFmtId="0" fontId="20" fillId="0" borderId="9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14" fontId="20" fillId="0" borderId="0" applyAlignment="1" pivotButton="0" quotePrefix="0" xfId="0">
      <alignment horizontal="right" vertical="center"/>
    </xf>
    <xf numFmtId="0" fontId="20" fillId="0" borderId="8" applyAlignment="1" pivotButton="0" quotePrefix="0" xfId="0">
      <alignment vertical="center"/>
    </xf>
    <xf numFmtId="14" fontId="20" fillId="0" borderId="8" applyAlignment="1" pivotButton="0" quotePrefix="0" xfId="0">
      <alignment horizontal="right" vertical="center"/>
    </xf>
    <xf numFmtId="0" fontId="20" fillId="0" borderId="7" applyAlignment="1" pivotButton="0" quotePrefix="0" xfId="0">
      <alignment vertical="center" wrapText="1"/>
    </xf>
    <xf numFmtId="3" fontId="20" fillId="0" borderId="7" applyAlignment="1" pivotButton="0" quotePrefix="0" xfId="0">
      <alignment vertical="center"/>
    </xf>
    <xf numFmtId="3" fontId="20" fillId="0" borderId="0" applyAlignment="1" pivotButton="0" quotePrefix="0" xfId="0">
      <alignment vertical="center"/>
    </xf>
    <xf numFmtId="3" fontId="20" fillId="0" borderId="8" applyAlignment="1" pivotButton="0" quotePrefix="0" xfId="0">
      <alignment vertical="center"/>
    </xf>
    <xf numFmtId="0" fontId="76" fillId="0" borderId="7" applyAlignment="1" pivotButton="0" quotePrefix="0" xfId="0">
      <alignment vertical="center"/>
    </xf>
    <xf numFmtId="0" fontId="20" fillId="0" borderId="9" applyAlignment="1" pivotButton="0" quotePrefix="0" xfId="0">
      <alignment horizontal="right" vertical="top"/>
    </xf>
    <xf numFmtId="0" fontId="20" fillId="0" borderId="9" applyAlignment="1" pivotButton="0" quotePrefix="0" xfId="0">
      <alignment vertical="top" wrapText="1"/>
    </xf>
    <xf numFmtId="0" fontId="80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2"/>
    </xf>
    <xf numFmtId="3" fontId="3" fillId="0" borderId="0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9" fillId="0" borderId="0" applyAlignment="1" pivotButton="0" quotePrefix="0" xfId="0">
      <alignment horizontal="left" vertical="center" wrapText="1" indent="5"/>
    </xf>
    <xf numFmtId="14" fontId="0" fillId="0" borderId="13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31" fillId="3" borderId="0" applyAlignment="1" pivotButton="0" quotePrefix="0" xfId="0">
      <alignment horizont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 wrapText="1" indent="5"/>
    </xf>
    <xf numFmtId="0" fontId="10" fillId="0" borderId="0" pivotButton="0" quotePrefix="0" xfId="0"/>
    <xf numFmtId="0" fontId="2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4" fontId="32" fillId="0" borderId="0" applyAlignment="1" pivotButton="0" quotePrefix="0" xfId="0">
      <alignment horizontal="center" vertical="center" wrapText="1"/>
    </xf>
    <xf numFmtId="166" fontId="20" fillId="3" borderId="0" applyAlignment="1" pivotButton="0" quotePrefix="0" xfId="0">
      <alignment horizontal="right" vertical="center" wrapText="1"/>
    </xf>
    <xf numFmtId="0" fontId="20" fillId="5" borderId="0" applyAlignment="1" pivotButton="0" quotePrefix="0" xfId="0">
      <alignment horizontal="justify" vertical="center" wrapText="1"/>
    </xf>
    <xf numFmtId="0" fontId="20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/>
    </xf>
    <xf numFmtId="0" fontId="2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0" borderId="7" applyAlignment="1" pivotButton="0" quotePrefix="0" xfId="0">
      <alignment horizontal="right" vertical="center" wrapText="1"/>
    </xf>
    <xf numFmtId="0" fontId="2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5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 indent="4"/>
    </xf>
    <xf numFmtId="0" fontId="17" fillId="0" borderId="0" applyAlignment="1" pivotButton="0" quotePrefix="0" xfId="0">
      <alignment horizontal="left" vertical="center" wrapText="1"/>
    </xf>
    <xf numFmtId="0" fontId="54" fillId="0" borderId="0" applyAlignment="1" pivotButton="0" quotePrefix="0" xfId="0">
      <alignment horizontal="left" vertical="center" wrapText="1"/>
    </xf>
    <xf numFmtId="164" fontId="0" fillId="0" borderId="0" pivotButton="0" quotePrefix="0" xfId="2"/>
    <xf numFmtId="164" fontId="0" fillId="0" borderId="0" pivotButton="0" quotePrefix="0" xfId="0"/>
    <xf numFmtId="164" fontId="0" fillId="0" borderId="1" pivotButton="0" quotePrefix="0" xfId="2"/>
    <xf numFmtId="164" fontId="0" fillId="0" borderId="1" pivotButton="0" quotePrefix="0" xfId="0"/>
    <xf numFmtId="164" fontId="0" fillId="0" borderId="4" pivotButton="0" quotePrefix="0" xfId="2"/>
    <xf numFmtId="164" fontId="37" fillId="0" borderId="0" pivotButton="0" quotePrefix="0" xfId="2"/>
    <xf numFmtId="164" fontId="18" fillId="0" borderId="0" applyAlignment="1" pivotButton="0" quotePrefix="0" xfId="2">
      <alignment horizontal="center" vertical="center" wrapText="1"/>
    </xf>
    <xf numFmtId="165" fontId="5" fillId="0" borderId="0" applyAlignment="1" pivotButton="0" quotePrefix="0" xfId="1">
      <alignment vertical="center" wrapText="1"/>
    </xf>
    <xf numFmtId="165" fontId="5" fillId="0" borderId="0" applyAlignment="1" pivotButton="0" quotePrefix="0" xfId="1">
      <alignment horizontal="right" vertical="center" wrapText="1"/>
    </xf>
    <xf numFmtId="165" fontId="5" fillId="0" borderId="9" applyAlignment="1" pivotButton="0" quotePrefix="0" xfId="1">
      <alignment vertical="center" wrapText="1"/>
    </xf>
    <xf numFmtId="165" fontId="0" fillId="0" borderId="0" pivotButton="0" quotePrefix="0" xfId="1"/>
    <xf numFmtId="166" fontId="0" fillId="0" borderId="0" pivotButton="0" quotePrefix="0" xfId="2"/>
    <xf numFmtId="166" fontId="0" fillId="0" borderId="1" pivotButton="0" quotePrefix="0" xfId="2"/>
    <xf numFmtId="166" fontId="6" fillId="0" borderId="3" pivotButton="0" quotePrefix="0" xfId="2"/>
    <xf numFmtId="165" fontId="5" fillId="6" borderId="0" applyAlignment="1" pivotButton="0" quotePrefix="0" xfId="1">
      <alignment horizontal="right" vertical="center" wrapText="1"/>
    </xf>
    <xf numFmtId="166" fontId="17" fillId="5" borderId="8" applyAlignment="1" pivotButton="0" quotePrefix="0" xfId="0">
      <alignment horizontal="right" vertical="center" wrapText="1"/>
    </xf>
    <xf numFmtId="164" fontId="5" fillId="5" borderId="0" applyAlignment="1" pivotButton="0" quotePrefix="0" xfId="2">
      <alignment horizontal="right" vertical="center" wrapText="1"/>
    </xf>
    <xf numFmtId="166" fontId="5" fillId="7" borderId="0" applyAlignment="1" pivotButton="0" quotePrefix="0" xfId="0">
      <alignment horizontal="right" vertical="center" wrapText="1"/>
    </xf>
    <xf numFmtId="166" fontId="0" fillId="0" borderId="3" pivotButton="0" quotePrefix="0" xfId="2"/>
    <xf numFmtId="166" fontId="5" fillId="5" borderId="0" applyAlignment="1" pivotButton="0" quotePrefix="0" xfId="0">
      <alignment horizontal="right" vertical="center" wrapText="1"/>
    </xf>
    <xf numFmtId="166" fontId="0" fillId="3" borderId="0" pivotButton="0" quotePrefix="0" xfId="2"/>
    <xf numFmtId="166" fontId="0" fillId="0" borderId="0" pivotButton="0" quotePrefix="0" xfId="0"/>
    <xf numFmtId="166" fontId="5" fillId="5" borderId="8" applyAlignment="1" pivotButton="0" quotePrefix="0" xfId="0">
      <alignment horizontal="right" vertical="center" wrapText="1"/>
    </xf>
    <xf numFmtId="166" fontId="17" fillId="0" borderId="0" applyAlignment="1" pivotButton="0" quotePrefix="0" xfId="0">
      <alignment horizontal="right" vertical="center" wrapText="1"/>
    </xf>
    <xf numFmtId="166" fontId="17" fillId="7" borderId="0" applyAlignment="1" pivotButton="0" quotePrefix="0" xfId="0">
      <alignment horizontal="right" vertical="center" wrapText="1"/>
    </xf>
    <xf numFmtId="166" fontId="17" fillId="0" borderId="8" applyAlignment="1" pivotButton="0" quotePrefix="0" xfId="0">
      <alignment horizontal="right" vertical="center" wrapText="1"/>
    </xf>
    <xf numFmtId="166" fontId="17" fillId="7" borderId="8" applyAlignment="1" pivotButton="0" quotePrefix="0" xfId="0">
      <alignment horizontal="right" vertical="center" wrapText="1"/>
    </xf>
    <xf numFmtId="166" fontId="5" fillId="0" borderId="8" applyAlignment="1" pivotButton="0" quotePrefix="0" xfId="0">
      <alignment horizontal="right" vertical="center" wrapText="1"/>
    </xf>
    <xf numFmtId="167" fontId="5" fillId="0" borderId="0" applyAlignment="1" pivotButton="0" quotePrefix="0" xfId="1">
      <alignment horizontal="right" vertical="center" wrapText="1"/>
    </xf>
    <xf numFmtId="167" fontId="5" fillId="7" borderId="0" applyAlignment="1" pivotButton="0" quotePrefix="0" xfId="0">
      <alignment horizontal="right" vertical="center" wrapText="1"/>
    </xf>
    <xf numFmtId="167" fontId="0" fillId="7" borderId="0" pivotButton="0" quotePrefix="0" xfId="0"/>
    <xf numFmtId="167" fontId="5" fillId="0" borderId="8" applyAlignment="1" pivotButton="0" quotePrefix="0" xfId="0">
      <alignment horizontal="right" vertical="center" wrapText="1"/>
    </xf>
    <xf numFmtId="167" fontId="5" fillId="7" borderId="8" applyAlignment="1" pivotButton="0" quotePrefix="0" xfId="0">
      <alignment horizontal="right" vertical="center" wrapText="1"/>
    </xf>
    <xf numFmtId="167" fontId="0" fillId="0" borderId="0" pivotButton="0" quotePrefix="0" xfId="0"/>
    <xf numFmtId="166" fontId="0" fillId="0" borderId="0" pivotButton="0" quotePrefix="0" xfId="1"/>
    <xf numFmtId="167" fontId="0" fillId="0" borderId="0" pivotButton="0" quotePrefix="0" xfId="2"/>
    <xf numFmtId="167" fontId="0" fillId="0" borderId="1" pivotButton="0" quotePrefix="0" xfId="2"/>
    <xf numFmtId="167" fontId="0" fillId="0" borderId="1" pivotButton="0" quotePrefix="0" xfId="0"/>
    <xf numFmtId="166" fontId="0" fillId="0" borderId="21" pivotButton="0" quotePrefix="0" xfId="0"/>
    <xf numFmtId="166" fontId="0" fillId="0" borderId="4" pivotButton="0" quotePrefix="0" xfId="0"/>
    <xf numFmtId="166" fontId="26" fillId="3" borderId="20" applyAlignment="1" pivotButton="0" quotePrefix="0" xfId="0">
      <alignment vertical="center" wrapText="1"/>
    </xf>
    <xf numFmtId="166" fontId="0" fillId="3" borderId="19" pivotButton="0" quotePrefix="0" xfId="2"/>
    <xf numFmtId="166" fontId="0" fillId="3" borderId="17" pivotButton="0" quotePrefix="0" xfId="2"/>
    <xf numFmtId="166" fontId="0" fillId="3" borderId="1" pivotButton="0" quotePrefix="0" xfId="2"/>
    <xf numFmtId="166" fontId="26" fillId="3" borderId="18" applyAlignment="1" pivotButton="0" quotePrefix="0" xfId="0">
      <alignment vertical="center" wrapText="1"/>
    </xf>
    <xf numFmtId="166" fontId="26" fillId="3" borderId="0" applyAlignment="1" pivotButton="0" quotePrefix="0" xfId="0">
      <alignment vertical="center" wrapText="1"/>
    </xf>
    <xf numFmtId="166" fontId="26" fillId="3" borderId="3" applyAlignment="1" pivotButton="0" quotePrefix="0" xfId="0">
      <alignment horizontal="right" vertical="center" wrapText="1"/>
    </xf>
    <xf numFmtId="165" fontId="26" fillId="0" borderId="0" applyAlignment="1" pivotButton="0" quotePrefix="0" xfId="1">
      <alignment horizontal="right" vertical="center" wrapText="1"/>
    </xf>
    <xf numFmtId="166" fontId="10" fillId="0" borderId="0" applyAlignment="1" pivotButton="0" quotePrefix="0" xfId="0">
      <alignment horizontal="right" vertical="center" wrapText="1"/>
    </xf>
    <xf numFmtId="166" fontId="10" fillId="0" borderId="1" applyAlignment="1" pivotButton="0" quotePrefix="0" xfId="0">
      <alignment horizontal="right" vertical="center" wrapText="1"/>
    </xf>
    <xf numFmtId="166" fontId="26" fillId="0" borderId="1" applyAlignment="1" pivotButton="0" quotePrefix="0" xfId="0">
      <alignment horizontal="right" vertical="center" wrapText="1"/>
    </xf>
    <xf numFmtId="166" fontId="26" fillId="3" borderId="1" applyAlignment="1" pivotButton="0" quotePrefix="0" xfId="0">
      <alignment horizontal="right" vertical="center" wrapText="1"/>
    </xf>
    <xf numFmtId="166" fontId="10" fillId="3" borderId="1" applyAlignment="1" pivotButton="0" quotePrefix="0" xfId="0">
      <alignment horizontal="right" vertical="center" wrapText="1"/>
    </xf>
    <xf numFmtId="166" fontId="11" fillId="0" borderId="3" applyAlignment="1" pivotButton="0" quotePrefix="0" xfId="0">
      <alignment horizontal="right" vertical="center" wrapText="1"/>
    </xf>
    <xf numFmtId="166" fontId="27" fillId="0" borderId="3" applyAlignment="1" pivotButton="0" quotePrefix="0" xfId="0">
      <alignment horizontal="right" vertical="center" wrapText="1"/>
    </xf>
    <xf numFmtId="166" fontId="11" fillId="3" borderId="3" applyAlignment="1" pivotButton="0" quotePrefix="0" xfId="0">
      <alignment horizontal="right" vertical="center" wrapText="1"/>
    </xf>
    <xf numFmtId="166" fontId="25" fillId="0" borderId="0" pivotButton="0" quotePrefix="0" xfId="0"/>
    <xf numFmtId="165" fontId="29" fillId="0" borderId="0" applyAlignment="1" pivotButton="0" quotePrefix="0" xfId="1">
      <alignment horizontal="right" vertical="center" wrapText="1"/>
    </xf>
    <xf numFmtId="167" fontId="13" fillId="0" borderId="0" pivotButton="0" quotePrefix="0" xfId="1"/>
    <xf numFmtId="166" fontId="25" fillId="3" borderId="0" pivotButton="0" quotePrefix="0" xfId="0"/>
    <xf numFmtId="167" fontId="26" fillId="5" borderId="0" applyAlignment="1" pivotButton="0" quotePrefix="0" xfId="1">
      <alignment horizontal="right" vertical="center" wrapText="1"/>
    </xf>
    <xf numFmtId="166" fontId="44" fillId="0" borderId="0" applyAlignment="1" pivotButton="0" quotePrefix="0" xfId="1">
      <alignment horizontal="right" vertical="center" wrapText="1"/>
    </xf>
    <xf numFmtId="166" fontId="38" fillId="0" borderId="0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6" fontId="44" fillId="0" borderId="4" applyAlignment="1" pivotButton="0" quotePrefix="0" xfId="1">
      <alignment horizontal="right" vertical="center" wrapText="1"/>
    </xf>
    <xf numFmtId="166" fontId="21" fillId="0" borderId="0" applyAlignment="1" pivotButton="0" quotePrefix="0" xfId="1">
      <alignment vertical="center" wrapText="1"/>
    </xf>
    <xf numFmtId="164" fontId="1" fillId="0" borderId="0" pivotButton="0" quotePrefix="0" xfId="2"/>
    <xf numFmtId="164" fontId="1" fillId="0" borderId="21" pivotButton="0" quotePrefix="0" xfId="2"/>
    <xf numFmtId="166" fontId="35" fillId="0" borderId="0" applyAlignment="1" pivotButton="0" quotePrefix="0" xfId="0">
      <alignment horizontal="center" vertical="center" wrapText="1"/>
    </xf>
    <xf numFmtId="166" fontId="10" fillId="0" borderId="0" pivotButton="0" quotePrefix="0" xfId="2"/>
    <xf numFmtId="166" fontId="10" fillId="0" borderId="0" pivotButton="0" quotePrefix="0" xfId="0"/>
    <xf numFmtId="166" fontId="10" fillId="0" borderId="1" pivotButton="0" quotePrefix="0" xfId="2"/>
    <xf numFmtId="166" fontId="10" fillId="0" borderId="1" pivotButton="0" quotePrefix="0" xfId="0"/>
    <xf numFmtId="166" fontId="26" fillId="0" borderId="8" applyAlignment="1" pivotButton="0" quotePrefix="0" xfId="0">
      <alignment horizontal="right" vertical="center" wrapText="1"/>
    </xf>
    <xf numFmtId="166" fontId="24" fillId="0" borderId="0" applyAlignment="1" pivotButton="0" quotePrefix="0" xfId="0">
      <alignment horizontal="center" vertical="center" wrapText="1"/>
    </xf>
    <xf numFmtId="166" fontId="10" fillId="0" borderId="0" applyAlignment="1" pivotButton="0" quotePrefix="0" xfId="0">
      <alignment horizontal="right"/>
    </xf>
    <xf numFmtId="166" fontId="26" fillId="0" borderId="9" applyAlignment="1" pivotButton="0" quotePrefix="0" xfId="0">
      <alignment vertical="center" wrapText="1"/>
    </xf>
    <xf numFmtId="167" fontId="5" fillId="3" borderId="0" applyAlignment="1" pivotButton="0" quotePrefix="0" xfId="0">
      <alignment horizontal="right" vertical="center" wrapText="1"/>
    </xf>
    <xf numFmtId="166" fontId="17" fillId="0" borderId="9" applyAlignment="1" pivotButton="0" quotePrefix="0" xfId="0">
      <alignment vertical="center" wrapText="1"/>
    </xf>
    <xf numFmtId="165" fontId="5" fillId="3" borderId="0" applyAlignment="1" pivotButton="0" quotePrefix="0" xfId="1">
      <alignment horizontal="right" vertical="center" wrapText="1"/>
    </xf>
    <xf numFmtId="164" fontId="20" fillId="3" borderId="8" applyAlignment="1" pivotButton="0" quotePrefix="0" xfId="2">
      <alignment horizontal="right" vertical="center" wrapText="1"/>
    </xf>
    <xf numFmtId="164" fontId="5" fillId="3" borderId="0" applyAlignment="1" pivotButton="0" quotePrefix="0" xfId="2">
      <alignment horizontal="right" vertical="center" wrapText="1"/>
    </xf>
    <xf numFmtId="166" fontId="17" fillId="3" borderId="9" applyAlignment="1" pivotButton="0" quotePrefix="0" xfId="0">
      <alignment vertical="center" wrapText="1"/>
    </xf>
    <xf numFmtId="166" fontId="5" fillId="3" borderId="8" applyAlignment="1" pivotButton="0" quotePrefix="0" xfId="0">
      <alignment horizontal="right" vertical="center" wrapText="1"/>
    </xf>
    <xf numFmtId="166" fontId="17" fillId="3" borderId="8" applyAlignment="1" pivotButton="0" quotePrefix="0" xfId="0">
      <alignment horizontal="right" vertical="center" wrapText="1"/>
    </xf>
    <xf numFmtId="166" fontId="5" fillId="3" borderId="9" applyAlignment="1" pivotButton="0" quotePrefix="0" xfId="0">
      <alignment horizontal="right" vertical="center" wrapText="1"/>
    </xf>
    <xf numFmtId="165" fontId="4" fillId="3" borderId="0" pivotButton="0" quotePrefix="0" xfId="0"/>
    <xf numFmtId="165" fontId="5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5" fillId="0" borderId="8" applyAlignment="1" pivotButton="0" quotePrefix="0" xfId="0">
      <alignment horizontal="left" vertical="center" wrapText="1"/>
    </xf>
    <xf numFmtId="166" fontId="5" fillId="3" borderId="0" applyAlignment="1" pivotButton="0" quotePrefix="0" xfId="0">
      <alignment horizontal="right" vertical="center" wrapText="1"/>
    </xf>
    <xf numFmtId="165" fontId="5" fillId="0" borderId="9" applyAlignment="1" pivotButton="0" quotePrefix="0" xfId="0">
      <alignment horizontal="left" vertical="center" wrapText="1"/>
    </xf>
    <xf numFmtId="165" fontId="2" fillId="0" borderId="0" pivotButton="0" quotePrefix="0" xfId="0"/>
    <xf numFmtId="166" fontId="0" fillId="3" borderId="0" pivotButton="0" quotePrefix="0" xfId="0"/>
    <xf numFmtId="166" fontId="20" fillId="3" borderId="0" applyAlignment="1" pivotButton="0" quotePrefix="0" xfId="0">
      <alignment horizontal="right" vertical="center" wrapText="1"/>
    </xf>
    <xf numFmtId="166" fontId="20" fillId="3" borderId="0" applyAlignment="1" pivotButton="0" quotePrefix="0" xfId="1">
      <alignment horizontal="right" vertical="center" wrapText="1"/>
    </xf>
    <xf numFmtId="166" fontId="20" fillId="5" borderId="0" applyAlignment="1" pivotButton="0" quotePrefix="0" xfId="1">
      <alignment horizontal="right" vertical="center" wrapText="1"/>
    </xf>
    <xf numFmtId="166" fontId="3" fillId="3" borderId="8" applyAlignment="1" pivotButton="0" quotePrefix="0" xfId="1">
      <alignment horizontal="right" vertical="center" wrapText="1"/>
    </xf>
    <xf numFmtId="166" fontId="3" fillId="5" borderId="0" applyAlignment="1" pivotButton="0" quotePrefix="0" xfId="1">
      <alignment horizontal="right" vertical="center" wrapText="1"/>
    </xf>
    <xf numFmtId="166" fontId="20" fillId="5" borderId="8" applyAlignment="1" pivotButton="0" quotePrefix="0" xfId="1">
      <alignment horizontal="right" vertical="center" wrapText="1"/>
    </xf>
    <xf numFmtId="166" fontId="4" fillId="0" borderId="0" pivotButton="0" quotePrefix="0" xfId="0"/>
    <xf numFmtId="166" fontId="20" fillId="3" borderId="1" applyAlignment="1" pivotButton="0" quotePrefix="0" xfId="0">
      <alignment horizontal="right" vertical="center" wrapText="1"/>
    </xf>
    <xf numFmtId="164" fontId="20" fillId="3" borderId="8" applyAlignment="1" pivotButton="0" quotePrefix="0" xfId="0">
      <alignment horizontal="right" vertical="center" wrapText="1"/>
    </xf>
    <xf numFmtId="166" fontId="20" fillId="3" borderId="8" applyAlignment="1" pivotButton="0" quotePrefix="0" xfId="0">
      <alignment horizontal="right" vertical="center" wrapText="1"/>
    </xf>
    <xf numFmtId="166" fontId="20" fillId="3" borderId="9" applyAlignment="1" pivotButton="0" quotePrefix="0" xfId="0">
      <alignment horizontal="right" vertical="center" wrapText="1"/>
    </xf>
    <xf numFmtId="166" fontId="20" fillId="5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5" fillId="0" borderId="0" applyAlignment="1" pivotButton="0" quotePrefix="0" xfId="2">
      <alignment horizontal="right" vertical="center"/>
    </xf>
    <xf numFmtId="164" fontId="5" fillId="0" borderId="8" applyAlignment="1" pivotButton="0" quotePrefix="0" xfId="2">
      <alignment horizontal="right" vertical="center"/>
    </xf>
    <xf numFmtId="167" fontId="2" fillId="0" borderId="0" pivotButton="0" quotePrefix="0" xfId="0"/>
    <xf numFmtId="166" fontId="5" fillId="0" borderId="0" applyAlignment="1" pivotButton="0" quotePrefix="0" xfId="0">
      <alignment horizontal="right" vertical="center" wrapText="1"/>
    </xf>
    <xf numFmtId="165" fontId="5" fillId="0" borderId="1" applyAlignment="1" pivotButton="0" quotePrefix="0" xfId="1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5" fontId="36" fillId="0" borderId="3" applyAlignment="1" pivotButton="0" quotePrefix="0" xfId="1">
      <alignment horizontal="right" vertical="center" wrapText="1"/>
    </xf>
    <xf numFmtId="166" fontId="5" fillId="7" borderId="1" applyAlignment="1" pivotButton="0" quotePrefix="0" xfId="0">
      <alignment horizontal="right" vertical="center" wrapText="1"/>
    </xf>
    <xf numFmtId="165" fontId="5" fillId="5" borderId="8" applyAlignment="1" pivotButton="0" quotePrefix="0" xfId="1">
      <alignment horizontal="right" vertical="center" wrapText="1"/>
    </xf>
    <xf numFmtId="165" fontId="38" fillId="0" borderId="0" applyAlignment="1" pivotButton="0" quotePrefix="0" xfId="1">
      <alignment horizontal="right" vertical="center" wrapText="1"/>
    </xf>
    <xf numFmtId="166" fontId="38" fillId="0" borderId="0" applyAlignment="1" pivotButton="0" quotePrefix="0" xfId="1">
      <alignment horizontal="right" vertical="center" wrapText="1"/>
    </xf>
    <xf numFmtId="165" fontId="0" fillId="0" borderId="3" pivotButton="0" quotePrefix="0" xfId="0"/>
    <xf numFmtId="166" fontId="43" fillId="0" borderId="9" applyAlignment="1" pivotButton="0" quotePrefix="0" xfId="1">
      <alignment horizontal="right" vertical="center" wrapText="1"/>
    </xf>
    <xf numFmtId="165" fontId="43" fillId="0" borderId="9" applyAlignment="1" pivotButton="0" quotePrefix="0" xfId="1">
      <alignment horizontal="right" vertical="center" wrapText="1"/>
    </xf>
    <xf numFmtId="165" fontId="5" fillId="0" borderId="8" applyAlignment="1" pivotButton="0" quotePrefix="0" xfId="1">
      <alignment vertical="center" wrapText="1"/>
    </xf>
    <xf numFmtId="165" fontId="5" fillId="0" borderId="0" applyAlignment="1" pivotButton="0" quotePrefix="0" xfId="0">
      <alignment horizontal="center" vertical="center" wrapText="1"/>
    </xf>
    <xf numFmtId="164" fontId="20" fillId="5" borderId="0" applyAlignment="1" pivotButton="0" quotePrefix="0" xfId="0">
      <alignment vertical="center" wrapText="1"/>
    </xf>
    <xf numFmtId="164" fontId="20" fillId="5" borderId="0" applyAlignment="1" pivotButton="0" quotePrefix="0" xfId="0">
      <alignment horizontal="right" vertical="center" wrapText="1"/>
    </xf>
    <xf numFmtId="164" fontId="20" fillId="5" borderId="8" applyAlignment="1" pivotButton="0" quotePrefix="0" xfId="0">
      <alignment vertical="center" wrapText="1"/>
    </xf>
    <xf numFmtId="164" fontId="20" fillId="5" borderId="9" applyAlignment="1" pivotButton="0" quotePrefix="0" xfId="0">
      <alignment vertical="center" wrapText="1"/>
    </xf>
    <xf numFmtId="164" fontId="20" fillId="5" borderId="9" applyAlignment="1" pivotButton="0" quotePrefix="0" xfId="0">
      <alignment horizontal="right" vertical="center" wrapText="1"/>
    </xf>
    <xf numFmtId="164" fontId="20" fillId="0" borderId="4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 wrapText="1"/>
    </xf>
    <xf numFmtId="164" fontId="20" fillId="5" borderId="0" applyAlignment="1" pivotButton="0" quotePrefix="0" xfId="0">
      <alignment horizontal="left" vertical="center"/>
    </xf>
    <xf numFmtId="164" fontId="20" fillId="5" borderId="8" applyAlignment="1" pivotButton="0" quotePrefix="0" xfId="0">
      <alignment horizontal="right" vertical="center" wrapText="1"/>
    </xf>
    <xf numFmtId="164" fontId="3" fillId="5" borderId="8" applyAlignment="1" pivotButton="0" quotePrefix="0" xfId="0">
      <alignment horizontal="right" vertical="center" wrapText="1"/>
    </xf>
    <xf numFmtId="164" fontId="5" fillId="0" borderId="8" applyAlignment="1" pivotButton="0" quotePrefix="0" xfId="0">
      <alignment horizontal="right" vertical="center"/>
    </xf>
    <xf numFmtId="164" fontId="5" fillId="0" borderId="4" applyAlignment="1" pivotButton="0" quotePrefix="0" xfId="0">
      <alignment horizontal="right" vertical="center"/>
    </xf>
    <xf numFmtId="164" fontId="3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35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8" fontId="35" fillId="5" borderId="0" applyAlignment="1" pivotButton="0" quotePrefix="0" xfId="3">
      <alignment horizontal="right" vertical="center"/>
    </xf>
    <xf numFmtId="164" fontId="20" fillId="5" borderId="11" applyAlignment="1" pivotButton="0" quotePrefix="0" xfId="0">
      <alignment horizontal="right" vertical="center" wrapText="1"/>
    </xf>
    <xf numFmtId="165" fontId="5" fillId="0" borderId="12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right" vertical="center" wrapText="1"/>
    </xf>
    <xf numFmtId="167" fontId="5" fillId="0" borderId="0" applyAlignment="1" pivotButton="0" quotePrefix="0" xfId="2">
      <alignment horizontal="right" vertical="center" wrapText="1"/>
    </xf>
    <xf numFmtId="164" fontId="5" fillId="0" borderId="0" applyAlignment="1" pivotButton="0" quotePrefix="0" xfId="2">
      <alignment horizontal="right" vertical="center" wrapText="1"/>
    </xf>
    <xf numFmtId="166" fontId="5" fillId="0" borderId="0" applyAlignment="1" pivotButton="0" quotePrefix="0" xfId="0">
      <alignment vertical="center" wrapText="1"/>
    </xf>
    <xf numFmtId="166" fontId="5" fillId="0" borderId="8" applyAlignment="1" pivotButton="0" quotePrefix="0" xfId="0">
      <alignment vertical="center" wrapText="1"/>
    </xf>
    <xf numFmtId="167" fontId="17" fillId="0" borderId="9" applyAlignment="1" pivotButton="0" quotePrefix="0" xfId="0">
      <alignment vertical="center" wrapText="1"/>
    </xf>
    <xf numFmtId="167" fontId="5" fillId="0" borderId="1" applyAlignment="1" pivotButton="0" quotePrefix="0" xfId="2">
      <alignment horizontal="right" vertical="center" wrapText="1"/>
    </xf>
    <xf numFmtId="167" fontId="17" fillId="0" borderId="0" applyAlignment="1" pivotButton="0" quotePrefix="0" xfId="0">
      <alignment vertical="center" wrapText="1"/>
    </xf>
    <xf numFmtId="166" fontId="5" fillId="5" borderId="9" applyAlignment="1" pivotButton="0" quotePrefix="0" xfId="0">
      <alignment horizontal="right" vertical="center" wrapText="1"/>
    </xf>
    <xf numFmtId="166" fontId="0" fillId="0" borderId="3" pivotButton="0" quotePrefix="0" xfId="0"/>
    <xf numFmtId="167" fontId="61" fillId="0" borderId="0" pivotButton="0" quotePrefix="0" xfId="0"/>
    <xf numFmtId="167" fontId="61" fillId="0" borderId="1" pivotButton="0" quotePrefix="0" xfId="0"/>
    <xf numFmtId="167" fontId="61" fillId="0" borderId="5" pivotButton="0" quotePrefix="0" xfId="0"/>
    <xf numFmtId="0" fontId="17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0" fontId="54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 indent="4"/>
    </xf>
    <xf numFmtId="164" fontId="5" fillId="0" borderId="21" applyAlignment="1" pivotButton="0" quotePrefix="0" xfId="2">
      <alignment horizontal="right" vertical="center" wrapText="1"/>
    </xf>
    <xf numFmtId="164" fontId="5" fillId="0" borderId="21" applyAlignment="1" pivotButton="0" quotePrefix="0" xfId="0">
      <alignment horizontal="right" vertical="center" wrapText="1"/>
    </xf>
    <xf numFmtId="164" fontId="5" fillId="0" borderId="1" applyAlignment="1" pivotButton="0" quotePrefix="0" xfId="2">
      <alignment horizontal="left" vertical="center" wrapText="1"/>
    </xf>
  </cellXfs>
  <cellStyles count="21">
    <cellStyle name="Normal" xfId="0" builtinId="0"/>
    <cellStyle name="Millares" xfId="1" builtinId="3"/>
    <cellStyle name="Millares [0]" xfId="2" builtinId="6"/>
    <cellStyle name="Porcentaje" xfId="3" builtinId="5"/>
    <cellStyle name="Normal 4" xfId="4"/>
    <cellStyle name="Normal 2 3" xfId="5"/>
    <cellStyle name="Comma [0] 3" xfId="6"/>
    <cellStyle name="A3 297 x 420 mm" xfId="7"/>
    <cellStyle name="Normal 7 4 3 2" xfId="8"/>
    <cellStyle name="Porcentaje 10" xfId="9"/>
    <cellStyle name="Millares [0] 2 9" xfId="10"/>
    <cellStyle name="Comma_AF_CONTI_122003" xfId="11"/>
    <cellStyle name="Millares 38" xfId="12"/>
    <cellStyle name="Normal 133" xfId="13"/>
    <cellStyle name="Normal 269 5" xfId="14"/>
    <cellStyle name="Normal 262" xfId="15"/>
    <cellStyle name="Normal 5" xfId="16"/>
    <cellStyle name="Percent 2" xfId="17"/>
    <cellStyle name="Millares [0] 3" xfId="18"/>
    <cellStyle name="Millares [0] 4" xfId="19"/>
    <cellStyle name="Millares [0]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Cristiàn Saavedra</author>
  </authors>
  <commentList>
    <comment ref="M35" authorId="0" shapeId="0">
      <text>
        <t xml:space="preserve">cartera de clientes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F35"/>
  <sheetViews>
    <sheetView showGridLines="0" tabSelected="1" zoomScale="80" zoomScaleNormal="80" workbookViewId="0">
      <selection activeCell="H15" sqref="H15"/>
    </sheetView>
  </sheetViews>
  <sheetFormatPr baseColWidth="10" defaultRowHeight="14.4"/>
  <cols>
    <col width="27.6640625" customWidth="1" style="533" min="1" max="1"/>
    <col width="18.88671875" customWidth="1" style="533" min="2" max="2"/>
    <col width="17.88671875" customWidth="1" style="533" min="3" max="3"/>
    <col width="15.88671875" bestFit="1" customWidth="1" style="533" min="4" max="4"/>
    <col width="17.77734375" bestFit="1" customWidth="1" style="533" min="5" max="5"/>
    <col width="14.21875" bestFit="1" customWidth="1" style="533" min="6" max="6"/>
    <col width="12.5546875" bestFit="1" customWidth="1" style="533" min="7" max="7"/>
    <col width="14.5546875" bestFit="1" customWidth="1" style="533" min="8" max="8"/>
  </cols>
  <sheetData>
    <row r="3">
      <c r="A3" s="451" t="inlineStr">
        <is>
          <t>#N04.1</t>
        </is>
      </c>
      <c r="B3" s="531" t="n"/>
      <c r="C3" s="531" t="n"/>
      <c r="D3" s="531" t="n"/>
      <c r="F3" s="531" t="n"/>
    </row>
    <row r="4">
      <c r="B4" s="307" t="inlineStr">
        <is>
          <t>31-06-2026</t>
        </is>
      </c>
      <c r="C4" s="388" t="n">
        <v>46022</v>
      </c>
      <c r="D4" s="531" t="n"/>
      <c r="F4" s="531" t="n"/>
    </row>
    <row r="5">
      <c r="A5" s="386" t="inlineStr">
        <is>
          <t>Detalle</t>
        </is>
      </c>
      <c r="B5" s="531" t="inlineStr">
        <is>
          <t>M$</t>
        </is>
      </c>
      <c r="C5" s="531" t="inlineStr">
        <is>
          <t>M$</t>
        </is>
      </c>
      <c r="D5" s="531" t="n"/>
      <c r="F5" s="531" t="n"/>
    </row>
    <row r="6" ht="24" customHeight="1" s="533">
      <c r="A6" s="386" t="inlineStr">
        <is>
          <t>Efectivo en caja</t>
        </is>
      </c>
      <c r="B6" s="563" t="n"/>
      <c r="C6" s="564" t="n"/>
    </row>
    <row r="7">
      <c r="A7" s="386" t="inlineStr">
        <is>
          <t>Fondo fijo</t>
        </is>
      </c>
      <c r="B7" s="563" t="n"/>
      <c r="C7" s="564" t="n"/>
    </row>
    <row r="8" ht="15.75" customHeight="1" s="533">
      <c r="A8" s="386" t="inlineStr">
        <is>
          <t>Efectivo en bancos</t>
        </is>
      </c>
      <c r="B8" s="563" t="n"/>
      <c r="C8" s="564" t="n"/>
    </row>
    <row r="9" ht="15.75" customHeight="1" s="533">
      <c r="A9" s="386" t="inlineStr">
        <is>
          <t>Deposito a plazo</t>
        </is>
      </c>
      <c r="B9" s="563" t="n"/>
      <c r="C9" s="564" t="n"/>
    </row>
    <row r="10">
      <c r="A10" s="386" t="inlineStr">
        <is>
          <t>Fondos mutuos</t>
        </is>
      </c>
      <c r="B10" s="565" t="n"/>
      <c r="C10" s="566" t="n"/>
    </row>
    <row r="11" ht="15" customHeight="1" s="533" thickBot="1">
      <c r="A11" s="386" t="inlineStr">
        <is>
          <t>Total</t>
        </is>
      </c>
      <c r="B11" s="567">
        <f>SUM(B6:B10)</f>
        <v/>
      </c>
      <c r="C11" s="567">
        <f>SUM(C6:C10)</f>
        <v/>
      </c>
    </row>
    <row r="12" ht="15" customHeight="1" s="533" thickTop="1">
      <c r="B12" s="563" t="n"/>
    </row>
    <row r="13" ht="15" customHeight="1" s="533">
      <c r="A13" s="451" t="inlineStr">
        <is>
          <t>#N04.2</t>
        </is>
      </c>
      <c r="B13" s="563" t="n"/>
    </row>
    <row r="14">
      <c r="A14" s="386" t="inlineStr">
        <is>
          <t>Composicion de monedas</t>
        </is>
      </c>
      <c r="B14" s="307" t="inlineStr">
        <is>
          <t>31-06-2026</t>
        </is>
      </c>
      <c r="C14" s="388" t="n">
        <v>46022</v>
      </c>
    </row>
    <row r="15" customFormat="1" s="563">
      <c r="A15" s="568" t="n"/>
      <c r="B15" s="569" t="inlineStr">
        <is>
          <t>M$</t>
        </is>
      </c>
      <c r="C15" s="569" t="inlineStr">
        <is>
          <t>M$</t>
        </is>
      </c>
    </row>
    <row r="16">
      <c r="A16" s="553" t="inlineStr">
        <is>
          <t>Detalle</t>
        </is>
      </c>
      <c r="B16" s="13" t="n"/>
      <c r="C16" s="13" t="n"/>
    </row>
    <row r="17">
      <c r="A17" s="390" t="inlineStr">
        <is>
          <t>Dólares estadounidenses</t>
        </is>
      </c>
      <c r="B17" s="15" t="n"/>
    </row>
    <row r="18">
      <c r="A18" s="390" t="inlineStr">
        <is>
          <t>Pesos chilenos</t>
        </is>
      </c>
      <c r="B18" s="15" t="n"/>
    </row>
    <row r="19">
      <c r="A19" s="390" t="inlineStr">
        <is>
          <t>Euros</t>
        </is>
      </c>
      <c r="B19" s="565" t="n"/>
      <c r="C19" s="565" t="n"/>
    </row>
    <row r="20" ht="15" customHeight="1" s="533" thickBot="1">
      <c r="A20" s="390" t="inlineStr">
        <is>
          <t>Total</t>
        </is>
      </c>
      <c r="B20" s="567">
        <f>SUM(B17:B19)</f>
        <v/>
      </c>
      <c r="C20" s="567">
        <f>SUM(C17:C19)</f>
        <v/>
      </c>
    </row>
    <row r="21" ht="15" customHeight="1" s="533" thickTop="1"/>
    <row r="23">
      <c r="A23" s="451" t="inlineStr">
        <is>
          <t>#N04.3</t>
        </is>
      </c>
    </row>
    <row r="24">
      <c r="A24" t="inlineStr">
        <is>
          <t>DETALLE DE FONDOS MUTUOS</t>
        </is>
      </c>
    </row>
    <row r="26" ht="14.4" customHeight="1" s="533">
      <c r="A26" s="306" t="inlineStr">
        <is>
          <t>Detalle</t>
        </is>
      </c>
      <c r="B26" s="306" t="inlineStr">
        <is>
          <t>Banco</t>
        </is>
      </c>
      <c r="C26" s="391" t="inlineStr">
        <is>
          <t>Moneda</t>
        </is>
      </c>
      <c r="D26" s="307" t="inlineStr">
        <is>
          <t>31-06-2026</t>
        </is>
      </c>
      <c r="E26" s="530" t="n">
        <v>46022</v>
      </c>
    </row>
    <row r="27">
      <c r="D27" s="14" t="inlineStr">
        <is>
          <t>M$</t>
        </is>
      </c>
      <c r="E27" s="14" t="inlineStr">
        <is>
          <t>M$</t>
        </is>
      </c>
    </row>
    <row r="28">
      <c r="A28" s="233" t="inlineStr">
        <is>
          <t>Fondos mutuos</t>
        </is>
      </c>
      <c r="B28" s="558" t="n"/>
      <c r="D28" s="570" t="n"/>
      <c r="E28" s="571" t="n"/>
    </row>
    <row r="29">
      <c r="A29" s="233" t="inlineStr">
        <is>
          <t>Fondos mutuos</t>
        </is>
      </c>
      <c r="B29" s="558" t="n"/>
      <c r="D29" s="571" t="n"/>
      <c r="E29" s="570" t="n"/>
    </row>
    <row r="30">
      <c r="A30" s="233" t="inlineStr">
        <is>
          <t>Fondos mutuos</t>
        </is>
      </c>
      <c r="B30" s="558" t="n"/>
      <c r="D30" s="570" t="n"/>
      <c r="E30" s="570" t="n"/>
    </row>
    <row r="31">
      <c r="A31" s="233" t="inlineStr">
        <is>
          <t>Fondos mutuos</t>
        </is>
      </c>
      <c r="B31" s="558" t="n"/>
      <c r="D31" s="570" t="n"/>
      <c r="E31" s="570" t="n"/>
    </row>
    <row r="32">
      <c r="A32" s="233" t="inlineStr">
        <is>
          <t>Fondos mutuos</t>
        </is>
      </c>
      <c r="B32" s="558" t="n"/>
      <c r="D32" s="570" t="n"/>
      <c r="E32" s="570" t="n"/>
    </row>
    <row r="33" ht="15" customHeight="1" s="533" thickBot="1">
      <c r="A33" s="233" t="inlineStr">
        <is>
          <t>Fondos mutuos</t>
        </is>
      </c>
      <c r="B33" s="558" t="n"/>
      <c r="D33" s="570" t="n"/>
      <c r="E33" s="570" t="n"/>
    </row>
    <row r="34" ht="15" customHeight="1" s="533" thickBot="1">
      <c r="A34" s="233" t="inlineStr">
        <is>
          <t>Total</t>
        </is>
      </c>
      <c r="B34" s="19" t="n"/>
      <c r="D34" s="572">
        <f>SUM(D28:D33)</f>
        <v/>
      </c>
      <c r="E34" s="572">
        <f>SUM(E28:E33)</f>
        <v/>
      </c>
    </row>
    <row r="35">
      <c r="D35" s="573" t="n"/>
    </row>
  </sheetData>
  <mergeCells count="4">
    <mergeCell ref="B3"/>
    <mergeCell ref="C3"/>
    <mergeCell ref="D3"/>
    <mergeCell ref="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C7"/>
  <sheetViews>
    <sheetView showGridLines="0" workbookViewId="0">
      <selection activeCell="A3" sqref="A1:XFD3"/>
    </sheetView>
  </sheetViews>
  <sheetFormatPr baseColWidth="10" defaultRowHeight="14.4"/>
  <cols>
    <col width="38.5546875" customWidth="1" style="533" min="1" max="1"/>
    <col width="11.77734375" bestFit="1" customWidth="1" style="533" min="2" max="2"/>
    <col width="17.21875" bestFit="1" customWidth="1" style="533" min="3" max="3"/>
  </cols>
  <sheetData>
    <row r="1">
      <c r="A1" s="532" t="n"/>
      <c r="C1" s="58" t="n"/>
    </row>
    <row r="2">
      <c r="A2" s="451" t="inlineStr">
        <is>
          <t>#N05.1</t>
        </is>
      </c>
      <c r="B2" s="301" t="n"/>
      <c r="C2" s="301" t="n"/>
    </row>
    <row r="3">
      <c r="A3" s="300" t="n"/>
      <c r="B3" s="307" t="inlineStr">
        <is>
          <t>31-06-2026</t>
        </is>
      </c>
      <c r="C3" s="388" t="n">
        <v>46022</v>
      </c>
    </row>
    <row r="4">
      <c r="B4" s="58" t="inlineStr">
        <is>
          <t>M$</t>
        </is>
      </c>
      <c r="C4" s="58" t="inlineStr">
        <is>
          <t>M$</t>
        </is>
      </c>
    </row>
    <row r="5">
      <c r="A5" s="392" t="inlineStr">
        <is>
          <t>Detalle</t>
        </is>
      </c>
    </row>
    <row r="6" ht="15" customHeight="1" s="533" thickBot="1">
      <c r="A6" s="300" t="inlineStr">
        <is>
          <t xml:space="preserve">Garantías recibidas </t>
        </is>
      </c>
      <c r="B6" s="301" t="n"/>
      <c r="C6" s="301" t="n"/>
    </row>
    <row r="7" ht="15" customHeight="1" s="533" thickBot="1">
      <c r="A7" s="300" t="inlineStr">
        <is>
          <t>Total</t>
        </is>
      </c>
      <c r="B7" s="302" t="n"/>
      <c r="C7" s="302" t="n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45"/>
  <sheetViews>
    <sheetView showGridLines="0" topLeftCell="A16" zoomScale="90" zoomScaleNormal="90" workbookViewId="0">
      <selection activeCell="F13" sqref="F13"/>
    </sheetView>
  </sheetViews>
  <sheetFormatPr baseColWidth="10" defaultRowHeight="14.4"/>
  <cols>
    <col width="38.109375" customWidth="1" style="533" min="2" max="2"/>
    <col width="14.33203125" customWidth="1" style="533" min="3" max="3"/>
    <col width="18.109375" bestFit="1" customWidth="1" style="533" min="4" max="4"/>
    <col width="14" customWidth="1" style="533" min="5" max="5"/>
    <col width="15.77734375" bestFit="1" customWidth="1" style="533" min="6" max="6"/>
    <col width="9.44140625" bestFit="1" customWidth="1" style="533" min="7" max="7"/>
  </cols>
  <sheetData>
    <row r="2">
      <c r="B2" s="451" t="inlineStr">
        <is>
          <t>#N06.1</t>
        </is>
      </c>
      <c r="C2" s="531" t="n"/>
      <c r="D2" s="531" t="n"/>
    </row>
    <row r="3">
      <c r="C3" s="307" t="inlineStr">
        <is>
          <t>31-06-2026</t>
        </is>
      </c>
      <c r="D3" s="388" t="n">
        <v>46022</v>
      </c>
    </row>
    <row r="4">
      <c r="B4" s="387" t="inlineStr">
        <is>
          <t>Detalle</t>
        </is>
      </c>
      <c r="C4" s="531" t="inlineStr">
        <is>
          <t>M$</t>
        </is>
      </c>
      <c r="D4" s="531" t="inlineStr">
        <is>
          <t>M$</t>
        </is>
      </c>
    </row>
    <row r="6">
      <c r="B6" s="386" t="inlineStr">
        <is>
          <t>Deudores por ventas</t>
        </is>
      </c>
      <c r="C6" s="574" t="n"/>
      <c r="D6" s="574" t="n"/>
    </row>
    <row r="7">
      <c r="B7" s="386" t="inlineStr">
        <is>
          <t>Estimación de incobrables</t>
        </is>
      </c>
      <c r="C7" s="575" t="n"/>
      <c r="D7" s="575" t="n"/>
    </row>
    <row r="8">
      <c r="B8" s="386" t="inlineStr">
        <is>
          <t>Sub total cuentas por cobrar, neto</t>
        </is>
      </c>
      <c r="C8" s="574">
        <f>SUM(C6:C7)</f>
        <v/>
      </c>
      <c r="D8" s="574">
        <f>SUM(D6:D7)</f>
        <v/>
      </c>
    </row>
    <row r="9" ht="11.25" customHeight="1" s="533">
      <c r="C9" s="574" t="n"/>
      <c r="D9" s="574" t="n"/>
    </row>
    <row r="10">
      <c r="B10" s="386" t="inlineStr">
        <is>
          <t>Recaudaciones por cobrar</t>
        </is>
      </c>
      <c r="C10" s="574" t="n"/>
      <c r="D10" s="574" t="n"/>
    </row>
    <row r="11">
      <c r="B11" s="386" t="inlineStr">
        <is>
          <t>Documentos por cobrar</t>
        </is>
      </c>
      <c r="C11" s="574" t="n"/>
      <c r="D11" s="574" t="n"/>
    </row>
    <row r="12">
      <c r="B12" s="386" t="inlineStr">
        <is>
          <t>Saldos con personal</t>
        </is>
      </c>
      <c r="C12" s="574" t="n"/>
      <c r="D12" s="574" t="n"/>
    </row>
    <row r="13">
      <c r="B13" s="386" t="inlineStr">
        <is>
          <t>Anticipos proveedores y otros</t>
        </is>
      </c>
      <c r="C13" s="574" t="n"/>
      <c r="D13" s="574" t="n"/>
    </row>
    <row r="14">
      <c r="B14" s="386" t="inlineStr">
        <is>
          <t>Deudores varios</t>
        </is>
      </c>
      <c r="C14" s="574" t="n"/>
      <c r="D14" s="574" t="n"/>
    </row>
    <row r="15" ht="15" customHeight="1" s="533" thickBot="1">
      <c r="B15" s="387" t="inlineStr">
        <is>
          <t>Total</t>
        </is>
      </c>
      <c r="C15" s="576">
        <f>SUM(C8:C14)</f>
        <v/>
      </c>
      <c r="D15" s="576">
        <f>SUM(D8:D14)</f>
        <v/>
      </c>
    </row>
    <row r="16" ht="15" customHeight="1" s="533" thickTop="1"/>
    <row r="19">
      <c r="B19" s="451" t="inlineStr">
        <is>
          <t>#N06.2</t>
        </is>
      </c>
      <c r="C19" s="305" t="n"/>
      <c r="D19" s="305" t="n"/>
    </row>
    <row r="20" ht="23.25" customHeight="1" s="533">
      <c r="B20" s="393" t="inlineStr">
        <is>
          <t xml:space="preserve">Cuentas comerciales netas vencidas según plazo </t>
        </is>
      </c>
      <c r="C20" s="307" t="inlineStr">
        <is>
          <t>31-06-2026</t>
        </is>
      </c>
      <c r="D20" s="388" t="n">
        <v>46022</v>
      </c>
    </row>
    <row r="21">
      <c r="B21" s="30" t="n"/>
      <c r="C21" s="304" t="inlineStr">
        <is>
          <t>M$</t>
        </is>
      </c>
      <c r="D21" s="304" t="inlineStr">
        <is>
          <t>M$</t>
        </is>
      </c>
    </row>
    <row r="22">
      <c r="B22" s="32" t="n"/>
      <c r="C22" s="559" t="n"/>
      <c r="D22" s="559" t="n"/>
    </row>
    <row r="23">
      <c r="B23" s="32" t="n"/>
      <c r="C23" s="559" t="n"/>
      <c r="D23" s="559" t="n"/>
    </row>
    <row r="24">
      <c r="B24" s="394" t="inlineStr">
        <is>
          <t>No vencido</t>
        </is>
      </c>
      <c r="C24" s="577" t="n"/>
      <c r="D24" s="39" t="n"/>
    </row>
    <row r="25">
      <c r="B25" s="394" t="inlineStr">
        <is>
          <t>De 0 a 30 días</t>
        </is>
      </c>
      <c r="C25" s="577" t="n"/>
      <c r="D25" s="39" t="n"/>
    </row>
    <row r="26">
      <c r="B26" s="394" t="inlineStr">
        <is>
          <t>De 31 a 60 días</t>
        </is>
      </c>
      <c r="C26" s="577" t="n"/>
      <c r="D26" s="39" t="n"/>
    </row>
    <row r="27">
      <c r="B27" s="394" t="inlineStr">
        <is>
          <t>De 61 a 90 días</t>
        </is>
      </c>
      <c r="C27" s="577" t="n"/>
      <c r="D27" s="39" t="n"/>
    </row>
    <row r="28">
      <c r="B28" s="394" t="inlineStr">
        <is>
          <t>De 91 a 120 días</t>
        </is>
      </c>
      <c r="C28" s="577" t="n"/>
      <c r="D28" s="39" t="n"/>
    </row>
    <row r="29">
      <c r="B29" s="394" t="inlineStr">
        <is>
          <t>De 121 a 180 días</t>
        </is>
      </c>
      <c r="C29" s="577" t="n"/>
      <c r="D29" s="39" t="n"/>
    </row>
    <row r="30" ht="15" customHeight="1" s="533" thickBot="1">
      <c r="B30" s="394" t="inlineStr">
        <is>
          <t>Mayor a 180 días</t>
        </is>
      </c>
      <c r="C30" s="40" t="n"/>
      <c r="D30" s="40" t="n"/>
    </row>
    <row r="31" ht="15" customHeight="1" s="533" thickBot="1">
      <c r="B31" s="394" t="inlineStr">
        <is>
          <t xml:space="preserve">Total </t>
        </is>
      </c>
      <c r="C31" s="35">
        <f>SUM(C24:C30)</f>
        <v/>
      </c>
      <c r="D31" s="35">
        <f>SUM(D24:D30)</f>
        <v/>
      </c>
    </row>
    <row r="34">
      <c r="B34" s="451" t="inlineStr">
        <is>
          <t>#N06.3</t>
        </is>
      </c>
    </row>
    <row r="35">
      <c r="B35" t="inlineStr">
        <is>
          <t>MOVIMIENTO DE INCOBRABLES</t>
        </is>
      </c>
    </row>
    <row r="37">
      <c r="C37" s="307" t="inlineStr">
        <is>
          <t>31-06-2026</t>
        </is>
      </c>
      <c r="D37" s="388" t="n">
        <v>46022</v>
      </c>
    </row>
    <row r="38">
      <c r="B38" s="32" t="n"/>
      <c r="C38" s="304" t="inlineStr">
        <is>
          <t>M$</t>
        </is>
      </c>
      <c r="D38" s="304" t="inlineStr">
        <is>
          <t>M$</t>
        </is>
      </c>
    </row>
    <row r="39">
      <c r="B39" s="393" t="inlineStr">
        <is>
          <t>Movimientos</t>
        </is>
      </c>
      <c r="C39" s="559" t="inlineStr">
        <is>
          <t>M$</t>
        </is>
      </c>
      <c r="D39" s="559" t="inlineStr">
        <is>
          <t>M$</t>
        </is>
      </c>
    </row>
    <row r="40">
      <c r="B40" s="32" t="n"/>
      <c r="C40" s="32" t="n"/>
      <c r="D40" s="32" t="n"/>
    </row>
    <row r="41">
      <c r="B41" s="394" t="inlineStr">
        <is>
          <t>Saldo inicial</t>
        </is>
      </c>
      <c r="C41" s="36">
        <f>+D45</f>
        <v/>
      </c>
      <c r="D41" s="36" t="n"/>
    </row>
    <row r="42">
      <c r="B42" s="395" t="inlineStr">
        <is>
          <t>Pérdida reconocida por deterioro</t>
        </is>
      </c>
      <c r="C42" s="36" t="n"/>
      <c r="D42" s="36" t="n"/>
    </row>
    <row r="43">
      <c r="B43" s="395" t="inlineStr">
        <is>
          <t>Reverso de deterioro (1)</t>
        </is>
      </c>
      <c r="C43" s="36" t="n"/>
      <c r="D43" s="36" t="n"/>
    </row>
    <row r="44">
      <c r="B44" s="395" t="inlineStr">
        <is>
          <t>Castigos (1)</t>
        </is>
      </c>
      <c r="C44" s="308" t="n"/>
      <c r="D44" s="308" t="n"/>
    </row>
    <row r="45" ht="15" customHeight="1" s="533" thickBot="1">
      <c r="B45" s="394" t="inlineStr">
        <is>
          <t xml:space="preserve">Saldo final  </t>
        </is>
      </c>
      <c r="C45" s="578">
        <f>SUM(C41:C44)</f>
        <v/>
      </c>
      <c r="D45" s="57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G57"/>
  <sheetViews>
    <sheetView showGridLines="0" zoomScale="90" zoomScaleNormal="90" workbookViewId="0">
      <selection activeCell="C1" sqref="C1:H1048576"/>
    </sheetView>
  </sheetViews>
  <sheetFormatPr baseColWidth="10" defaultRowHeight="14.4"/>
  <cols>
    <col width="5.44140625" customWidth="1" style="533" min="1" max="1"/>
    <col width="40.21875" customWidth="1" style="533" min="2" max="2"/>
    <col width="14.33203125" customWidth="1" style="533" min="3" max="3"/>
    <col width="18.109375" bestFit="1" customWidth="1" style="533" min="4" max="4"/>
    <col width="17.109375" bestFit="1" customWidth="1" style="533" min="5" max="5"/>
    <col width="11.88671875" bestFit="1" customWidth="1" style="533" min="6" max="6"/>
    <col width="16" bestFit="1" customWidth="1" style="533" min="7" max="7"/>
  </cols>
  <sheetData>
    <row r="1">
      <c r="B1" s="451" t="inlineStr">
        <is>
          <t>#N07.1</t>
        </is>
      </c>
      <c r="C1" s="5" t="n"/>
      <c r="D1" s="5" t="n"/>
      <c r="E1" s="5" t="n"/>
      <c r="G1" s="5" t="n"/>
    </row>
    <row r="2">
      <c r="B2" s="387" t="inlineStr">
        <is>
          <t>La composición de este rubro es la siguiente:</t>
        </is>
      </c>
    </row>
    <row r="3">
      <c r="C3" s="307" t="inlineStr">
        <is>
          <t>31-06-2026</t>
        </is>
      </c>
      <c r="D3" s="388" t="n">
        <v>46022</v>
      </c>
      <c r="E3" s="72" t="n"/>
      <c r="G3" s="72" t="n"/>
    </row>
    <row r="4">
      <c r="B4" s="386" t="inlineStr">
        <is>
          <t>Detalle</t>
        </is>
      </c>
      <c r="C4" s="538" t="inlineStr">
        <is>
          <t>M$</t>
        </is>
      </c>
      <c r="D4" s="538" t="inlineStr">
        <is>
          <t>M$</t>
        </is>
      </c>
    </row>
    <row r="6">
      <c r="B6" s="386" t="inlineStr">
        <is>
          <t>Bodega central (*)</t>
        </is>
      </c>
      <c r="C6" s="579" t="n"/>
      <c r="D6" s="580" t="n"/>
      <c r="E6" s="579" t="n"/>
      <c r="G6" s="579" t="n"/>
    </row>
    <row r="7">
      <c r="B7" s="386" t="inlineStr">
        <is>
          <t>Otras bodegas (**)</t>
        </is>
      </c>
      <c r="C7" s="579" t="n"/>
      <c r="D7" s="580" t="n"/>
      <c r="E7" s="579" t="n"/>
      <c r="G7" s="579" t="n"/>
    </row>
    <row r="8">
      <c r="B8" s="386" t="inlineStr">
        <is>
          <t>Bodega tecnica</t>
        </is>
      </c>
      <c r="C8" s="579" t="n"/>
      <c r="D8" s="580" t="n"/>
      <c r="E8" s="579" t="n"/>
      <c r="G8" s="579" t="n"/>
    </row>
    <row r="9">
      <c r="B9" s="386" t="inlineStr">
        <is>
          <t>Bodega en transito</t>
        </is>
      </c>
      <c r="C9" s="579" t="n"/>
      <c r="D9" s="580" t="n"/>
      <c r="E9" s="579" t="n"/>
      <c r="G9" s="579" t="n"/>
    </row>
    <row r="10">
      <c r="B10" s="386" t="inlineStr">
        <is>
          <t>Bodega de contratistas</t>
        </is>
      </c>
      <c r="C10" s="579" t="n"/>
      <c r="D10" s="580" t="n"/>
      <c r="E10" s="579" t="n"/>
      <c r="G10" s="579" t="n"/>
    </row>
    <row r="11">
      <c r="B11" s="386" t="inlineStr">
        <is>
          <t>Bodega de operaciones</t>
        </is>
      </c>
      <c r="C11" s="579" t="n"/>
      <c r="D11" s="580" t="n"/>
      <c r="E11" s="579" t="n"/>
      <c r="G11" s="579" t="n"/>
    </row>
    <row r="12">
      <c r="B12" s="386" t="inlineStr">
        <is>
          <t>Deterioro por obsolescencia de materiales</t>
        </is>
      </c>
      <c r="C12" s="579" t="n"/>
      <c r="D12" s="580" t="n"/>
      <c r="E12" s="579" t="n"/>
      <c r="G12" s="579" t="n"/>
    </row>
    <row r="13" ht="15" customHeight="1" s="533" thickBot="1">
      <c r="B13" s="386" t="inlineStr">
        <is>
          <t>Total</t>
        </is>
      </c>
      <c r="C13" s="581">
        <f>SUM(C6:C12)</f>
        <v/>
      </c>
      <c r="D13" s="581">
        <f>SUM(D6:D12)</f>
        <v/>
      </c>
      <c r="E13" s="574" t="n"/>
      <c r="G13" s="563" t="n"/>
    </row>
    <row r="14" ht="15" customHeight="1" s="533" thickTop="1">
      <c r="C14" s="42" t="n"/>
    </row>
    <row r="15">
      <c r="C15" s="564" t="n"/>
    </row>
    <row r="17">
      <c r="B17" s="451" t="inlineStr">
        <is>
          <t>#N07.2</t>
        </is>
      </c>
    </row>
    <row r="18">
      <c r="B18" s="387" t="inlineStr">
        <is>
          <t>El movimiento de la provisión de obsolescencia al cierre de cada ejercicio es el siguiente:</t>
        </is>
      </c>
    </row>
    <row r="19">
      <c r="B19" s="32" t="n"/>
      <c r="C19" s="307" t="inlineStr">
        <is>
          <t>31-06-2026</t>
        </is>
      </c>
      <c r="D19" s="388" t="n">
        <v>46022</v>
      </c>
    </row>
    <row r="20">
      <c r="B20" s="44" t="n"/>
      <c r="C20" s="559" t="inlineStr">
        <is>
          <t xml:space="preserve">     M$</t>
        </is>
      </c>
      <c r="D20" s="559" t="inlineStr">
        <is>
          <t>M$</t>
        </is>
      </c>
    </row>
    <row r="21">
      <c r="B21" s="394" t="inlineStr">
        <is>
          <t>Saldo inicial</t>
        </is>
      </c>
      <c r="C21" s="582" t="n"/>
      <c r="D21" s="583" t="n"/>
    </row>
    <row r="22">
      <c r="B22" s="394" t="inlineStr">
        <is>
          <t>Disminución por obsolescencia</t>
        </is>
      </c>
      <c r="C22" s="582" t="n"/>
      <c r="D22" s="583" t="n"/>
    </row>
    <row r="23">
      <c r="B23" s="394" t="inlineStr">
        <is>
          <t>Utilización por castigo</t>
        </is>
      </c>
      <c r="C23" s="582" t="n"/>
      <c r="D23" s="584" t="n"/>
    </row>
    <row r="24" ht="15" customHeight="1" s="533" thickBot="1">
      <c r="B24" s="394" t="inlineStr">
        <is>
          <t>Aumento por obsolescencia</t>
        </is>
      </c>
      <c r="C24" s="585" t="n"/>
      <c r="D24" s="65" t="n"/>
    </row>
    <row r="25" ht="15" customHeight="1" s="533" thickBot="1">
      <c r="B25" s="394" t="inlineStr">
        <is>
          <t>Saldo final</t>
        </is>
      </c>
      <c r="C25" s="585">
        <f>SUM(C21:C24)</f>
        <v/>
      </c>
      <c r="D25" s="585">
        <f>SUM(D21:D24)</f>
        <v/>
      </c>
    </row>
    <row r="26" ht="15" customHeight="1" s="533">
      <c r="B26" s="394" t="n"/>
      <c r="C26" s="582" t="n"/>
      <c r="D26" s="582" t="n"/>
    </row>
    <row r="27">
      <c r="B27" s="451" t="inlineStr">
        <is>
          <t>#N07.3</t>
        </is>
      </c>
    </row>
    <row r="28">
      <c r="B28" s="387" t="inlineStr">
        <is>
          <t xml:space="preserve"> Los movimientos de los inventarios son los siguientes:</t>
        </is>
      </c>
    </row>
    <row r="29">
      <c r="B29" s="32" t="n"/>
      <c r="C29" s="307" t="inlineStr">
        <is>
          <t>31-06-2026</t>
        </is>
      </c>
      <c r="D29" s="388" t="n">
        <v>46022</v>
      </c>
    </row>
    <row r="30">
      <c r="B30" s="393" t="inlineStr">
        <is>
          <t>Movimiento</t>
        </is>
      </c>
      <c r="C30" s="13" t="inlineStr">
        <is>
          <t>M$</t>
        </is>
      </c>
      <c r="D30" s="13" t="inlineStr">
        <is>
          <t>M$</t>
        </is>
      </c>
    </row>
    <row r="31">
      <c r="B31" s="32" t="n"/>
      <c r="C31" s="558" t="n"/>
      <c r="D31" s="17" t="n"/>
    </row>
    <row r="32">
      <c r="B32" s="394" t="inlineStr">
        <is>
          <t>Saldo inicial</t>
        </is>
      </c>
      <c r="C32" s="586" t="n"/>
      <c r="D32" s="586" t="n"/>
    </row>
    <row r="33">
      <c r="B33" s="394" t="inlineStr">
        <is>
          <t>Compras</t>
        </is>
      </c>
      <c r="C33" s="586" t="n"/>
      <c r="D33" s="587" t="n"/>
    </row>
    <row r="34">
      <c r="B34" s="394" t="inlineStr">
        <is>
          <t xml:space="preserve">Traspaso a PPE </t>
        </is>
      </c>
      <c r="C34" s="586" t="n"/>
      <c r="D34" s="587" t="n"/>
    </row>
    <row r="35">
      <c r="B35" s="394" t="inlineStr">
        <is>
          <t>Consumos (1)</t>
        </is>
      </c>
      <c r="C35" s="586" t="n"/>
      <c r="D35" s="587" t="n"/>
    </row>
    <row r="36">
      <c r="B36" s="394" t="inlineStr">
        <is>
          <t>Provisión de  obsolescencia</t>
        </is>
      </c>
      <c r="C36" s="586" t="n"/>
      <c r="D36" s="587" t="n"/>
    </row>
    <row r="37">
      <c r="B37" s="394" t="inlineStr">
        <is>
          <t>Otros movimientos</t>
        </is>
      </c>
      <c r="C37" s="586" t="n"/>
      <c r="D37" s="587" t="n"/>
    </row>
    <row r="38" ht="15" customHeight="1" s="533" thickBot="1">
      <c r="B38" s="394" t="inlineStr">
        <is>
          <t>Traspasos</t>
        </is>
      </c>
      <c r="C38" s="588" t="n"/>
      <c r="D38" s="589" t="n"/>
    </row>
    <row r="39" ht="15" customHeight="1" s="533" thickBot="1">
      <c r="B39" s="394" t="inlineStr">
        <is>
          <t>Total</t>
        </is>
      </c>
      <c r="C39" s="590">
        <f>SUM(C33:C38)</f>
        <v/>
      </c>
      <c r="D39" s="590">
        <f>SUM(D33:D38)</f>
        <v/>
      </c>
    </row>
    <row r="40">
      <c r="B40" s="54" t="n"/>
    </row>
    <row r="41">
      <c r="B41" s="558" t="n"/>
      <c r="C41" s="584" t="n"/>
      <c r="D41" s="584" t="n"/>
    </row>
    <row r="42">
      <c r="B42" s="451" t="inlineStr">
        <is>
          <t>#N07.4</t>
        </is>
      </c>
    </row>
    <row r="43">
      <c r="B43" s="387" t="inlineStr">
        <is>
          <t>Durante el ejercicio 2025 y 2024, se efectuaron traspasos desde inventarios a propiedades, planta y equipo, por los siguientes conceptos:</t>
        </is>
      </c>
    </row>
    <row r="44">
      <c r="B44" s="5" t="n"/>
    </row>
    <row r="45">
      <c r="B45" s="43" t="n"/>
      <c r="C45" s="5" t="n"/>
      <c r="D45" s="5" t="n"/>
    </row>
    <row r="46">
      <c r="B46" s="534" t="inlineStr">
        <is>
          <t>Concepto</t>
        </is>
      </c>
      <c r="C46" s="307" t="inlineStr">
        <is>
          <t>31-06-2026</t>
        </is>
      </c>
      <c r="D46" s="388" t="n">
        <v>46022</v>
      </c>
    </row>
    <row r="47">
      <c r="C47" s="14" t="inlineStr">
        <is>
          <t>M$</t>
        </is>
      </c>
      <c r="D47" s="14" t="inlineStr">
        <is>
          <t>M$</t>
        </is>
      </c>
    </row>
    <row r="48">
      <c r="B48" s="233" t="inlineStr">
        <is>
          <t>Licencias</t>
        </is>
      </c>
      <c r="C48" s="591" t="n"/>
      <c r="D48" s="592" t="n"/>
    </row>
    <row r="49">
      <c r="B49" s="233" t="inlineStr">
        <is>
          <t>Equipos computacionales</t>
        </is>
      </c>
      <c r="C49" s="591" t="n"/>
      <c r="D49" s="592" t="n"/>
    </row>
    <row r="50">
      <c r="B50" s="233" t="inlineStr">
        <is>
          <t>Equipos portatiles</t>
        </is>
      </c>
      <c r="C50" s="591" t="n"/>
      <c r="D50" s="592" t="n"/>
    </row>
    <row r="51">
      <c r="B51" s="233" t="inlineStr">
        <is>
          <t>Muebles y utiles</t>
        </is>
      </c>
      <c r="C51" s="591" t="n"/>
      <c r="D51" s="592" t="n"/>
    </row>
    <row r="52">
      <c r="B52" s="233" t="inlineStr">
        <is>
          <t>Obras en curso</t>
        </is>
      </c>
      <c r="C52" s="591" t="n"/>
      <c r="D52" s="592" t="n"/>
    </row>
    <row r="53">
      <c r="B53" s="233" t="inlineStr">
        <is>
          <t>Otros activos</t>
        </is>
      </c>
      <c r="C53" s="591" t="n"/>
      <c r="D53" s="592" t="n"/>
    </row>
    <row r="54">
      <c r="B54" s="233" t="inlineStr">
        <is>
          <t>Materiales domiciliarios</t>
        </is>
      </c>
      <c r="C54" s="591" t="n"/>
      <c r="D54" s="593" t="n"/>
    </row>
    <row r="55">
      <c r="B55" s="233" t="inlineStr">
        <is>
          <t>Vehiculos</t>
        </is>
      </c>
      <c r="C55" s="591" t="n"/>
      <c r="D55" s="592" t="n"/>
    </row>
    <row r="56" ht="15" customHeight="1" s="533" thickBot="1">
      <c r="B56" s="233" t="inlineStr">
        <is>
          <t>Equipos Seriados</t>
        </is>
      </c>
      <c r="C56" s="594" t="n"/>
      <c r="D56" s="595" t="n"/>
    </row>
    <row r="57" ht="15" customHeight="1" s="533" thickBot="1">
      <c r="B57" s="233" t="inlineStr">
        <is>
          <t>Total</t>
        </is>
      </c>
      <c r="C57" s="594">
        <f>SUM(C48:C56)</f>
        <v/>
      </c>
      <c r="D57" s="594">
        <f>SUM(D48:D56)</f>
        <v/>
      </c>
    </row>
  </sheetData>
  <mergeCells count="1">
    <mergeCell ref="B46:B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2:O48"/>
  <sheetViews>
    <sheetView showGridLines="0" zoomScale="70" zoomScaleNormal="70" workbookViewId="0">
      <selection activeCell="K23" sqref="K23"/>
    </sheetView>
  </sheetViews>
  <sheetFormatPr baseColWidth="10" defaultRowHeight="14.4"/>
  <cols>
    <col width="40.109375" customWidth="1" style="533" min="3" max="3"/>
    <col width="13.5546875" customWidth="1" style="533" min="4" max="4"/>
    <col width="15.6640625" customWidth="1" style="533" min="5" max="5"/>
    <col width="12.33203125" customWidth="1" style="533" min="6" max="6"/>
    <col width="11.5546875" customWidth="1" style="533" min="7" max="7"/>
    <col width="15.44140625" customWidth="1" style="533" min="8" max="8"/>
    <col width="11.5546875" customWidth="1" style="533" min="9" max="9"/>
    <col width="5.21875" customWidth="1" style="533" min="10" max="10"/>
    <col width="13" customWidth="1" style="533" min="11" max="11"/>
    <col width="13.33203125" bestFit="1" customWidth="1" style="533" min="12" max="12"/>
    <col width="14.5546875" customWidth="1" style="533" min="13" max="13"/>
    <col width="16.77734375" customWidth="1" style="533" min="14" max="14"/>
    <col width="12.33203125" bestFit="1" customWidth="1" style="533" min="15" max="15"/>
  </cols>
  <sheetData>
    <row r="2">
      <c r="C2" s="387" t="inlineStr">
        <is>
          <t>a)La composición de los Activos intangibles distintos de la plusvalía es la siguiente:</t>
        </is>
      </c>
    </row>
    <row r="3">
      <c r="C3" s="5" t="n"/>
    </row>
    <row r="4">
      <c r="C4" s="451" t="inlineStr">
        <is>
          <t>#N08.1</t>
        </is>
      </c>
      <c r="K4" s="538" t="n"/>
    </row>
    <row r="5">
      <c r="C5" s="5" t="inlineStr">
        <is>
          <t>31-06-2026</t>
        </is>
      </c>
      <c r="D5" s="538" t="n"/>
      <c r="E5" s="538" t="n"/>
      <c r="F5" s="538" t="n"/>
      <c r="K5" s="538" t="n"/>
      <c r="L5" s="538" t="n"/>
      <c r="M5" s="538" t="n"/>
    </row>
    <row r="6" ht="28.8" customHeight="1" s="533">
      <c r="C6" s="391" t="inlineStr">
        <is>
          <t>Detalle</t>
        </is>
      </c>
      <c r="D6" s="391" t="inlineStr">
        <is>
          <t>Bruto</t>
        </is>
      </c>
      <c r="E6" s="391" t="inlineStr">
        <is>
          <t>Amortización Acumulada</t>
        </is>
      </c>
      <c r="F6" s="552" t="inlineStr">
        <is>
          <t>Neto</t>
        </is>
      </c>
      <c r="L6" s="88" t="n"/>
    </row>
    <row r="7">
      <c r="D7" t="inlineStr">
        <is>
          <t>M$</t>
        </is>
      </c>
      <c r="E7" t="inlineStr">
        <is>
          <t>M$</t>
        </is>
      </c>
      <c r="F7" t="inlineStr">
        <is>
          <t>M$</t>
        </is>
      </c>
    </row>
    <row r="8">
      <c r="C8" s="386" t="inlineStr">
        <is>
          <t>Concesiones</t>
        </is>
      </c>
      <c r="D8" s="596" t="n"/>
      <c r="E8" s="596" t="n"/>
      <c r="F8" s="596">
        <f>+D8+E8</f>
        <v/>
      </c>
      <c r="K8" s="597" t="n"/>
      <c r="L8" s="597" t="n"/>
      <c r="M8" s="597" t="n"/>
    </row>
    <row r="9">
      <c r="C9" s="386" t="inlineStr">
        <is>
          <t xml:space="preserve">Licencias </t>
        </is>
      </c>
      <c r="D9" s="596" t="n"/>
      <c r="E9" s="596" t="n"/>
      <c r="F9" s="596">
        <f>+D9+E9</f>
        <v/>
      </c>
      <c r="K9" s="597" t="n"/>
      <c r="L9" s="597" t="n"/>
      <c r="M9" s="597" t="n"/>
    </row>
    <row r="10">
      <c r="C10" s="386" t="inlineStr">
        <is>
          <t>Marca</t>
        </is>
      </c>
      <c r="D10" s="598" t="n"/>
      <c r="E10" s="598" t="n"/>
      <c r="F10" s="596">
        <f>+D10+E10</f>
        <v/>
      </c>
      <c r="K10" s="597" t="n"/>
      <c r="L10" s="597" t="n"/>
      <c r="M10" s="597" t="n"/>
    </row>
    <row r="11">
      <c r="C11" s="391" t="inlineStr">
        <is>
          <t>Cartera de clientes</t>
        </is>
      </c>
      <c r="D11" s="599" t="n"/>
      <c r="E11" s="599" t="n"/>
      <c r="F11" s="600">
        <f>SUM(D11:E11)</f>
        <v/>
      </c>
      <c r="K11" s="597" t="n"/>
      <c r="L11" s="597" t="n"/>
      <c r="M11" s="597" t="n"/>
    </row>
    <row r="12" ht="15" customHeight="1" s="533">
      <c r="C12" s="454" t="inlineStr">
        <is>
          <t>Total</t>
        </is>
      </c>
      <c r="D12" s="601">
        <f>SUM(D8:D11)</f>
        <v/>
      </c>
      <c r="E12" s="601">
        <f>SUM(E8:E11)</f>
        <v/>
      </c>
      <c r="F12" s="601">
        <f>SUM(F8:F11)</f>
        <v/>
      </c>
      <c r="K12" s="597" t="n"/>
      <c r="L12" s="597" t="n"/>
      <c r="M12" s="597" t="n"/>
    </row>
    <row r="13" ht="15" customHeight="1" s="533"/>
    <row r="14">
      <c r="C14" s="8" t="n"/>
      <c r="F14" s="574" t="n"/>
      <c r="I14" s="574" t="n"/>
      <c r="M14" s="574" t="n"/>
    </row>
    <row r="15">
      <c r="C15" s="8" t="n"/>
      <c r="F15" s="574" t="n"/>
      <c r="I15" s="574" t="n"/>
      <c r="M15" s="574" t="n"/>
    </row>
    <row r="16">
      <c r="C16" s="5" t="inlineStr">
        <is>
          <t>31-06-2025</t>
        </is>
      </c>
      <c r="D16" s="452" t="n"/>
      <c r="I16" s="574" t="n"/>
      <c r="M16" s="574" t="n"/>
    </row>
    <row r="17" ht="28.8" customHeight="1" s="533">
      <c r="C17" s="391" t="inlineStr">
        <is>
          <t xml:space="preserve">Detalle </t>
        </is>
      </c>
      <c r="D17" s="391" t="inlineStr">
        <is>
          <t>Bruto</t>
        </is>
      </c>
      <c r="E17" s="391" t="inlineStr">
        <is>
          <t>Amortización Acumulada</t>
        </is>
      </c>
      <c r="F17" s="552" t="inlineStr">
        <is>
          <t>Neto</t>
        </is>
      </c>
      <c r="I17" s="574" t="n"/>
      <c r="M17" s="574" t="n"/>
    </row>
    <row r="18">
      <c r="D18" t="inlineStr">
        <is>
          <t>M$</t>
        </is>
      </c>
      <c r="E18" t="inlineStr">
        <is>
          <t>M$</t>
        </is>
      </c>
      <c r="F18" t="inlineStr">
        <is>
          <t>M$</t>
        </is>
      </c>
      <c r="I18" s="574" t="n"/>
      <c r="M18" s="574" t="n"/>
    </row>
    <row r="19">
      <c r="C19" s="386" t="inlineStr">
        <is>
          <t>Concesiones</t>
        </is>
      </c>
      <c r="D19" s="596" t="n"/>
      <c r="E19" s="596" t="n"/>
      <c r="F19" s="596">
        <f>SUM(D19:E19)</f>
        <v/>
      </c>
      <c r="I19" s="574" t="n"/>
      <c r="M19" s="574" t="n"/>
    </row>
    <row r="20">
      <c r="C20" s="386" t="inlineStr">
        <is>
          <t xml:space="preserve">Licencias </t>
        </is>
      </c>
      <c r="D20" s="596" t="n"/>
      <c r="E20" s="596" t="n"/>
      <c r="F20" s="596">
        <f>+D20+E20</f>
        <v/>
      </c>
      <c r="I20" s="574" t="n"/>
      <c r="M20" s="574" t="n"/>
    </row>
    <row r="21">
      <c r="C21" s="386" t="inlineStr">
        <is>
          <t>Marca</t>
        </is>
      </c>
      <c r="D21" s="598" t="n"/>
      <c r="E21" s="598" t="n"/>
      <c r="F21" s="596">
        <f>+D21+E21</f>
        <v/>
      </c>
      <c r="I21" s="574" t="n"/>
      <c r="M21" s="574" t="n"/>
    </row>
    <row r="22">
      <c r="C22" s="386" t="inlineStr">
        <is>
          <t>Cartera de clientes</t>
        </is>
      </c>
      <c r="D22" s="598" t="n"/>
      <c r="E22" s="598" t="n"/>
      <c r="F22" s="596">
        <f>SUM(D22:E22)</f>
        <v/>
      </c>
      <c r="I22" s="574" t="n"/>
      <c r="M22" s="574" t="n"/>
    </row>
    <row r="23" ht="15" customHeight="1" s="533">
      <c r="C23" s="454" t="inlineStr">
        <is>
          <t>Total</t>
        </is>
      </c>
      <c r="D23" s="601">
        <f>SUM(D19:D22)</f>
        <v/>
      </c>
      <c r="E23" s="601">
        <f>SUM(E19:E22)</f>
        <v/>
      </c>
      <c r="F23" s="601">
        <f>SUM(F19:F22)</f>
        <v/>
      </c>
      <c r="I23" s="574" t="n"/>
      <c r="M23" s="574" t="n"/>
    </row>
    <row r="24" ht="15" customHeight="1" s="533">
      <c r="C24" s="8" t="n"/>
      <c r="I24" s="574" t="n"/>
      <c r="M24" s="574" t="n"/>
    </row>
    <row r="25">
      <c r="C25" s="8" t="n"/>
      <c r="I25" s="574" t="n"/>
      <c r="M25" s="574" t="n"/>
    </row>
    <row r="26">
      <c r="C26" s="8" t="n"/>
      <c r="I26" s="574" t="n"/>
      <c r="M26" s="574" t="n"/>
    </row>
    <row r="27">
      <c r="C27" s="8" t="n"/>
      <c r="I27" s="574" t="n"/>
      <c r="M27" s="574" t="n"/>
    </row>
    <row r="29">
      <c r="C29" s="387" t="inlineStr">
        <is>
          <t xml:space="preserve">b)Los cambios en activos intangibles por clases es el siguiente: </t>
        </is>
      </c>
      <c r="E29" s="5" t="n"/>
      <c r="K29" s="538" t="n"/>
    </row>
    <row r="30">
      <c r="C30" s="451" t="inlineStr">
        <is>
          <t>#N08.2</t>
        </is>
      </c>
      <c r="E30" s="5" t="n"/>
      <c r="K30" s="538" t="n"/>
    </row>
    <row r="31">
      <c r="D31" s="539" t="inlineStr">
        <is>
          <t>31-06-2026</t>
        </is>
      </c>
      <c r="E31" s="536" t="n"/>
      <c r="F31" s="537" t="n"/>
    </row>
    <row r="32" ht="28.8" customHeight="1" s="533">
      <c r="D32" s="391" t="inlineStr">
        <is>
          <t>Concesiones</t>
        </is>
      </c>
      <c r="E32" s="391" t="inlineStr">
        <is>
          <t>Licencias</t>
        </is>
      </c>
      <c r="F32" s="552" t="inlineStr">
        <is>
          <t>Marcas</t>
        </is>
      </c>
      <c r="G32" s="66" t="inlineStr">
        <is>
          <t>Cartera de clientes</t>
        </is>
      </c>
      <c r="H32" s="66" t="inlineStr">
        <is>
          <t>Total activos intangibles</t>
        </is>
      </c>
      <c r="M32" s="88" t="n"/>
      <c r="N32" s="88" t="n"/>
      <c r="O32" s="88" t="n"/>
    </row>
    <row r="33">
      <c r="D33" t="inlineStr">
        <is>
          <t>M$</t>
        </is>
      </c>
      <c r="E33" t="inlineStr">
        <is>
          <t>M$</t>
        </is>
      </c>
      <c r="H33" t="inlineStr">
        <is>
          <t>M$</t>
        </is>
      </c>
    </row>
    <row r="35">
      <c r="C35" s="386" t="inlineStr">
        <is>
          <t>Valores netos al inicio del periodo</t>
        </is>
      </c>
      <c r="D35" s="574">
        <f>+D48</f>
        <v/>
      </c>
      <c r="E35" s="574">
        <f>+E48</f>
        <v/>
      </c>
      <c r="F35" s="574">
        <f>+F48</f>
        <v/>
      </c>
      <c r="G35" s="574">
        <f>+G48</f>
        <v/>
      </c>
      <c r="H35" s="574">
        <f>SUM(D35:G35)</f>
        <v/>
      </c>
      <c r="K35" s="574" t="n"/>
      <c r="L35" s="574" t="n"/>
      <c r="M35" s="574" t="n"/>
      <c r="N35" s="574" t="n"/>
      <c r="O35" s="574" t="n"/>
    </row>
    <row r="36">
      <c r="C36" s="386" t="inlineStr">
        <is>
          <t xml:space="preserve">   Adiciones</t>
        </is>
      </c>
      <c r="D36" s="574">
        <f>+D9-D19</f>
        <v/>
      </c>
      <c r="E36" s="574">
        <f>+D9-D20</f>
        <v/>
      </c>
      <c r="F36" s="596">
        <f>+D10-D21</f>
        <v/>
      </c>
      <c r="G36" s="596">
        <f>+D11-D22</f>
        <v/>
      </c>
      <c r="H36" s="574">
        <f>SUM(D36:G36)</f>
        <v/>
      </c>
      <c r="K36" s="574" t="n"/>
      <c r="L36" s="574" t="n"/>
      <c r="M36" s="574" t="n"/>
      <c r="O36" s="574" t="n"/>
    </row>
    <row r="37">
      <c r="C37" s="386" t="inlineStr">
        <is>
          <t xml:space="preserve">   Amortización</t>
        </is>
      </c>
      <c r="D37" s="575">
        <f>+E8-E19</f>
        <v/>
      </c>
      <c r="E37" s="575">
        <f>+E9-E20</f>
        <v/>
      </c>
      <c r="F37" s="600">
        <f>+E10-E21</f>
        <v/>
      </c>
      <c r="G37" s="600">
        <f>+E11-E22</f>
        <v/>
      </c>
      <c r="H37" s="575">
        <f>SUM(D37:G37)</f>
        <v/>
      </c>
      <c r="K37" s="584" t="n"/>
      <c r="L37" s="584" t="n"/>
      <c r="M37" s="584" t="n"/>
      <c r="N37" s="584" t="n"/>
      <c r="O37" s="574" t="n"/>
    </row>
    <row r="38" ht="15" customHeight="1" s="533" thickBot="1">
      <c r="C38" s="386" t="inlineStr">
        <is>
          <t>Valores netos al final del periodo</t>
        </is>
      </c>
      <c r="D38" s="602">
        <f>SUM(D35:D37)</f>
        <v/>
      </c>
      <c r="E38" s="602">
        <f>SUM(E35:E37)</f>
        <v/>
      </c>
      <c r="F38" s="602">
        <f>SUM(F35:F37)</f>
        <v/>
      </c>
      <c r="G38" s="602">
        <f>SUM(G35:G37)</f>
        <v/>
      </c>
      <c r="H38" s="602">
        <f>SUM(H35:H37)</f>
        <v/>
      </c>
      <c r="K38" s="584" t="n"/>
      <c r="L38" s="584" t="n"/>
      <c r="M38" s="584" t="n"/>
      <c r="N38" s="584" t="n"/>
      <c r="O38" s="584" t="n"/>
    </row>
    <row r="39" ht="15" customHeight="1" s="533" thickTop="1">
      <c r="C39" s="8" t="n"/>
      <c r="D39" s="574" t="n"/>
      <c r="H39" s="574" t="n"/>
      <c r="L39" s="574" t="n"/>
      <c r="O39" s="574" t="n"/>
    </row>
    <row r="40">
      <c r="C40" s="8" t="n"/>
      <c r="K40" s="584" t="n"/>
      <c r="L40" s="584" t="n"/>
      <c r="M40" s="584" t="n"/>
      <c r="O40" s="574" t="n"/>
    </row>
    <row r="41">
      <c r="D41" s="535" t="n">
        <v>46022</v>
      </c>
      <c r="E41" s="536" t="n"/>
      <c r="F41" s="537" t="n"/>
      <c r="K41" s="584" t="n"/>
      <c r="L41" s="584" t="n"/>
      <c r="M41" s="584" t="n"/>
      <c r="O41" s="574" t="n"/>
    </row>
    <row r="42" ht="28.8" customHeight="1" s="533">
      <c r="D42" s="391" t="inlineStr">
        <is>
          <t>Concesiones</t>
        </is>
      </c>
      <c r="E42" s="391" t="inlineStr">
        <is>
          <t>Licencias</t>
        </is>
      </c>
      <c r="F42" s="552" t="inlineStr">
        <is>
          <t>Marcas</t>
        </is>
      </c>
      <c r="G42" s="66" t="inlineStr">
        <is>
          <t>Cartera de clientes</t>
        </is>
      </c>
      <c r="H42" s="66" t="inlineStr">
        <is>
          <t>Total activos intangibles</t>
        </is>
      </c>
      <c r="K42" s="584" t="n"/>
      <c r="L42" s="584" t="n"/>
      <c r="M42" s="584" t="n"/>
      <c r="O42" s="574" t="n"/>
    </row>
    <row r="43">
      <c r="D43" t="inlineStr">
        <is>
          <t>M$</t>
        </is>
      </c>
      <c r="E43" t="inlineStr">
        <is>
          <t>M$</t>
        </is>
      </c>
      <c r="H43" t="inlineStr">
        <is>
          <t>M$</t>
        </is>
      </c>
    </row>
    <row r="45">
      <c r="C45" s="386" t="inlineStr">
        <is>
          <t>Valores netos al inicio del periodo</t>
        </is>
      </c>
      <c r="D45" s="574" t="n"/>
      <c r="E45" s="574" t="n"/>
      <c r="H45" s="574">
        <f>SUM(D45:G45)</f>
        <v/>
      </c>
    </row>
    <row r="46">
      <c r="C46" s="386" t="inlineStr">
        <is>
          <t xml:space="preserve">   Adiciones</t>
        </is>
      </c>
      <c r="D46" s="574" t="n"/>
      <c r="E46" s="574" t="n"/>
      <c r="H46" s="574">
        <f>SUM(D46:G46)</f>
        <v/>
      </c>
    </row>
    <row r="47">
      <c r="C47" s="386" t="inlineStr">
        <is>
          <t xml:space="preserve">   Amortización</t>
        </is>
      </c>
      <c r="D47" s="575" t="n"/>
      <c r="E47" s="575" t="n"/>
      <c r="F47" s="552" t="n"/>
      <c r="G47" s="552" t="n"/>
      <c r="H47" s="575">
        <f>SUM(D47:G47)</f>
        <v/>
      </c>
    </row>
    <row r="48" ht="15" customHeight="1" s="533" thickBot="1">
      <c r="C48" s="386" t="inlineStr">
        <is>
          <t>Valores netos al final del periodo</t>
        </is>
      </c>
      <c r="D48" s="602">
        <f>SUM(D45:D47)</f>
        <v/>
      </c>
      <c r="E48" s="602">
        <f>SUM(E45:E47)</f>
        <v/>
      </c>
      <c r="F48" s="602">
        <f>SUM(F45:F47)</f>
        <v/>
      </c>
      <c r="G48" s="602">
        <f>SUM(G45:G47)</f>
        <v/>
      </c>
      <c r="H48" s="602">
        <f>SUM(H45:H47)</f>
        <v/>
      </c>
    </row>
    <row r="49" ht="15" customHeight="1" s="533" thickTop="1"/>
  </sheetData>
  <mergeCells count="4">
    <mergeCell ref="D41:F41"/>
    <mergeCell ref="K4:M4"/>
    <mergeCell ref="K29:M29"/>
    <mergeCell ref="D31:F3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P42"/>
  <sheetViews>
    <sheetView showGridLines="0" zoomScale="70" zoomScaleNormal="70" workbookViewId="0">
      <selection activeCell="B29" sqref="B29"/>
    </sheetView>
  </sheetViews>
  <sheetFormatPr baseColWidth="10" defaultColWidth="11.44140625" defaultRowHeight="13.8"/>
  <cols>
    <col width="34.33203125" customWidth="1" style="541" min="1" max="1"/>
    <col width="33.109375" customWidth="1" style="541" min="2" max="2"/>
    <col width="13.44140625" customWidth="1" style="541" min="3" max="3"/>
    <col width="21.44140625" customWidth="1" style="541" min="4" max="4"/>
    <col width="15" customWidth="1" style="541" min="5" max="5"/>
    <col width="18.5546875" bestFit="1" customWidth="1" style="541" min="6" max="6"/>
    <col width="12.77734375" customWidth="1" style="541" min="7" max="7"/>
    <col width="18" bestFit="1" customWidth="1" style="541" min="8" max="8"/>
    <col width="25.5546875" customWidth="1" style="541" min="9" max="9"/>
    <col width="14.88671875" customWidth="1" style="541" min="10" max="10"/>
    <col width="13.5546875" bestFit="1" customWidth="1" style="541" min="11" max="11"/>
    <col width="14.77734375" bestFit="1" customWidth="1" style="541" min="12" max="12"/>
    <col width="13.77734375" bestFit="1" customWidth="1" style="541" min="13" max="13"/>
    <col width="12" bestFit="1" customWidth="1" style="541" min="14" max="14"/>
    <col width="12.77734375" bestFit="1" customWidth="1" style="541" min="15" max="15"/>
    <col width="12" bestFit="1" customWidth="1" style="541" min="16" max="16"/>
    <col width="15.109375" bestFit="1" customWidth="1" style="541" min="17" max="17"/>
    <col width="12.77734375" bestFit="1" customWidth="1" style="541" min="18" max="18"/>
    <col width="14.5546875" bestFit="1" customWidth="1" style="541" min="19" max="19"/>
    <col width="12" bestFit="1" customWidth="1" style="541" min="20" max="21"/>
    <col width="13.77734375" bestFit="1" customWidth="1" style="541" min="22" max="22"/>
    <col width="14.77734375" bestFit="1" customWidth="1" style="541" min="23" max="23"/>
    <col width="11.6640625" customWidth="1" style="541" min="24" max="24"/>
    <col width="11.44140625" customWidth="1" style="541" min="25" max="27"/>
    <col width="11.44140625" customWidth="1" style="541" min="28" max="16384"/>
  </cols>
  <sheetData>
    <row r="1">
      <c r="B1" s="451" t="inlineStr">
        <is>
          <t>#N09.1</t>
        </is>
      </c>
    </row>
    <row r="2">
      <c r="B2" s="379" t="n"/>
    </row>
    <row r="3">
      <c r="B3" s="376" t="n"/>
      <c r="C3" s="215" t="n"/>
      <c r="D3" s="214" t="inlineStr">
        <is>
          <t>30.06.2026</t>
        </is>
      </c>
      <c r="E3" s="216" t="n"/>
      <c r="F3" s="215" t="n"/>
      <c r="G3" s="214" t="inlineStr">
        <is>
          <t>31.12.2025</t>
        </is>
      </c>
      <c r="H3" s="216" t="n"/>
    </row>
    <row r="4">
      <c r="B4" s="377" t="n"/>
      <c r="C4" s="209" t="n"/>
      <c r="D4" s="174" t="n"/>
      <c r="E4" s="210" t="n"/>
      <c r="F4" s="209" t="n"/>
      <c r="G4" s="174" t="n"/>
      <c r="H4" s="210" t="n"/>
    </row>
    <row r="5" ht="25.5" customHeight="1" s="533">
      <c r="B5" s="396" t="inlineStr">
        <is>
          <t>Concepto</t>
        </is>
      </c>
      <c r="C5" s="397" t="inlineStr">
        <is>
          <t>Activo fijo bruto</t>
        </is>
      </c>
      <c r="D5" s="398" t="inlineStr">
        <is>
          <t>Depreciación acumulada</t>
        </is>
      </c>
      <c r="E5" s="399" t="inlineStr">
        <is>
          <t>Activo fijo neto</t>
        </is>
      </c>
      <c r="F5" s="209" t="inlineStr">
        <is>
          <t>Activo fijo bruto</t>
        </is>
      </c>
      <c r="G5" s="173" t="inlineStr">
        <is>
          <t>Depreciación acumulada</t>
        </is>
      </c>
      <c r="H5" s="210" t="inlineStr">
        <is>
          <t>Activo fijo neto</t>
        </is>
      </c>
    </row>
    <row r="6">
      <c r="B6" s="377" t="n"/>
      <c r="C6" s="209" t="inlineStr">
        <is>
          <t>M$</t>
        </is>
      </c>
      <c r="D6" s="169" t="inlineStr">
        <is>
          <t>M$</t>
        </is>
      </c>
      <c r="E6" s="211" t="inlineStr">
        <is>
          <t>M$</t>
        </is>
      </c>
      <c r="F6" s="209" t="inlineStr">
        <is>
          <t>M$</t>
        </is>
      </c>
      <c r="G6" s="169" t="inlineStr">
        <is>
          <t>M$</t>
        </is>
      </c>
      <c r="H6" s="211" t="inlineStr">
        <is>
          <t>M$</t>
        </is>
      </c>
    </row>
    <row r="7">
      <c r="B7" s="378" t="n"/>
      <c r="C7" s="212" t="n"/>
      <c r="D7" s="177" t="n"/>
      <c r="E7" s="213" t="n"/>
      <c r="F7" s="212" t="n"/>
      <c r="G7" s="177" t="n"/>
      <c r="H7" s="213" t="n"/>
    </row>
    <row r="8">
      <c r="B8" s="400" t="inlineStr">
        <is>
          <t>Terrenos</t>
        </is>
      </c>
      <c r="C8" s="200" t="n"/>
      <c r="D8" s="197" t="n"/>
      <c r="E8" s="603">
        <f>SUM(C8:D8)</f>
        <v/>
      </c>
      <c r="F8" s="200" t="n"/>
      <c r="G8" s="197" t="n"/>
      <c r="H8" s="603">
        <f>SUM(F8:G8)</f>
        <v/>
      </c>
    </row>
    <row r="9" ht="20.1" customHeight="1" s="533">
      <c r="A9" s="192" t="n"/>
      <c r="B9" s="198" t="inlineStr">
        <is>
          <t>Edificios y construcciones</t>
        </is>
      </c>
      <c r="C9" s="604" t="n"/>
      <c r="D9" s="583" t="n"/>
      <c r="E9" s="603">
        <f>SUM(C9:D9)</f>
        <v/>
      </c>
      <c r="F9" s="604" t="n"/>
      <c r="G9" s="583" t="n"/>
      <c r="H9" s="603">
        <f>SUM(F9:G9)</f>
        <v/>
      </c>
    </row>
    <row r="10" ht="20.1" customHeight="1" s="533">
      <c r="A10" s="192" t="n"/>
      <c r="B10" s="198" t="inlineStr">
        <is>
          <t>Redes de transmisión</t>
        </is>
      </c>
      <c r="C10" s="604" t="n"/>
      <c r="D10" s="583" t="n"/>
      <c r="E10" s="603">
        <f>SUM(C10:D10)</f>
        <v/>
      </c>
      <c r="F10" s="604" t="n"/>
      <c r="G10" s="583" t="n"/>
      <c r="H10" s="603">
        <f>SUM(F10:G10)</f>
        <v/>
      </c>
    </row>
    <row r="11" ht="20.1" customHeight="1" s="533">
      <c r="A11" s="192" t="n"/>
      <c r="B11" s="198" t="inlineStr">
        <is>
          <t>Plantas transmisoras</t>
        </is>
      </c>
      <c r="C11" s="604" t="n"/>
      <c r="D11" s="583" t="n"/>
      <c r="E11" s="603">
        <f>SUM(C11:D11)</f>
        <v/>
      </c>
      <c r="F11" s="604" t="n"/>
      <c r="G11" s="583" t="n"/>
      <c r="H11" s="603">
        <f>SUM(F11:G11)</f>
        <v/>
      </c>
    </row>
    <row r="12" ht="20.1" customHeight="1" s="533">
      <c r="A12" s="192" t="n"/>
      <c r="B12" s="198" t="inlineStr">
        <is>
          <t>Equipos portátiles</t>
        </is>
      </c>
      <c r="C12" s="604" t="n"/>
      <c r="D12" s="583" t="n"/>
      <c r="E12" s="603">
        <f>SUM(C12:D12)</f>
        <v/>
      </c>
      <c r="F12" s="604" t="n"/>
      <c r="G12" s="583" t="n"/>
      <c r="H12" s="603">
        <f>SUM(F12:G12)</f>
        <v/>
      </c>
    </row>
    <row r="13" ht="20.1" customHeight="1" s="533">
      <c r="A13" s="192" t="n"/>
      <c r="B13" s="198" t="inlineStr">
        <is>
          <t>Equipos de computación</t>
        </is>
      </c>
      <c r="C13" s="604" t="n"/>
      <c r="D13" s="583" t="n"/>
      <c r="E13" s="603">
        <f>SUM(C13:D13)</f>
        <v/>
      </c>
      <c r="F13" s="604" t="n"/>
      <c r="G13" s="583" t="n"/>
      <c r="H13" s="603">
        <f>SUM(F13:G13)</f>
        <v/>
      </c>
    </row>
    <row r="14" ht="20.1" customHeight="1" s="533">
      <c r="A14" s="192" t="n"/>
      <c r="B14" s="198" t="inlineStr">
        <is>
          <t>Equipos seriados</t>
        </is>
      </c>
      <c r="C14" s="604" t="n"/>
      <c r="D14" s="583" t="n"/>
      <c r="E14" s="603">
        <f>SUM(C14:D14)</f>
        <v/>
      </c>
      <c r="F14" s="604" t="n"/>
      <c r="G14" s="583" t="n"/>
      <c r="H14" s="603">
        <f>SUM(F14:G14)</f>
        <v/>
      </c>
    </row>
    <row r="15" ht="20.1" customHeight="1" s="533">
      <c r="A15" s="192" t="n"/>
      <c r="B15" s="198" t="inlineStr">
        <is>
          <t>Vehículos</t>
        </is>
      </c>
      <c r="C15" s="604" t="n"/>
      <c r="D15" s="583" t="n"/>
      <c r="E15" s="603">
        <f>SUM(C15:D15)</f>
        <v/>
      </c>
      <c r="F15" s="604" t="n"/>
      <c r="G15" s="583" t="n"/>
      <c r="H15" s="603">
        <f>SUM(F15:G15)</f>
        <v/>
      </c>
    </row>
    <row r="16" ht="20.1" customHeight="1" s="533">
      <c r="A16" s="192" t="n"/>
      <c r="B16" s="198" t="inlineStr">
        <is>
          <t>Muebles y útiles</t>
        </is>
      </c>
      <c r="C16" s="604" t="n"/>
      <c r="D16" s="583" t="n"/>
      <c r="E16" s="603">
        <f>SUM(C16:D16)</f>
        <v/>
      </c>
      <c r="F16" s="604" t="n"/>
      <c r="G16" s="583" t="n"/>
      <c r="H16" s="603">
        <f>SUM(F16:G16)</f>
        <v/>
      </c>
    </row>
    <row r="17" ht="20.1" customHeight="1" s="533">
      <c r="A17" s="192" t="n"/>
      <c r="B17" s="198" t="inlineStr">
        <is>
          <t>Otros activos</t>
        </is>
      </c>
      <c r="C17" s="604" t="n"/>
      <c r="D17" s="583" t="n"/>
      <c r="E17" s="603">
        <f>SUM(C17:D17)</f>
        <v/>
      </c>
      <c r="F17" s="604" t="n"/>
      <c r="G17" s="583" t="n"/>
      <c r="H17" s="603">
        <f>SUM(F17:G17)</f>
        <v/>
      </c>
    </row>
    <row r="18" ht="20.1" customHeight="1" s="533">
      <c r="A18" s="192" t="n"/>
      <c r="B18" s="198" t="inlineStr">
        <is>
          <t>Activos en leasing</t>
        </is>
      </c>
      <c r="C18" s="604" t="n"/>
      <c r="D18" s="583" t="n"/>
      <c r="E18" s="603">
        <f>SUM(C18:D18)</f>
        <v/>
      </c>
      <c r="F18" s="604" t="n"/>
      <c r="G18" s="583" t="n"/>
      <c r="H18" s="603">
        <f>SUM(F18:G18)</f>
        <v/>
      </c>
    </row>
    <row r="19" ht="20.1" customHeight="1" s="533">
      <c r="A19" s="192" t="n"/>
      <c r="B19" s="198" t="inlineStr">
        <is>
          <t>Obras en curso</t>
        </is>
      </c>
      <c r="C19" s="604" t="n"/>
      <c r="D19" s="583" t="n"/>
      <c r="E19" s="603">
        <f>SUM(C19:D19)</f>
        <v/>
      </c>
      <c r="F19" s="604" t="n"/>
      <c r="G19" s="583" t="n"/>
      <c r="H19" s="603">
        <f>SUM(F19:G19)</f>
        <v/>
      </c>
    </row>
    <row r="20" ht="20.1" customHeight="1" s="533">
      <c r="A20" s="192" t="n"/>
      <c r="B20" s="198" t="inlineStr">
        <is>
          <t>Instalaciones domiciliarias</t>
        </is>
      </c>
      <c r="C20" s="604" t="n"/>
      <c r="D20" s="583" t="n"/>
      <c r="E20" s="603">
        <f>SUM(C20:D20)</f>
        <v/>
      </c>
      <c r="F20" s="604" t="n"/>
      <c r="G20" s="583" t="n"/>
      <c r="H20" s="603">
        <f>SUM(F20:G20)</f>
        <v/>
      </c>
    </row>
    <row r="21" ht="20.1" customFormat="1" customHeight="1" s="171">
      <c r="A21" s="203" t="n"/>
      <c r="B21" s="198" t="inlineStr">
        <is>
          <t>Deterioro PPE</t>
        </is>
      </c>
      <c r="C21" s="604" t="n"/>
      <c r="D21" s="583" t="n"/>
      <c r="E21" s="603">
        <f>SUM(C21:D21)</f>
        <v/>
      </c>
      <c r="F21" s="604" t="n"/>
      <c r="G21" s="583" t="n"/>
      <c r="H21" s="603">
        <f>SUM(F21:G21)</f>
        <v/>
      </c>
    </row>
    <row r="22" ht="20.1" customFormat="1" customHeight="1" s="171">
      <c r="B22" s="198" t="inlineStr">
        <is>
          <t>Asignacion de compra</t>
        </is>
      </c>
      <c r="C22" s="604" t="n"/>
      <c r="D22" s="583" t="n"/>
      <c r="E22" s="603">
        <f>SUM(C22:D22)</f>
        <v/>
      </c>
      <c r="F22" s="604" t="n"/>
      <c r="G22" s="583" t="n"/>
      <c r="H22" s="603">
        <f>SUM(F22:G22)</f>
        <v/>
      </c>
    </row>
    <row r="23" ht="20.1" customFormat="1" customHeight="1" s="171">
      <c r="B23" s="204" t="inlineStr">
        <is>
          <t>Amortizacion PPA</t>
        </is>
      </c>
      <c r="C23" s="605" t="n"/>
      <c r="D23" s="606" t="n"/>
      <c r="E23" s="607">
        <f>SUM(C23:D23)</f>
        <v/>
      </c>
      <c r="F23" s="605" t="n"/>
      <c r="G23" s="606" t="n"/>
      <c r="H23" s="607">
        <f>SUM(F23:G23)</f>
        <v/>
      </c>
    </row>
    <row r="24" ht="20.1" customFormat="1" customHeight="1" s="171">
      <c r="B24" s="172" t="n"/>
      <c r="C24" s="583" t="n"/>
      <c r="D24" s="583" t="n"/>
      <c r="E24" s="608" t="n"/>
      <c r="F24" s="583" t="n"/>
      <c r="G24" s="583" t="n"/>
      <c r="H24" s="608" t="n"/>
    </row>
    <row r="25" ht="20.1" customFormat="1" customHeight="1" s="171" thickBot="1">
      <c r="B25" s="172" t="inlineStr">
        <is>
          <t>Totales</t>
        </is>
      </c>
      <c r="C25" s="609">
        <f>SUM(C9:C23)</f>
        <v/>
      </c>
      <c r="D25" s="609">
        <f>SUM(D9:D23)</f>
        <v/>
      </c>
      <c r="E25" s="609">
        <f>SUM(E9:E23)</f>
        <v/>
      </c>
      <c r="F25" s="609">
        <f>SUM(F9:F23)</f>
        <v/>
      </c>
      <c r="G25" s="609">
        <f>SUM(G9:G23)</f>
        <v/>
      </c>
      <c r="H25" s="609">
        <f>SUM(H9:H23)</f>
        <v/>
      </c>
    </row>
    <row r="26" ht="20.1" customFormat="1" customHeight="1" s="171" thickTop="1">
      <c r="F26" s="541" t="n"/>
      <c r="G26" s="541" t="n"/>
      <c r="H26" s="541" t="n"/>
    </row>
    <row r="27" ht="13.2" customFormat="1" customHeight="1" s="171"/>
    <row r="28">
      <c r="B28" s="456" t="inlineStr">
        <is>
          <t>#N09.2[COMPARATIVO]</t>
        </is>
      </c>
    </row>
    <row r="29">
      <c r="B29" s="541" t="n">
        <v>2026</v>
      </c>
    </row>
    <row r="30">
      <c r="B30" s="57" t="n"/>
      <c r="C30" s="58" t="n"/>
      <c r="D30" s="401" t="inlineStr">
        <is>
          <t xml:space="preserve"> Edificios y</t>
        </is>
      </c>
      <c r="E30" s="401" t="inlineStr">
        <is>
          <t xml:space="preserve"> Redes de</t>
        </is>
      </c>
      <c r="F30" s="58" t="inlineStr">
        <is>
          <t xml:space="preserve"> Plantas</t>
        </is>
      </c>
      <c r="G30" s="58" t="inlineStr">
        <is>
          <t xml:space="preserve"> Equipos</t>
        </is>
      </c>
      <c r="H30" s="58" t="inlineStr">
        <is>
          <t xml:space="preserve"> Equipo</t>
        </is>
      </c>
      <c r="I30" s="58" t="inlineStr">
        <is>
          <t xml:space="preserve"> Vehículos</t>
        </is>
      </c>
      <c r="J30" s="58" t="inlineStr">
        <is>
          <t xml:space="preserve"> Equipos</t>
        </is>
      </c>
      <c r="K30" s="58" t="inlineStr">
        <is>
          <t xml:space="preserve"> Muebles</t>
        </is>
      </c>
      <c r="L30" s="58" t="inlineStr">
        <is>
          <t xml:space="preserve"> Instalación</t>
        </is>
      </c>
      <c r="M30" s="58" t="inlineStr">
        <is>
          <t xml:space="preserve"> Otros</t>
        </is>
      </c>
      <c r="N30" s="58" t="inlineStr">
        <is>
          <t xml:space="preserve"> Activos</t>
        </is>
      </c>
      <c r="O30" s="58" t="inlineStr">
        <is>
          <t xml:space="preserve"> Obras</t>
        </is>
      </c>
    </row>
    <row r="31">
      <c r="B31" s="57" t="n"/>
      <c r="C31" s="401" t="inlineStr">
        <is>
          <t>Terrenos</t>
        </is>
      </c>
      <c r="D31" s="401" t="inlineStr">
        <is>
          <t>Construcciones</t>
        </is>
      </c>
      <c r="E31" s="401" t="inlineStr">
        <is>
          <t>Transmisión</t>
        </is>
      </c>
      <c r="F31" s="58" t="inlineStr">
        <is>
          <t>Transmisoras</t>
        </is>
      </c>
      <c r="G31" s="58" t="inlineStr">
        <is>
          <t>Computación</t>
        </is>
      </c>
      <c r="H31" s="58" t="inlineStr">
        <is>
          <t>Portátil</t>
        </is>
      </c>
      <c r="I31" s="58" t="inlineStr">
        <is>
          <t xml:space="preserve">M$ </t>
        </is>
      </c>
      <c r="J31" s="58" t="inlineStr">
        <is>
          <t>Seriados</t>
        </is>
      </c>
      <c r="K31" s="58" t="inlineStr">
        <is>
          <t>y Útiles</t>
        </is>
      </c>
      <c r="L31" s="58" t="inlineStr">
        <is>
          <t>Domiciliaria</t>
        </is>
      </c>
      <c r="M31" s="58" t="inlineStr">
        <is>
          <t>Activos</t>
        </is>
      </c>
      <c r="N31" s="58" t="inlineStr">
        <is>
          <t>en Leasing</t>
        </is>
      </c>
      <c r="O31" s="58" t="inlineStr">
        <is>
          <t>en Curso</t>
        </is>
      </c>
      <c r="P31" s="58" t="inlineStr">
        <is>
          <t xml:space="preserve"> Total</t>
        </is>
      </c>
    </row>
    <row r="32">
      <c r="B32" s="57" t="n"/>
      <c r="C32" s="59" t="inlineStr">
        <is>
          <t xml:space="preserve">M$ </t>
        </is>
      </c>
      <c r="D32" s="59" t="inlineStr">
        <is>
          <t xml:space="preserve">M$ </t>
        </is>
      </c>
      <c r="E32" s="59" t="inlineStr">
        <is>
          <t xml:space="preserve">M$ </t>
        </is>
      </c>
      <c r="F32" s="59" t="inlineStr">
        <is>
          <t xml:space="preserve">M$ </t>
        </is>
      </c>
      <c r="G32" s="59" t="inlineStr">
        <is>
          <t xml:space="preserve">M$ </t>
        </is>
      </c>
      <c r="H32" s="59" t="inlineStr">
        <is>
          <t xml:space="preserve">M$ </t>
        </is>
      </c>
      <c r="I32" s="217" t="n"/>
      <c r="J32" s="59" t="inlineStr">
        <is>
          <t xml:space="preserve">M$ </t>
        </is>
      </c>
      <c r="K32" s="59" t="inlineStr">
        <is>
          <t xml:space="preserve">M$ </t>
        </is>
      </c>
      <c r="L32" s="59" t="inlineStr">
        <is>
          <t xml:space="preserve">M$ </t>
        </is>
      </c>
      <c r="M32" s="59" t="inlineStr">
        <is>
          <t xml:space="preserve">M$ </t>
        </is>
      </c>
      <c r="N32" s="59" t="inlineStr">
        <is>
          <t xml:space="preserve">M$ </t>
        </is>
      </c>
      <c r="O32" s="59" t="inlineStr">
        <is>
          <t xml:space="preserve">M$ </t>
        </is>
      </c>
      <c r="P32" s="59" t="inlineStr">
        <is>
          <t xml:space="preserve">M$ </t>
        </is>
      </c>
    </row>
    <row r="33">
      <c r="B33" s="190" t="inlineStr">
        <is>
          <t>Saldo inicial al 01/01/2026</t>
        </is>
      </c>
      <c r="C33" s="610">
        <f>+H8</f>
        <v/>
      </c>
      <c r="D33" s="610">
        <f>+H9</f>
        <v/>
      </c>
      <c r="E33" s="610">
        <f>+H10</f>
        <v/>
      </c>
      <c r="F33" s="610">
        <f>+H11</f>
        <v/>
      </c>
      <c r="G33" s="610">
        <f>+H13</f>
        <v/>
      </c>
      <c r="H33" s="610">
        <f>+H12</f>
        <v/>
      </c>
      <c r="I33" s="610">
        <f>+H15</f>
        <v/>
      </c>
      <c r="J33" s="610">
        <f>+H14</f>
        <v/>
      </c>
      <c r="K33" s="610">
        <f>+E16</f>
        <v/>
      </c>
      <c r="L33" s="610">
        <f>+E20</f>
        <v/>
      </c>
      <c r="M33" s="610">
        <f>+E17</f>
        <v/>
      </c>
      <c r="N33" s="610">
        <f>+E18</f>
        <v/>
      </c>
      <c r="O33" s="610">
        <f>+E19</f>
        <v/>
      </c>
      <c r="P33" s="611">
        <f>SUM(C34:O34)</f>
        <v/>
      </c>
    </row>
    <row r="34">
      <c r="B34" s="57" t="inlineStr">
        <is>
          <t>Adiciones</t>
        </is>
      </c>
      <c r="C34" s="611" t="n">
        <v>0</v>
      </c>
      <c r="D34" s="611" t="n">
        <v>0</v>
      </c>
      <c r="E34" s="611" t="n">
        <v>0</v>
      </c>
      <c r="F34" s="611" t="n">
        <v>0</v>
      </c>
      <c r="G34" s="611" t="n">
        <v>0</v>
      </c>
      <c r="H34" s="611" t="n">
        <v>0</v>
      </c>
      <c r="I34" s="611" t="n">
        <v>0</v>
      </c>
      <c r="J34" s="611" t="n">
        <v>0</v>
      </c>
      <c r="K34" s="611" t="n">
        <v>0</v>
      </c>
      <c r="L34" s="611" t="n">
        <v>0</v>
      </c>
      <c r="M34" s="611" t="n">
        <v>0</v>
      </c>
      <c r="N34" s="611" t="n">
        <v>0</v>
      </c>
      <c r="O34" s="611" t="n">
        <v>0</v>
      </c>
      <c r="P34" s="611">
        <f>SUM(C35:O35)</f>
        <v/>
      </c>
    </row>
    <row r="35">
      <c r="B35" s="402" t="inlineStr">
        <is>
          <t>Desapropiaciones</t>
        </is>
      </c>
      <c r="C35" s="611" t="n">
        <v>0</v>
      </c>
      <c r="D35" s="611" t="n">
        <v>0</v>
      </c>
      <c r="E35" s="611" t="n">
        <v>0</v>
      </c>
      <c r="F35" s="611" t="n">
        <v>0</v>
      </c>
      <c r="G35" s="611" t="n">
        <v>0</v>
      </c>
      <c r="H35" s="611" t="n">
        <v>0</v>
      </c>
      <c r="I35" s="611" t="n">
        <v>0</v>
      </c>
      <c r="J35" s="611" t="n">
        <v>0</v>
      </c>
      <c r="K35" s="611" t="n">
        <v>0</v>
      </c>
      <c r="L35" s="611" t="n">
        <v>0</v>
      </c>
      <c r="M35" s="611" t="n">
        <v>0</v>
      </c>
      <c r="N35" s="611" t="n">
        <v>0</v>
      </c>
      <c r="O35" s="611" t="n">
        <v>0</v>
      </c>
      <c r="P35" s="611">
        <f>SUM(C36:O36)</f>
        <v/>
      </c>
    </row>
    <row r="36">
      <c r="B36" s="57" t="inlineStr">
        <is>
          <t>Gasto por depreciación</t>
        </is>
      </c>
      <c r="C36" s="611" t="n">
        <v>0</v>
      </c>
      <c r="D36" s="611" t="n">
        <v>0</v>
      </c>
      <c r="E36" s="611" t="n">
        <v>0</v>
      </c>
      <c r="F36" s="611" t="n">
        <v>0</v>
      </c>
      <c r="G36" s="611" t="n">
        <v>0</v>
      </c>
      <c r="H36" s="611" t="n">
        <v>0</v>
      </c>
      <c r="I36" s="611" t="n">
        <v>0</v>
      </c>
      <c r="J36" s="611" t="n">
        <v>0</v>
      </c>
      <c r="K36" s="611" t="n">
        <v>0</v>
      </c>
      <c r="L36" s="611" t="n">
        <v>0</v>
      </c>
      <c r="M36" s="611" t="n">
        <v>0</v>
      </c>
      <c r="N36" s="611" t="n">
        <v>0</v>
      </c>
      <c r="O36" s="611" t="n">
        <v>0</v>
      </c>
      <c r="P36" s="611">
        <f>SUM(C37:O37)</f>
        <v/>
      </c>
    </row>
    <row r="37">
      <c r="B37" s="57" t="inlineStr">
        <is>
          <t>Deterioro</t>
        </is>
      </c>
      <c r="C37" s="611" t="n">
        <v>0</v>
      </c>
      <c r="D37" s="611" t="n">
        <v>0</v>
      </c>
      <c r="E37" s="611" t="n">
        <v>0</v>
      </c>
      <c r="F37" s="611" t="n">
        <v>0</v>
      </c>
      <c r="G37" s="611" t="n">
        <v>0</v>
      </c>
      <c r="H37" s="611" t="n">
        <v>0</v>
      </c>
      <c r="I37" s="611" t="n">
        <v>0</v>
      </c>
      <c r="J37" s="611" t="n">
        <v>0</v>
      </c>
      <c r="K37" s="611" t="n">
        <v>0</v>
      </c>
      <c r="L37" s="611" t="n">
        <v>0</v>
      </c>
      <c r="M37" s="611" t="n">
        <v>0</v>
      </c>
      <c r="N37" s="611" t="n">
        <v>0</v>
      </c>
      <c r="O37" s="611" t="n">
        <v>0</v>
      </c>
      <c r="P37" s="611">
        <f>SUM(C38:O38)</f>
        <v/>
      </c>
    </row>
    <row r="38">
      <c r="B38" s="57" t="inlineStr">
        <is>
          <t>Transferencias</t>
        </is>
      </c>
      <c r="C38" s="612" t="n"/>
      <c r="D38" s="612" t="n"/>
      <c r="E38" s="613" t="n"/>
      <c r="F38" s="613" t="n"/>
      <c r="G38" s="613" t="n"/>
      <c r="H38" s="614" t="n"/>
      <c r="I38" s="614" t="n"/>
      <c r="J38" s="614" t="n"/>
      <c r="K38" s="614" t="n">
        <v>0</v>
      </c>
      <c r="L38" s="615" t="n"/>
      <c r="M38" s="613" t="n"/>
      <c r="N38" s="613" t="n"/>
      <c r="O38" s="612" t="n"/>
      <c r="P38" s="611">
        <f>SUM(C39:O39)</f>
        <v/>
      </c>
    </row>
    <row r="39">
      <c r="B39" s="190" t="inlineStr">
        <is>
          <t>Saldo final al 31/12/2026</t>
        </is>
      </c>
      <c r="C39" s="616">
        <f>+E8</f>
        <v/>
      </c>
      <c r="D39" s="616">
        <f>+E9</f>
        <v/>
      </c>
      <c r="E39" s="617">
        <f>+E10</f>
        <v/>
      </c>
      <c r="F39" s="616">
        <f>+E11</f>
        <v/>
      </c>
      <c r="G39" s="616">
        <f>+E13</f>
        <v/>
      </c>
      <c r="H39" s="618">
        <f>+E12</f>
        <v/>
      </c>
      <c r="I39" s="618">
        <f>+E15</f>
        <v/>
      </c>
      <c r="J39" s="618">
        <f>+E14</f>
        <v/>
      </c>
      <c r="K39" s="618">
        <f>+E16</f>
        <v/>
      </c>
      <c r="L39" s="618">
        <f>+E20</f>
        <v/>
      </c>
      <c r="M39" s="616">
        <f>+E17</f>
        <v/>
      </c>
      <c r="N39" s="616">
        <f>+E18</f>
        <v/>
      </c>
      <c r="O39" s="616">
        <f>+E19</f>
        <v/>
      </c>
      <c r="P39" s="616">
        <f>SUM(C40:O40)</f>
        <v/>
      </c>
    </row>
    <row r="40" ht="14.4" customHeight="1" s="533" thickBot="1">
      <c r="D40" s="194" t="n"/>
      <c r="E40" s="195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  <c r="P40" s="194" t="n"/>
    </row>
    <row r="41" ht="14.4" customHeight="1" s="533" thickTop="1">
      <c r="D41" s="196" t="n"/>
      <c r="E41" s="196" t="n"/>
      <c r="F41" s="196" t="n"/>
      <c r="G41" s="196" t="n"/>
      <c r="H41" s="196" t="n"/>
      <c r="I41" s="196" t="n"/>
      <c r="J41" s="196" t="n"/>
      <c r="K41" s="196" t="n"/>
      <c r="L41" s="196" t="n"/>
      <c r="M41" s="196" t="n"/>
      <c r="N41" s="196" t="n"/>
      <c r="O41" s="196" t="n"/>
      <c r="P41" s="619" t="n"/>
    </row>
    <row r="42">
      <c r="B42" s="542" t="n"/>
      <c r="C42" s="542" t="n"/>
      <c r="D42" s="62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AL43"/>
  <sheetViews>
    <sheetView showGridLines="0" zoomScale="70" zoomScaleNormal="70" workbookViewId="0">
      <selection activeCell="B37" sqref="B37"/>
    </sheetView>
  </sheetViews>
  <sheetFormatPr baseColWidth="10" defaultColWidth="11.44140625" defaultRowHeight="13.8"/>
  <cols>
    <col width="11.44140625" customWidth="1" style="541" min="1" max="1"/>
    <col width="33.109375" customWidth="1" style="541" min="2" max="2"/>
    <col width="13.88671875" customWidth="1" style="541" min="3" max="3"/>
    <col width="13.44140625" customWidth="1" style="541" min="4" max="4"/>
    <col width="15.109375" customWidth="1" style="541" min="5" max="5"/>
    <col width="13.88671875" bestFit="1" customWidth="1" style="541" min="6" max="6"/>
    <col width="23.109375" bestFit="1" customWidth="1" style="541" min="7" max="7"/>
    <col width="13.33203125" bestFit="1" customWidth="1" style="541" min="8" max="8"/>
    <col width="5.109375" customWidth="1" style="541" min="9" max="9"/>
    <col width="18.5546875" bestFit="1" customWidth="1" style="541" min="10" max="10"/>
    <col width="12.77734375" customWidth="1" style="541" min="11" max="11"/>
    <col width="18" bestFit="1" customWidth="1" style="541" min="12" max="12"/>
    <col width="11.44140625" customWidth="1" style="541" min="13" max="13"/>
    <col width="25.5546875" customWidth="1" style="541" min="14" max="14"/>
    <col width="14.88671875" customWidth="1" style="541" min="15" max="15"/>
    <col width="13.5546875" bestFit="1" customWidth="1" style="541" min="16" max="16"/>
    <col width="14.77734375" bestFit="1" customWidth="1" style="541" min="17" max="17"/>
    <col width="13.77734375" bestFit="1" customWidth="1" style="541" min="18" max="18"/>
    <col width="12" bestFit="1" customWidth="1" style="541" min="19" max="19"/>
    <col width="12.77734375" bestFit="1" customWidth="1" style="541" min="20" max="20"/>
    <col width="12" bestFit="1" customWidth="1" style="541" min="21" max="21"/>
    <col width="15.109375" bestFit="1" customWidth="1" style="541" min="22" max="22"/>
    <col width="12.77734375" bestFit="1" customWidth="1" style="541" min="23" max="23"/>
    <col width="14.5546875" bestFit="1" customWidth="1" style="541" min="24" max="24"/>
    <col width="13.77734375" bestFit="1" customWidth="1" style="541" min="25" max="25"/>
    <col width="12" bestFit="1" customWidth="1" style="541" min="26" max="27"/>
    <col width="13.77734375" bestFit="1" customWidth="1" style="541" min="28" max="28"/>
    <col width="13.77734375" customWidth="1" style="541" min="29" max="29"/>
    <col width="14.77734375" bestFit="1" customWidth="1" style="541" min="30" max="30"/>
    <col width="12.44140625" bestFit="1" customWidth="1" style="541" min="31" max="31"/>
    <col width="12" bestFit="1" customWidth="1" style="541" min="32" max="32"/>
    <col width="11.44140625" customWidth="1" style="541" min="33" max="38"/>
    <col width="11.6640625" bestFit="1" customWidth="1" style="541" min="39" max="39"/>
    <col width="11.6640625" customWidth="1" style="541" min="40" max="40"/>
    <col width="11.44140625" customWidth="1" style="541" min="41" max="43"/>
    <col width="11.44140625" customWidth="1" style="541" min="44" max="16384"/>
  </cols>
  <sheetData>
    <row r="2">
      <c r="B2" s="451" t="inlineStr">
        <is>
          <t>#N10.1</t>
        </is>
      </c>
      <c r="C2" s="540" t="n"/>
      <c r="F2" s="540" t="n"/>
      <c r="J2" s="542" t="n"/>
      <c r="N2" s="171" t="n"/>
      <c r="O2" s="171" t="n"/>
      <c r="P2" s="171" t="n"/>
      <c r="Q2" s="171" t="n"/>
      <c r="R2" s="171" t="n"/>
      <c r="S2" s="171" t="n"/>
      <c r="T2" s="171" t="n"/>
      <c r="U2" s="171" t="n"/>
      <c r="V2" s="171" t="n"/>
      <c r="W2" s="171" t="n"/>
      <c r="X2" s="171" t="n"/>
      <c r="Y2" s="171" t="n"/>
      <c r="Z2" s="171" t="n"/>
      <c r="AA2" s="171" t="n"/>
      <c r="AB2" s="171" t="n"/>
      <c r="AC2" s="171" t="n"/>
      <c r="AD2" s="171" t="n"/>
      <c r="AE2" s="171" t="n"/>
      <c r="AF2" s="171" t="n"/>
      <c r="AG2" s="171" t="n"/>
      <c r="AH2" s="171" t="n"/>
      <c r="AI2" s="171" t="n"/>
      <c r="AJ2" s="171" t="n"/>
      <c r="AK2" s="171" t="n"/>
      <c r="AL2" s="171" t="n"/>
    </row>
    <row r="3">
      <c r="B3" s="175" t="n"/>
      <c r="C3" s="171" t="n"/>
      <c r="D3" s="176" t="inlineStr">
        <is>
          <t>30.06.2026</t>
        </is>
      </c>
      <c r="E3" s="176" t="n"/>
      <c r="F3" s="171" t="n"/>
      <c r="G3" s="176" t="inlineStr">
        <is>
          <t>31.12.2025</t>
        </is>
      </c>
      <c r="H3" s="176" t="n"/>
      <c r="N3" s="171" t="n"/>
      <c r="O3" s="171" t="n"/>
      <c r="P3" s="171" t="n"/>
      <c r="Q3" s="171" t="n"/>
      <c r="R3" s="171" t="n"/>
      <c r="S3" s="171" t="n"/>
      <c r="T3" s="171" t="n"/>
      <c r="U3" s="171" t="n"/>
      <c r="V3" s="171" t="n"/>
      <c r="W3" s="171" t="n"/>
      <c r="X3" s="171" t="n"/>
      <c r="Y3" s="171" t="n"/>
      <c r="Z3" s="171" t="n"/>
      <c r="AA3" s="171" t="n"/>
      <c r="AB3" s="171" t="n"/>
      <c r="AC3" s="171" t="n"/>
      <c r="AD3" s="171" t="n"/>
      <c r="AE3" s="171" t="n"/>
      <c r="AF3" s="171" t="n"/>
      <c r="AG3" s="171" t="n"/>
      <c r="AH3" s="171" t="n"/>
      <c r="AI3" s="171" t="n"/>
      <c r="AJ3" s="171" t="n"/>
      <c r="AK3" s="171" t="n"/>
      <c r="AL3" s="171" t="n"/>
    </row>
    <row r="4" ht="25.5" customHeight="1" s="533">
      <c r="B4" s="403" t="inlineStr">
        <is>
          <t>Concepto</t>
        </is>
      </c>
      <c r="C4" s="404" t="inlineStr">
        <is>
          <t>Activo fijo bruto</t>
        </is>
      </c>
      <c r="D4" s="404" t="inlineStr">
        <is>
          <t>Depreciación acumulada</t>
        </is>
      </c>
      <c r="E4" s="404" t="inlineStr">
        <is>
          <t>Activo fijo neto</t>
        </is>
      </c>
      <c r="F4" s="177" t="inlineStr">
        <is>
          <t>Activo fijo bruto</t>
        </is>
      </c>
      <c r="G4" s="178" t="inlineStr">
        <is>
          <t>Depreciación acumulada</t>
        </is>
      </c>
      <c r="H4" s="178" t="inlineStr">
        <is>
          <t>Activo fijo neto</t>
        </is>
      </c>
      <c r="J4" s="56" t="n"/>
      <c r="K4" s="147" t="n"/>
      <c r="L4" s="147" t="n"/>
      <c r="N4" s="349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0" t="n"/>
      <c r="AC4" s="350" t="n"/>
      <c r="AD4" s="350" t="n"/>
      <c r="AE4" s="171" t="n"/>
      <c r="AF4" s="171" t="n"/>
      <c r="AG4" s="171" t="n"/>
      <c r="AH4" s="171" t="n"/>
      <c r="AI4" s="171" t="n"/>
      <c r="AJ4" s="171" t="n"/>
      <c r="AK4" s="171" t="n"/>
      <c r="AL4" s="171" t="n"/>
    </row>
    <row r="5">
      <c r="B5" s="168" t="n"/>
      <c r="C5" s="169" t="inlineStr">
        <is>
          <t>M$</t>
        </is>
      </c>
      <c r="D5" s="169" t="inlineStr">
        <is>
          <t>M$</t>
        </is>
      </c>
      <c r="E5" s="169" t="inlineStr">
        <is>
          <t>M$</t>
        </is>
      </c>
      <c r="F5" s="169" t="inlineStr">
        <is>
          <t>M$</t>
        </is>
      </c>
      <c r="G5" s="169" t="inlineStr">
        <is>
          <t>M$</t>
        </is>
      </c>
      <c r="H5" s="169" t="inlineStr">
        <is>
          <t>M$</t>
        </is>
      </c>
      <c r="J5" s="56" t="n"/>
      <c r="K5" s="56" t="n"/>
      <c r="L5" s="56" t="n"/>
      <c r="N5" s="349" t="n"/>
      <c r="O5" s="350" t="n"/>
      <c r="P5" s="350" t="n"/>
      <c r="Q5" s="350" t="n"/>
      <c r="R5" s="350" t="n"/>
      <c r="S5" s="350" t="n"/>
      <c r="T5" s="350" t="n"/>
      <c r="U5" s="351" t="n"/>
      <c r="V5" s="350" t="n"/>
      <c r="W5" s="350" t="n"/>
      <c r="X5" s="350" t="n"/>
      <c r="Y5" s="351" t="n"/>
      <c r="Z5" s="350" t="n"/>
      <c r="AA5" s="350" t="n"/>
      <c r="AB5" s="350" t="n"/>
      <c r="AC5" s="350" t="n"/>
      <c r="AD5" s="350" t="n"/>
      <c r="AE5" s="171" t="n"/>
      <c r="AF5" s="171" t="n"/>
      <c r="AG5" s="171" t="n"/>
      <c r="AH5" s="171" t="n"/>
      <c r="AI5" s="171" t="n"/>
      <c r="AJ5" s="171" t="n"/>
      <c r="AK5" s="171" t="n"/>
      <c r="AL5" s="171" t="n"/>
    </row>
    <row r="6">
      <c r="B6" s="168" t="n"/>
      <c r="C6" s="169" t="n"/>
      <c r="D6" s="169" t="n"/>
      <c r="E6" s="169" t="n"/>
      <c r="F6" s="169" t="n"/>
      <c r="G6" s="169" t="n"/>
      <c r="H6" s="169" t="n"/>
      <c r="J6" s="56" t="n"/>
      <c r="K6" s="56" t="n"/>
      <c r="L6" s="56" t="n"/>
      <c r="N6" s="349" t="n"/>
      <c r="O6" s="350" t="n"/>
      <c r="P6" s="350" t="n"/>
      <c r="Q6" s="350" t="n"/>
      <c r="R6" s="350" t="n"/>
      <c r="S6" s="350" t="n"/>
      <c r="T6" s="350" t="n"/>
      <c r="U6" s="351" t="n"/>
      <c r="V6" s="350" t="n"/>
      <c r="W6" s="350" t="n"/>
      <c r="X6" s="350" t="n"/>
      <c r="Y6" s="351" t="n"/>
      <c r="Z6" s="350" t="n"/>
      <c r="AA6" s="350" t="n"/>
      <c r="AB6" s="350" t="n"/>
      <c r="AC6" s="350" t="n"/>
      <c r="AD6" s="350" t="n"/>
      <c r="AE6" s="171" t="n"/>
      <c r="AF6" s="171" t="n"/>
      <c r="AG6" s="171" t="n"/>
      <c r="AH6" s="171" t="n"/>
      <c r="AI6" s="171" t="n"/>
      <c r="AJ6" s="171" t="n"/>
      <c r="AK6" s="171" t="n"/>
      <c r="AL6" s="171" t="n"/>
    </row>
    <row r="7" ht="20.1" customHeight="1" s="533">
      <c r="B7" s="405" t="inlineStr">
        <is>
          <t>Derecho de uso (1)</t>
        </is>
      </c>
      <c r="C7" s="608" t="n">
        <v>0</v>
      </c>
      <c r="D7" s="608" t="n">
        <v>0</v>
      </c>
      <c r="E7" s="608">
        <f>SUM(C7:D7)</f>
        <v/>
      </c>
      <c r="F7" s="608" t="n">
        <v>0</v>
      </c>
      <c r="G7" s="608" t="n">
        <v>0</v>
      </c>
      <c r="H7" s="608">
        <f>SUM(F7:G7)</f>
        <v/>
      </c>
      <c r="J7" s="621" t="n"/>
      <c r="K7" s="621" t="n"/>
      <c r="L7" s="621" t="n"/>
      <c r="N7" s="622" t="n"/>
      <c r="O7" s="622" t="n"/>
      <c r="P7" s="171" t="n"/>
      <c r="Q7" s="171" t="n"/>
      <c r="R7" s="171" t="n"/>
      <c r="S7" s="171" t="n"/>
      <c r="T7" s="171" t="n"/>
      <c r="U7" s="171" t="n"/>
      <c r="V7" s="171" t="n"/>
      <c r="W7" s="171" t="n"/>
      <c r="X7" s="171" t="n"/>
      <c r="Y7" s="171" t="n"/>
      <c r="Z7" s="171" t="n"/>
      <c r="AA7" s="171" t="n"/>
      <c r="AB7" s="171" t="n"/>
      <c r="AC7" s="171" t="n"/>
      <c r="AD7" s="171" t="n"/>
      <c r="AE7" s="171" t="n"/>
      <c r="AF7" s="171" t="n"/>
      <c r="AG7" s="171" t="n"/>
      <c r="AH7" s="171" t="n"/>
      <c r="AI7" s="171" t="n"/>
      <c r="AJ7" s="171" t="n"/>
      <c r="AK7" s="171" t="n"/>
      <c r="AL7" s="171" t="n"/>
    </row>
    <row r="8" ht="20.1" customHeight="1" s="533">
      <c r="B8" s="172" t="n"/>
      <c r="C8" s="583" t="n"/>
      <c r="D8" s="583" t="n"/>
      <c r="E8" s="608" t="n"/>
      <c r="F8" s="583" t="n"/>
      <c r="G8" s="583" t="n"/>
      <c r="H8" s="608" t="n"/>
      <c r="N8" s="171" t="n"/>
      <c r="O8" s="171" t="n"/>
      <c r="P8" s="171" t="n"/>
      <c r="Q8" s="171" t="n"/>
      <c r="R8" s="171" t="n"/>
      <c r="S8" s="171" t="n"/>
      <c r="T8" s="171" t="n"/>
      <c r="U8" s="171" t="n"/>
      <c r="V8" s="171" t="n"/>
      <c r="W8" s="171" t="n"/>
      <c r="X8" s="171" t="n"/>
      <c r="Y8" s="171" t="n"/>
      <c r="Z8" s="171" t="n"/>
      <c r="AA8" s="171" t="n"/>
      <c r="AB8" s="171" t="n"/>
      <c r="AC8" s="171" t="n"/>
      <c r="AD8" s="171" t="n"/>
      <c r="AE8" s="171" t="n"/>
      <c r="AF8" s="171" t="n"/>
      <c r="AG8" s="171" t="n"/>
      <c r="AH8" s="171" t="n"/>
      <c r="AI8" s="171" t="n"/>
      <c r="AJ8" s="171" t="n"/>
      <c r="AK8" s="171" t="n"/>
      <c r="AL8" s="171" t="n"/>
    </row>
    <row r="9" ht="20.1" customHeight="1" s="533" thickBot="1">
      <c r="B9" s="172" t="inlineStr">
        <is>
          <t>Totales</t>
        </is>
      </c>
      <c r="C9" s="609">
        <f>SUM(C7:C8)</f>
        <v/>
      </c>
      <c r="D9" s="609">
        <f>SUM(D7:D8)</f>
        <v/>
      </c>
      <c r="E9" s="609">
        <f>SUM(E7:E8)</f>
        <v/>
      </c>
      <c r="F9" s="609">
        <f>SUM(F7:F8)</f>
        <v/>
      </c>
      <c r="G9" s="609">
        <f>SUM(G7:G8)</f>
        <v/>
      </c>
      <c r="H9" s="609">
        <f>SUM(H7:H8)</f>
        <v/>
      </c>
      <c r="J9" s="623" t="n"/>
      <c r="K9" s="623" t="n"/>
      <c r="L9" s="623" t="n"/>
      <c r="N9" s="171" t="n"/>
      <c r="O9" s="208" t="n"/>
      <c r="P9" s="171" t="n"/>
      <c r="Q9" s="171" t="n"/>
      <c r="R9" s="171" t="n"/>
      <c r="S9" s="171" t="n"/>
      <c r="T9" s="171" t="n"/>
      <c r="U9" s="171" t="n"/>
      <c r="V9" s="171" t="n"/>
      <c r="W9" s="171" t="n"/>
      <c r="X9" s="171" t="n"/>
      <c r="Y9" s="171" t="n"/>
      <c r="Z9" s="171" t="n"/>
      <c r="AA9" s="171" t="n"/>
      <c r="AB9" s="171" t="n"/>
      <c r="AC9" s="171" t="n"/>
      <c r="AD9" s="171" t="n"/>
      <c r="AE9" s="171" t="n"/>
      <c r="AF9" s="171" t="n"/>
      <c r="AG9" s="171" t="n"/>
      <c r="AH9" s="171" t="n"/>
      <c r="AI9" s="171" t="n"/>
      <c r="AJ9" s="171" t="n"/>
      <c r="AK9" s="171" t="n"/>
      <c r="AL9" s="171" t="n"/>
    </row>
    <row r="10" ht="20.1" customHeight="1" s="533" thickTop="1">
      <c r="B10" s="171" t="n"/>
      <c r="C10" s="171" t="n"/>
      <c r="D10" s="171" t="n"/>
      <c r="E10" s="171" t="n"/>
      <c r="F10" s="7" t="n"/>
      <c r="G10" s="7" t="n"/>
      <c r="H10" s="7" t="n"/>
      <c r="N10" s="171" t="n"/>
      <c r="O10" s="202" t="n"/>
      <c r="P10" s="171" t="n"/>
      <c r="Q10" s="171" t="n"/>
      <c r="R10" s="171" t="n"/>
      <c r="S10" s="171" t="n"/>
      <c r="T10" s="171" t="n"/>
      <c r="U10" s="171" t="n"/>
      <c r="V10" s="171" t="n"/>
      <c r="W10" s="171" t="n"/>
      <c r="X10" s="171" t="n"/>
      <c r="Y10" s="171" t="n"/>
      <c r="Z10" s="171" t="n"/>
      <c r="AA10" s="171" t="n"/>
      <c r="AB10" s="171" t="n"/>
      <c r="AC10" s="171" t="n"/>
      <c r="AD10" s="171" t="n"/>
      <c r="AE10" s="171" t="n"/>
      <c r="AF10" s="171" t="n"/>
      <c r="AG10" s="171" t="n"/>
      <c r="AH10" s="171" t="n"/>
      <c r="AI10" s="171" t="n"/>
      <c r="AJ10" s="171" t="n"/>
      <c r="AK10" s="171" t="n"/>
      <c r="AL10" s="171" t="n"/>
    </row>
    <row r="11">
      <c r="B11" s="180" t="n"/>
      <c r="N11" s="171" t="n"/>
      <c r="O11" s="171" t="n"/>
      <c r="P11" s="171" t="n"/>
      <c r="Q11" s="171" t="n"/>
      <c r="R11" s="171" t="n"/>
      <c r="S11" s="171" t="n"/>
      <c r="T11" s="171" t="n"/>
      <c r="U11" s="171" t="n"/>
      <c r="V11" s="171" t="n"/>
      <c r="W11" s="171" t="n"/>
      <c r="X11" s="171" t="n"/>
      <c r="Y11" s="171" t="n"/>
      <c r="Z11" s="171" t="n"/>
      <c r="AA11" s="171" t="n"/>
      <c r="AB11" s="171" t="n"/>
      <c r="AC11" s="171" t="n"/>
      <c r="AD11" s="171" t="n"/>
      <c r="AE11" s="171" t="n"/>
      <c r="AF11" s="171" t="n"/>
      <c r="AG11" s="171" t="n"/>
      <c r="AH11" s="171" t="n"/>
      <c r="AI11" s="171" t="n"/>
      <c r="AJ11" s="171" t="n"/>
      <c r="AK11" s="171" t="n"/>
      <c r="AL11" s="171" t="n"/>
    </row>
    <row r="12">
      <c r="B12" s="451" t="inlineStr">
        <is>
          <t>#N10.2</t>
        </is>
      </c>
      <c r="N12" s="171" t="n"/>
      <c r="O12" s="171" t="n"/>
      <c r="P12" s="171" t="n"/>
      <c r="Q12" s="171" t="n"/>
      <c r="R12" s="171" t="n"/>
      <c r="S12" s="171" t="n"/>
      <c r="T12" s="171" t="n"/>
      <c r="U12" s="171" t="n"/>
      <c r="V12" s="171" t="n"/>
      <c r="W12" s="171" t="n"/>
      <c r="X12" s="171" t="n"/>
      <c r="Y12" s="171" t="n"/>
      <c r="Z12" s="171" t="n"/>
      <c r="AA12" s="171" t="n"/>
      <c r="AB12" s="171" t="n"/>
      <c r="AC12" s="171" t="n"/>
      <c r="AD12" s="171" t="n"/>
      <c r="AE12" s="171" t="n"/>
      <c r="AF12" s="171" t="n"/>
      <c r="AG12" s="171" t="n"/>
      <c r="AH12" s="171" t="n"/>
      <c r="AI12" s="171" t="n"/>
      <c r="AJ12" s="171" t="n"/>
      <c r="AK12" s="171" t="n"/>
      <c r="AL12" s="171" t="n"/>
    </row>
    <row r="13">
      <c r="B13" s="402" t="inlineStr">
        <is>
          <t>Movimientos de amortizacion acumulada</t>
        </is>
      </c>
      <c r="C13" s="154" t="n"/>
      <c r="D13" s="154" t="n"/>
      <c r="E13" s="154" t="n"/>
    </row>
    <row r="14" ht="29.4" customHeight="1" s="533">
      <c r="B14" s="136" t="n"/>
      <c r="C14" s="176" t="inlineStr">
        <is>
          <t>30.06.2026</t>
        </is>
      </c>
      <c r="D14" s="176" t="inlineStr">
        <is>
          <t>31.12.2025</t>
        </is>
      </c>
      <c r="E14" s="154" t="n"/>
    </row>
    <row r="15">
      <c r="B15" s="153" t="n"/>
      <c r="C15" s="150" t="inlineStr">
        <is>
          <t>M$</t>
        </is>
      </c>
      <c r="D15" s="150" t="inlineStr">
        <is>
          <t>M$</t>
        </is>
      </c>
      <c r="E15" s="154" t="n"/>
    </row>
    <row r="16">
      <c r="B16" s="406" t="inlineStr">
        <is>
          <t>Saldo inicial al 01/01/2026</t>
        </is>
      </c>
      <c r="C16" s="624" t="n">
        <v>0</v>
      </c>
      <c r="D16" s="624" t="n">
        <v>0</v>
      </c>
      <c r="E16" s="154" t="n"/>
    </row>
    <row r="17">
      <c r="B17" s="406" t="inlineStr">
        <is>
          <t>Adiciones</t>
        </is>
      </c>
      <c r="C17" s="625" t="n">
        <v>0</v>
      </c>
      <c r="D17" s="625" t="n">
        <v>0</v>
      </c>
      <c r="E17" s="154" t="n"/>
    </row>
    <row r="18">
      <c r="B18" s="406" t="inlineStr">
        <is>
          <t>Desapropiaciones</t>
        </is>
      </c>
      <c r="C18" s="625" t="n">
        <v>0</v>
      </c>
      <c r="D18" s="625" t="n">
        <v>0</v>
      </c>
      <c r="E18" s="154" t="n"/>
    </row>
    <row r="19">
      <c r="B19" s="406" t="inlineStr">
        <is>
          <t>Gasto por amortización</t>
        </is>
      </c>
      <c r="C19" s="625" t="n">
        <v>0</v>
      </c>
      <c r="D19" s="625" t="n">
        <v>0</v>
      </c>
      <c r="E19" s="154" t="n"/>
    </row>
    <row r="20" ht="14.4" customHeight="1" s="533">
      <c r="B20" s="406" t="inlineStr">
        <is>
          <t>Transferencias</t>
        </is>
      </c>
      <c r="C20" s="626" t="n">
        <v>0</v>
      </c>
      <c r="D20" s="626" t="n">
        <v>0</v>
      </c>
      <c r="E20" s="154" t="n"/>
    </row>
    <row r="21" ht="14.4" customHeight="1" s="533" thickBot="1">
      <c r="B21" s="407" t="inlineStr">
        <is>
          <t>Saldo final al 31/12/2025</t>
        </is>
      </c>
      <c r="C21" s="627">
        <f>SUM(C16:C20)</f>
        <v/>
      </c>
      <c r="D21" s="627">
        <f>SUM(D16:D20)</f>
        <v/>
      </c>
      <c r="E21" s="154" t="n"/>
    </row>
    <row r="22" ht="14.4" customHeight="1" s="533" thickTop="1">
      <c r="B22" s="18" t="n"/>
      <c r="C22" s="628" t="n"/>
      <c r="D22" s="18" t="n"/>
      <c r="E22" s="154" t="n"/>
    </row>
    <row r="23">
      <c r="E23" s="154" t="n"/>
    </row>
    <row r="25" ht="14.4" customHeight="1" s="533">
      <c r="B25" s="402" t="inlineStr">
        <is>
          <t>A continuación, se detallan los valores registrados en el estado de resultados de contratos de arrendamientos no considerados derechos de uso:</t>
        </is>
      </c>
    </row>
    <row r="26" ht="14.4" customHeight="1" s="533">
      <c r="B26" s="451" t="inlineStr">
        <is>
          <t>#N10.3</t>
        </is>
      </c>
    </row>
    <row r="27" ht="14.4" customHeight="1" s="533">
      <c r="C27" s="329" t="inlineStr">
        <is>
          <t>30.06.2026</t>
        </is>
      </c>
      <c r="D27" s="329" t="inlineStr">
        <is>
          <t>31.12.2025</t>
        </is>
      </c>
    </row>
    <row r="28">
      <c r="B28" s="408" t="inlineStr">
        <is>
          <t>Tipo de contrato</t>
        </is>
      </c>
      <c r="C28" s="290" t="inlineStr">
        <is>
          <t>M$</t>
        </is>
      </c>
      <c r="D28" s="290" t="inlineStr">
        <is>
          <t>M$</t>
        </is>
      </c>
    </row>
    <row r="29" ht="14.4" customHeight="1" s="533"/>
    <row r="30">
      <c r="B30" s="408" t="inlineStr">
        <is>
          <t>Arriendos de corto plazo</t>
        </is>
      </c>
      <c r="C30" s="625" t="n">
        <v>0</v>
      </c>
      <c r="D30" s="625" t="n">
        <v>0</v>
      </c>
    </row>
    <row r="31">
      <c r="B31" s="408" t="inlineStr">
        <is>
          <t>Arriendos de bajo valor</t>
        </is>
      </c>
      <c r="C31" s="625" t="n">
        <v>0</v>
      </c>
      <c r="D31" s="625" t="n">
        <v>0</v>
      </c>
    </row>
    <row r="32" ht="14.4" customHeight="1" s="533">
      <c r="B32" s="408" t="inlineStr">
        <is>
          <t>Arriendos que no transfieren control (1)</t>
        </is>
      </c>
      <c r="C32" s="626" t="n">
        <v>0</v>
      </c>
      <c r="D32" s="626" t="n">
        <v>0</v>
      </c>
    </row>
    <row r="33" ht="14.4" customHeight="1" s="533" thickBot="1">
      <c r="B33" s="408" t="inlineStr">
        <is>
          <t>Total</t>
        </is>
      </c>
      <c r="C33" s="627">
        <f>SUM(C30:C32)</f>
        <v/>
      </c>
      <c r="D33" s="627">
        <f>SUM(D30:D32)</f>
        <v/>
      </c>
    </row>
    <row r="34" ht="14.4" customHeight="1" s="533" thickTop="1"/>
    <row r="35">
      <c r="B35" s="402" t="inlineStr">
        <is>
          <t>Los pagos mínimos no descontados por compromisos futuros de los arriendos no considerados como derechos de uso son los siguientes:</t>
        </is>
      </c>
    </row>
    <row r="36" ht="14.4" customHeight="1" s="533">
      <c r="B36" s="451" t="inlineStr">
        <is>
          <t>#N10.4</t>
        </is>
      </c>
    </row>
    <row r="37" ht="14.4" customHeight="1" s="533">
      <c r="C37" s="408" t="inlineStr">
        <is>
          <t>Menos de 1 año</t>
        </is>
      </c>
      <c r="D37" s="408" t="inlineStr">
        <is>
          <t>Entre 1 y 5 años</t>
        </is>
      </c>
      <c r="E37" s="408" t="inlineStr">
        <is>
          <t>Mas de 5 años</t>
        </is>
      </c>
    </row>
    <row r="38">
      <c r="B38" s="408" t="inlineStr">
        <is>
          <t>Tipo de contrato</t>
        </is>
      </c>
      <c r="C38" s="290" t="inlineStr">
        <is>
          <t>M$</t>
        </is>
      </c>
      <c r="D38" s="290" t="inlineStr">
        <is>
          <t>M$</t>
        </is>
      </c>
      <c r="E38" s="290" t="inlineStr">
        <is>
          <t>M$</t>
        </is>
      </c>
    </row>
    <row r="39" ht="14.4" customHeight="1" s="533"/>
    <row r="40">
      <c r="B40" s="408" t="inlineStr">
        <is>
          <t>Arriendos de corto plazo</t>
        </is>
      </c>
      <c r="C40" s="625" t="n">
        <v>0</v>
      </c>
      <c r="D40" s="625" t="n">
        <v>0</v>
      </c>
      <c r="E40" s="625" t="n">
        <v>0</v>
      </c>
    </row>
    <row r="41">
      <c r="B41" s="408" t="inlineStr">
        <is>
          <t>Arriendos de bajo valor</t>
        </is>
      </c>
      <c r="C41" s="625" t="n">
        <v>0</v>
      </c>
      <c r="D41" s="625" t="n">
        <v>0</v>
      </c>
      <c r="E41" s="625" t="n">
        <v>0</v>
      </c>
    </row>
    <row r="42" ht="14.4" customHeight="1" s="533">
      <c r="B42" s="408" t="inlineStr">
        <is>
          <t>Arriendos que no transfieren control</t>
        </is>
      </c>
      <c r="C42" s="626" t="n">
        <v>0</v>
      </c>
      <c r="D42" s="626" t="n">
        <v>0</v>
      </c>
      <c r="E42" s="626" t="n">
        <v>0</v>
      </c>
    </row>
    <row r="43" ht="14.4" customHeight="1" s="533" thickBot="1">
      <c r="B43" s="408" t="inlineStr">
        <is>
          <t>Total</t>
        </is>
      </c>
      <c r="C43" s="627">
        <f>SUM(C40:C42)</f>
        <v/>
      </c>
      <c r="D43" s="627">
        <f>SUM(D40:D42)</f>
        <v/>
      </c>
      <c r="E43" s="627">
        <f>SUM(E40:E42)</f>
        <v/>
      </c>
    </row>
    <row r="44" ht="14.4" customHeight="1" s="533" thickTop="1"/>
  </sheetData>
  <mergeCells count="3">
    <mergeCell ref="C2:E2"/>
    <mergeCell ref="J2:L2"/>
    <mergeCell ref="F2:H2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6"/>
  <sheetViews>
    <sheetView showGridLines="0" workbookViewId="0">
      <selection activeCell="G11" sqref="G11"/>
    </sheetView>
  </sheetViews>
  <sheetFormatPr baseColWidth="10" defaultRowHeight="14.4"/>
  <cols>
    <col width="47.77734375" customWidth="1" style="533" min="2" max="2"/>
  </cols>
  <sheetData>
    <row r="2">
      <c r="B2" s="451" t="inlineStr">
        <is>
          <t>#N11.1</t>
        </is>
      </c>
    </row>
    <row r="3">
      <c r="C3" s="409" t="n">
        <v>46022</v>
      </c>
      <c r="D3" s="409" t="n">
        <v>45657</v>
      </c>
    </row>
    <row r="4">
      <c r="B4" s="356" t="n"/>
      <c r="C4" s="353" t="inlineStr">
        <is>
          <t>M$</t>
        </is>
      </c>
      <c r="D4" s="353" t="inlineStr">
        <is>
          <t>M$</t>
        </is>
      </c>
    </row>
    <row r="5">
      <c r="B5" s="386" t="inlineStr">
        <is>
          <t>Plusvalía por Adquisiciones de Empresas</t>
        </is>
      </c>
      <c r="C5" s="629" t="n">
        <v>0</v>
      </c>
      <c r="D5" s="629" t="n">
        <v>0</v>
      </c>
    </row>
    <row r="6">
      <c r="B6" s="357" t="inlineStr">
        <is>
          <t>Total</t>
        </is>
      </c>
      <c r="C6" s="630">
        <f>+C5</f>
        <v/>
      </c>
      <c r="D6" s="630">
        <f>+D5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3:J23"/>
  <sheetViews>
    <sheetView showGridLines="0" topLeftCell="B1" zoomScale="90" zoomScaleNormal="90" workbookViewId="0">
      <selection activeCell="D1" sqref="D1:L1048576"/>
    </sheetView>
  </sheetViews>
  <sheetFormatPr baseColWidth="10" defaultRowHeight="13.2"/>
  <cols>
    <col width="11.5546875" customWidth="1" style="544" min="1" max="2"/>
    <col width="35.6640625" customWidth="1" style="544" min="3" max="3"/>
    <col width="14.33203125" customWidth="1" style="544" min="4" max="4"/>
    <col width="12.44140625" bestFit="1" customWidth="1" style="544" min="5" max="5"/>
    <col width="6.21875" customWidth="1" style="544" min="6" max="6"/>
    <col width="11.5546875" customWidth="1" style="544" min="7" max="9"/>
    <col width="11.5546875" customWidth="1" style="544" min="10" max="16384"/>
  </cols>
  <sheetData>
    <row r="1" customFormat="1" s="371"/>
    <row r="3">
      <c r="C3" s="451" t="inlineStr">
        <is>
          <t>#N12.1</t>
        </is>
      </c>
    </row>
    <row r="4" ht="21" customHeight="1" s="533">
      <c r="C4" s="543" t="inlineStr">
        <is>
          <t>Activos por impuestos corrientes</t>
        </is>
      </c>
      <c r="D4" s="74" t="inlineStr">
        <is>
          <t>30.06.2026</t>
        </is>
      </c>
      <c r="E4" s="74" t="inlineStr">
        <is>
          <t>31.12.2025</t>
        </is>
      </c>
    </row>
    <row r="5">
      <c r="D5" s="631" t="inlineStr">
        <is>
          <t>M$</t>
        </is>
      </c>
      <c r="E5" s="631" t="inlineStr">
        <is>
          <t>M$</t>
        </is>
      </c>
    </row>
    <row r="6">
      <c r="C6" s="410" t="inlineStr">
        <is>
          <t>Créditos renta</t>
        </is>
      </c>
      <c r="D6" s="632" t="n"/>
      <c r="E6" s="633" t="n"/>
    </row>
    <row r="7">
      <c r="C7" s="410" t="inlineStr">
        <is>
          <t>IVA crédito fiscal</t>
        </is>
      </c>
      <c r="D7" s="632" t="n"/>
      <c r="E7" s="633" t="n">
        <v>0</v>
      </c>
    </row>
    <row r="8">
      <c r="C8" s="410" t="inlineStr">
        <is>
          <t>Pagos previsionales mensuales (PPM)</t>
        </is>
      </c>
      <c r="D8" s="634" t="n">
        <v>0</v>
      </c>
      <c r="E8" s="635" t="n">
        <v>0</v>
      </c>
      <c r="J8" s="134" t="n"/>
    </row>
    <row r="9" ht="13.8" customHeight="1" s="533" thickBot="1">
      <c r="C9" s="410" t="inlineStr">
        <is>
          <t>Total activos</t>
        </is>
      </c>
      <c r="D9" s="636">
        <f>SUM(D6:D8)</f>
        <v/>
      </c>
      <c r="E9" s="636">
        <f>SUM(E6:E8)</f>
        <v/>
      </c>
      <c r="J9" s="134" t="n"/>
    </row>
    <row r="10">
      <c r="D10" s="633" t="n"/>
      <c r="E10" s="633" t="n"/>
      <c r="H10" s="134" t="n"/>
      <c r="I10" s="134" t="n"/>
      <c r="J10" s="134" t="n"/>
    </row>
    <row r="11">
      <c r="C11" s="451" t="inlineStr">
        <is>
          <t>#N12.2</t>
        </is>
      </c>
      <c r="D11" s="633" t="n"/>
      <c r="E11" s="633" t="n"/>
      <c r="G11" s="134" t="n"/>
      <c r="H11" s="134" t="n"/>
      <c r="I11" s="134" t="n"/>
    </row>
    <row r="12">
      <c r="C12" s="545" t="inlineStr">
        <is>
          <t>Pasivos por impuestos corrientes</t>
        </is>
      </c>
      <c r="D12" s="637" t="inlineStr">
        <is>
          <t>31.12.2025</t>
        </is>
      </c>
      <c r="E12" s="637" t="inlineStr">
        <is>
          <t>31.12.2025</t>
        </is>
      </c>
      <c r="G12" s="134" t="n"/>
      <c r="H12" s="134" t="n"/>
    </row>
    <row r="13">
      <c r="D13" s="631" t="inlineStr">
        <is>
          <t>M$</t>
        </is>
      </c>
      <c r="E13" s="631" t="inlineStr">
        <is>
          <t>M$</t>
        </is>
      </c>
    </row>
    <row r="14">
      <c r="C14" s="410" t="inlineStr">
        <is>
          <t>IVA débito fiscal</t>
        </is>
      </c>
      <c r="D14" s="632" t="n"/>
      <c r="E14" s="633" t="n"/>
    </row>
    <row r="15">
      <c r="C15" s="410" t="inlineStr">
        <is>
          <t>Impuesto retención 10% art. 42</t>
        </is>
      </c>
      <c r="D15" s="632" t="n"/>
      <c r="E15" s="638" t="n"/>
    </row>
    <row r="16" ht="18" customHeight="1" s="533">
      <c r="C16" s="410" t="inlineStr">
        <is>
          <t>Impuestos mensuales por pagar (F29-F50)</t>
        </is>
      </c>
      <c r="D16" s="632" t="n"/>
      <c r="E16" s="638" t="n"/>
    </row>
    <row r="17">
      <c r="C17" s="410" t="inlineStr">
        <is>
          <t>Impuesto adicional</t>
        </is>
      </c>
      <c r="D17" s="632" t="n"/>
      <c r="E17" s="633" t="n"/>
    </row>
    <row r="18" ht="13.8" customHeight="1" s="533" thickBot="1">
      <c r="C18" s="410" t="inlineStr">
        <is>
          <t>Impuesto a la renta</t>
        </is>
      </c>
      <c r="D18" s="632" t="n"/>
      <c r="E18" s="633" t="n"/>
    </row>
    <row r="19" ht="13.8" customHeight="1" s="533" thickBot="1">
      <c r="C19" s="410" t="inlineStr">
        <is>
          <t>Total pasivos</t>
        </is>
      </c>
      <c r="D19" s="639">
        <f>SUM(D14:D18)</f>
        <v/>
      </c>
      <c r="E19" s="639">
        <f>SUM(E14:E18)</f>
        <v/>
      </c>
    </row>
    <row r="20" ht="13.8" customHeight="1" s="533" thickBot="1">
      <c r="C20" s="410" t="inlineStr">
        <is>
          <t>valor neto</t>
        </is>
      </c>
      <c r="D20" s="639">
        <f>D9-D19</f>
        <v/>
      </c>
      <c r="E20" s="639">
        <f>E9-E19</f>
        <v/>
      </c>
    </row>
    <row r="21">
      <c r="D21" s="633" t="n"/>
      <c r="E21" s="633" t="n"/>
    </row>
    <row r="23">
      <c r="E23" s="633" t="n"/>
    </row>
  </sheetData>
  <mergeCells count="2">
    <mergeCell ref="C4:C5"/>
    <mergeCell ref="C12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B2:M39"/>
  <sheetViews>
    <sheetView showGridLines="0" zoomScale="70" zoomScaleNormal="70" workbookViewId="0">
      <selection activeCell="B40" sqref="B40"/>
    </sheetView>
  </sheetViews>
  <sheetFormatPr baseColWidth="10" defaultRowHeight="13.8" outlineLevelRow="1"/>
  <cols>
    <col width="16.5546875" customWidth="1" style="119" min="1" max="1"/>
    <col width="40.5546875" bestFit="1" customWidth="1" style="119" min="2" max="2"/>
    <col width="18.5546875" customWidth="1" style="119" min="3" max="3"/>
    <col width="14" customWidth="1" style="119" min="4" max="4"/>
    <col width="12" customWidth="1" style="119" min="5" max="5"/>
    <col width="11.5546875" customWidth="1" style="119" min="6" max="6"/>
    <col width="13.44140625" customWidth="1" style="119" min="7" max="7"/>
    <col width="12.44140625" bestFit="1" customWidth="1" style="119" min="8" max="8"/>
    <col width="14.5546875" bestFit="1" customWidth="1" style="119" min="9" max="9"/>
    <col width="13" bestFit="1" customWidth="1" style="119" min="10" max="10"/>
    <col width="13.33203125" bestFit="1" customWidth="1" style="119" min="11" max="11"/>
    <col width="12" bestFit="1" customWidth="1" style="119" min="12" max="12"/>
    <col width="34.21875" bestFit="1" customWidth="1" style="119" min="13" max="13"/>
    <col width="11.5546875" customWidth="1" style="119" min="14" max="15"/>
    <col width="11.5546875" customWidth="1" style="119" min="16" max="16384"/>
  </cols>
  <sheetData>
    <row r="2">
      <c r="B2" s="451" t="inlineStr">
        <is>
          <t>#N16.1</t>
        </is>
      </c>
    </row>
    <row r="3">
      <c r="C3" s="309" t="inlineStr">
        <is>
          <t>31.12.2026</t>
        </is>
      </c>
      <c r="D3" s="309" t="inlineStr">
        <is>
          <t>31.12.2026</t>
        </is>
      </c>
      <c r="E3" s="309" t="inlineStr">
        <is>
          <t>31.12.2025</t>
        </is>
      </c>
      <c r="F3" s="309" t="inlineStr">
        <is>
          <t>31.12.2025</t>
        </is>
      </c>
    </row>
    <row r="4">
      <c r="B4" s="393" t="inlineStr">
        <is>
          <t>Concepto</t>
        </is>
      </c>
      <c r="C4" s="411" t="inlineStr">
        <is>
          <t>Corriente</t>
        </is>
      </c>
      <c r="D4" s="411" t="inlineStr">
        <is>
          <t>No corriente</t>
        </is>
      </c>
      <c r="E4" s="411" t="inlineStr">
        <is>
          <t>Corriente</t>
        </is>
      </c>
      <c r="F4" s="310" t="inlineStr">
        <is>
          <t>No corriente</t>
        </is>
      </c>
    </row>
    <row r="5">
      <c r="B5" s="32" t="n"/>
      <c r="C5" s="310" t="inlineStr">
        <is>
          <t>M$</t>
        </is>
      </c>
      <c r="D5" s="310" t="inlineStr">
        <is>
          <t>M$</t>
        </is>
      </c>
      <c r="E5" s="310" t="inlineStr">
        <is>
          <t>M$</t>
        </is>
      </c>
      <c r="F5" s="310" t="inlineStr">
        <is>
          <t>M$</t>
        </is>
      </c>
    </row>
    <row r="6" ht="15" customHeight="1" s="533">
      <c r="B6" s="394" t="inlineStr">
        <is>
          <t xml:space="preserve">Arriendo Bodegas </t>
        </is>
      </c>
      <c r="C6" s="640" t="n"/>
      <c r="D6" s="640" t="n"/>
      <c r="E6" s="640" t="n"/>
      <c r="F6" s="640" t="n"/>
    </row>
    <row r="7" ht="15" customHeight="1" s="533">
      <c r="B7" s="394" t="inlineStr">
        <is>
          <t xml:space="preserve">Arriendo casa matriz </t>
        </is>
      </c>
      <c r="C7" s="640" t="n"/>
      <c r="D7" s="640" t="n"/>
      <c r="E7" s="640" t="n"/>
      <c r="F7" s="640" t="n"/>
    </row>
    <row r="8" ht="15" customHeight="1" s="533">
      <c r="B8" s="394" t="inlineStr">
        <is>
          <t>Hub´s</t>
        </is>
      </c>
      <c r="C8" s="640" t="n"/>
      <c r="D8" s="640" t="n"/>
      <c r="E8" s="640" t="n"/>
      <c r="F8" s="640" t="n"/>
    </row>
    <row r="9" ht="15" customHeight="1" s="533">
      <c r="B9" s="394" t="inlineStr">
        <is>
          <t xml:space="preserve">Otros espacios </t>
        </is>
      </c>
      <c r="C9" s="640" t="n"/>
      <c r="D9" s="640" t="n"/>
      <c r="E9" s="640" t="n"/>
      <c r="F9" s="640" t="n"/>
    </row>
    <row r="10" ht="15" customHeight="1" s="533">
      <c r="B10" s="394" t="inlineStr">
        <is>
          <t>Sucursales</t>
        </is>
      </c>
      <c r="C10" s="640" t="n"/>
      <c r="D10" s="640" t="n"/>
      <c r="E10" s="640" t="n"/>
      <c r="F10" s="640" t="n"/>
    </row>
    <row r="11" ht="15" customHeight="1" s="533">
      <c r="B11" s="394" t="inlineStr">
        <is>
          <t>Arriendo postes</t>
        </is>
      </c>
      <c r="C11" s="640" t="n"/>
      <c r="D11" s="640" t="n"/>
      <c r="E11" s="640" t="n"/>
      <c r="F11" s="640" t="n"/>
    </row>
    <row r="12" ht="15" customHeight="1" s="533" thickBot="1">
      <c r="B12" s="394" t="inlineStr">
        <is>
          <t>Arriendo vehículos</t>
        </is>
      </c>
      <c r="C12" s="640" t="n"/>
      <c r="D12" s="640" t="n"/>
      <c r="E12" s="640" t="n"/>
      <c r="F12" s="640" t="n"/>
    </row>
    <row r="13" ht="14.4" customHeight="1" s="533" thickBot="1">
      <c r="B13" s="394" t="inlineStr">
        <is>
          <t xml:space="preserve">Total </t>
        </is>
      </c>
      <c r="C13" s="641">
        <f>SUM(C6:C12)</f>
        <v/>
      </c>
      <c r="D13" s="641">
        <f>SUM(D6:D12)</f>
        <v/>
      </c>
      <c r="E13" s="641">
        <f>SUM(E6:E12)</f>
        <v/>
      </c>
      <c r="F13" s="641">
        <f>SUM(F6:F12)</f>
        <v/>
      </c>
    </row>
    <row r="14" ht="15" customHeight="1" s="533"/>
    <row r="18">
      <c r="B18" s="456" t="inlineStr">
        <is>
          <t>#N16.2[COMPARATIVO]</t>
        </is>
      </c>
    </row>
    <row r="19" outlineLevel="1" s="533">
      <c r="B19" s="412" t="inlineStr">
        <is>
          <t xml:space="preserve">VENCIMIENTO DE PASIVOS SIN DESCONTAR </t>
        </is>
      </c>
      <c r="C19" s="311" t="n"/>
    </row>
    <row r="20" outlineLevel="1" ht="24" customHeight="1" s="533">
      <c r="B20" s="16" t="inlineStr">
        <is>
          <t>Detalle al 30/06/2026</t>
        </is>
      </c>
      <c r="C20" s="413" t="inlineStr">
        <is>
          <t>90 días</t>
        </is>
      </c>
      <c r="D20" s="413" t="inlineStr">
        <is>
          <t>90 días a 1 años</t>
        </is>
      </c>
      <c r="E20" s="414" t="inlineStr">
        <is>
          <t>Total Corriente</t>
        </is>
      </c>
      <c r="F20" s="71" t="inlineStr">
        <is>
          <t>2 a 3 años</t>
        </is>
      </c>
      <c r="G20" s="71" t="inlineStr">
        <is>
          <t>4 a 7 años</t>
        </is>
      </c>
      <c r="H20" s="85" t="inlineStr">
        <is>
          <t>Total No Corriente</t>
        </is>
      </c>
    </row>
    <row r="21" outlineLevel="1" s="533">
      <c r="B21" s="82" t="n"/>
      <c r="C21" s="14" t="inlineStr">
        <is>
          <t>M$</t>
        </is>
      </c>
      <c r="D21" s="14" t="inlineStr">
        <is>
          <t>M$</t>
        </is>
      </c>
      <c r="E21" s="14" t="inlineStr">
        <is>
          <t>M$</t>
        </is>
      </c>
      <c r="F21" s="14" t="inlineStr">
        <is>
          <t>M$</t>
        </is>
      </c>
      <c r="G21" s="14" t="inlineStr">
        <is>
          <t>M$</t>
        </is>
      </c>
      <c r="H21" s="14" t="inlineStr">
        <is>
          <t>M$</t>
        </is>
      </c>
    </row>
    <row r="22" outlineLevel="1" ht="15" customHeight="1" s="533" thickBot="1">
      <c r="B22" s="82" t="inlineStr">
        <is>
          <t>Pasivos por derecho de uso</t>
        </is>
      </c>
      <c r="C22" s="183" t="n"/>
      <c r="D22" s="183" t="n"/>
      <c r="E22" s="642">
        <f>SUM(C22:D22)</f>
        <v/>
      </c>
      <c r="F22" s="643" t="n">
        <v>0</v>
      </c>
      <c r="G22" s="643" t="n">
        <v>0</v>
      </c>
      <c r="H22" s="644">
        <f>SUM(F22:G22)</f>
        <v/>
      </c>
      <c r="I22" s="311" t="n"/>
    </row>
    <row r="23" outlineLevel="1" ht="15" customHeight="1" s="533" thickBot="1">
      <c r="B23" s="233" t="inlineStr">
        <is>
          <t xml:space="preserve">Total </t>
        </is>
      </c>
      <c r="C23" s="645">
        <f>+C22</f>
        <v/>
      </c>
      <c r="D23" s="645">
        <f>+D22</f>
        <v/>
      </c>
      <c r="E23" s="645">
        <f>+E22</f>
        <v/>
      </c>
      <c r="F23" s="645">
        <f>+F22</f>
        <v/>
      </c>
      <c r="G23" s="645">
        <f>+G22</f>
        <v/>
      </c>
      <c r="H23" s="645">
        <f>+H22</f>
        <v/>
      </c>
      <c r="I23" s="311" t="n"/>
    </row>
    <row r="24" outlineLevel="1" s="533">
      <c r="B24" s="558" t="n"/>
      <c r="C24" s="337" t="n"/>
      <c r="D24" s="338" t="n"/>
      <c r="E24" s="338" t="n"/>
      <c r="F24" s="338" t="n"/>
      <c r="G24" s="338" t="n"/>
      <c r="H24" s="338" t="n"/>
      <c r="I24" s="311" t="n"/>
    </row>
    <row r="25" outlineLevel="1" s="533">
      <c r="B25" s="558" t="n"/>
      <c r="C25" s="337" t="n"/>
      <c r="D25" s="338" t="n"/>
      <c r="E25" s="338" t="n"/>
      <c r="F25" s="338" t="n"/>
      <c r="G25" s="338" t="n"/>
      <c r="H25" s="338" t="n"/>
      <c r="I25" s="311" t="n"/>
    </row>
    <row r="26" outlineLevel="1" s="533">
      <c r="B26" s="558" t="n"/>
      <c r="C26" s="82" t="n"/>
      <c r="D26" s="19" t="n"/>
      <c r="E26" s="19" t="n"/>
      <c r="F26" s="19" t="n"/>
      <c r="G26" s="19" t="n"/>
      <c r="H26" s="19" t="n"/>
    </row>
    <row r="27" outlineLevel="1" s="533">
      <c r="B27" s="558" t="n"/>
      <c r="C27" s="82" t="n"/>
      <c r="D27" s="19" t="n"/>
      <c r="E27" s="19" t="n"/>
      <c r="F27" s="19" t="n"/>
      <c r="G27" s="19" t="n"/>
      <c r="H27" s="19" t="n"/>
    </row>
    <row r="28" outlineLevel="1" s="533">
      <c r="B28" s="558" t="n"/>
      <c r="C28" s="82" t="n"/>
      <c r="D28" s="19" t="n"/>
      <c r="E28" s="19" t="n"/>
      <c r="F28" s="19" t="n"/>
      <c r="G28" s="19" t="n"/>
      <c r="H28" s="19" t="n"/>
    </row>
    <row r="29">
      <c r="B29" s="456" t="inlineStr">
        <is>
          <t>#N16.3[COMPARATIVO]</t>
        </is>
      </c>
    </row>
    <row r="30" outlineLevel="1" s="533">
      <c r="B30" s="412" t="inlineStr">
        <is>
          <t xml:space="preserve">CAMBIOS EN PASIVO POR DERECHO DE USO </t>
        </is>
      </c>
      <c r="J30" s="89" t="n"/>
    </row>
    <row r="31" outlineLevel="1" s="533">
      <c r="B31" s="86" t="n"/>
      <c r="C31" s="312" t="n"/>
      <c r="D31" s="312" t="n"/>
      <c r="F31" s="312" t="n"/>
      <c r="G31" s="312" t="n"/>
      <c r="H31" s="312" t="n"/>
      <c r="I31" s="119" t="inlineStr">
        <is>
          <t xml:space="preserve">                 Pagos</t>
        </is>
      </c>
      <c r="K31" s="312" t="n"/>
    </row>
    <row r="32" outlineLevel="1" ht="20.4" customHeight="1" s="533">
      <c r="B32" s="104" t="inlineStr">
        <is>
          <t>Tipo</t>
        </is>
      </c>
      <c r="C32" s="415" t="inlineStr">
        <is>
          <t>Saldo inicial al 01/01/2026</t>
        </is>
      </c>
      <c r="D32" s="415" t="inlineStr">
        <is>
          <t>Nuevos Contratos</t>
        </is>
      </c>
      <c r="E32" s="415" t="inlineStr">
        <is>
          <t>Baja de contratos</t>
        </is>
      </c>
      <c r="F32" s="105" t="inlineStr">
        <is>
          <t>Interés Devengado</t>
        </is>
      </c>
      <c r="G32" s="104" t="inlineStr">
        <is>
          <t>Otros</t>
        </is>
      </c>
      <c r="H32" s="86" t="inlineStr">
        <is>
          <t>Reajuste</t>
        </is>
      </c>
      <c r="I32" s="105" t="inlineStr">
        <is>
          <t>Capital</t>
        </is>
      </c>
      <c r="J32" s="86" t="inlineStr">
        <is>
          <t>Intereses (1)</t>
        </is>
      </c>
      <c r="K32" s="86" t="inlineStr">
        <is>
          <t>Saldo final al 30/06/2026</t>
        </is>
      </c>
    </row>
    <row r="33" outlineLevel="1" s="533">
      <c r="C33" s="87" t="inlineStr">
        <is>
          <t>M$</t>
        </is>
      </c>
      <c r="D33" s="87" t="inlineStr">
        <is>
          <t>M$</t>
        </is>
      </c>
      <c r="E33" s="87" t="inlineStr">
        <is>
          <t>M$</t>
        </is>
      </c>
      <c r="F33" s="87" t="inlineStr">
        <is>
          <t>M$</t>
        </is>
      </c>
      <c r="G33" s="87" t="inlineStr">
        <is>
          <t>M$</t>
        </is>
      </c>
      <c r="H33" s="87" t="inlineStr">
        <is>
          <t>M$</t>
        </is>
      </c>
      <c r="I33" s="87" t="inlineStr">
        <is>
          <t>M$</t>
        </is>
      </c>
      <c r="J33" s="87" t="inlineStr">
        <is>
          <t>M$</t>
        </is>
      </c>
      <c r="K33" s="87" t="inlineStr">
        <is>
          <t>M$</t>
        </is>
      </c>
    </row>
    <row r="34" outlineLevel="1" s="533"/>
    <row r="35" outlineLevel="1" ht="15" customHeight="1" s="533" thickBot="1">
      <c r="B35" s="82" t="inlineStr">
        <is>
          <t>Pasivos por derecho de uso</t>
        </is>
      </c>
      <c r="C35" s="646" t="n">
        <v>0</v>
      </c>
      <c r="D35" s="647" t="n"/>
      <c r="E35" s="647" t="n"/>
      <c r="F35" s="647" t="n"/>
      <c r="G35" s="647" t="n"/>
      <c r="H35" s="647" t="n"/>
      <c r="I35" s="647" t="n"/>
      <c r="J35" s="647" t="n"/>
      <c r="K35" s="647">
        <f>SUM(C35:J35)</f>
        <v/>
      </c>
      <c r="L35" s="202" t="n"/>
    </row>
    <row r="36" outlineLevel="1" ht="15" customHeight="1" s="533" thickBot="1">
      <c r="B36" s="550" t="inlineStr">
        <is>
          <t xml:space="preserve">Total </t>
        </is>
      </c>
      <c r="C36" s="648">
        <f>+C35</f>
        <v/>
      </c>
      <c r="D36" s="648">
        <f>+D35</f>
        <v/>
      </c>
      <c r="E36" s="648">
        <f>+E35</f>
        <v/>
      </c>
      <c r="F36" s="648">
        <f>+F35</f>
        <v/>
      </c>
      <c r="G36" s="648">
        <f>+G35</f>
        <v/>
      </c>
      <c r="H36" s="648">
        <f>+H35</f>
        <v/>
      </c>
      <c r="I36" s="648">
        <f>+I35</f>
        <v/>
      </c>
      <c r="J36" s="648">
        <f>+J35</f>
        <v/>
      </c>
      <c r="K36" s="648">
        <f>+K35</f>
        <v/>
      </c>
      <c r="L36" s="311" t="n"/>
    </row>
    <row r="37" outlineLevel="1" s="533">
      <c r="C37" s="311" t="n"/>
      <c r="D37" s="311" t="n"/>
      <c r="E37" s="311" t="n"/>
      <c r="F37" s="311" t="n"/>
      <c r="G37" s="311" t="n"/>
      <c r="H37" s="311" t="n"/>
      <c r="I37" s="311" t="n"/>
      <c r="J37" s="311" t="n"/>
      <c r="K37" s="649" t="n"/>
      <c r="L37" s="311" t="n"/>
      <c r="M37" s="314" t="n"/>
    </row>
    <row r="38">
      <c r="C38" s="311" t="n"/>
      <c r="D38" s="311" t="n"/>
      <c r="E38" s="311" t="n"/>
      <c r="F38" s="311" t="n"/>
      <c r="G38" s="311" t="n"/>
      <c r="H38" s="311" t="n"/>
      <c r="I38" s="311" t="n"/>
      <c r="J38" s="311" t="n"/>
      <c r="K38" s="311" t="n"/>
      <c r="L38" s="311" t="n"/>
    </row>
    <row r="39">
      <c r="B39" s="86" t="n"/>
      <c r="C39" s="342" t="n"/>
      <c r="D39" s="342" t="n"/>
      <c r="E39" s="311" t="n"/>
      <c r="F39" s="342" t="n"/>
      <c r="G39" s="342" t="n"/>
      <c r="H39" s="342" t="n"/>
      <c r="I39" s="311" t="n"/>
      <c r="J39" s="311" t="n"/>
      <c r="K39" s="342" t="n"/>
      <c r="L39" s="31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B1:O129"/>
  <sheetViews>
    <sheetView showGridLines="0" zoomScale="90" zoomScaleNormal="90" workbookViewId="0">
      <selection activeCell="C11" sqref="C1:K1048576"/>
    </sheetView>
  </sheetViews>
  <sheetFormatPr baseColWidth="10" defaultRowHeight="14.4"/>
  <cols>
    <col width="19.6640625" customWidth="1" style="533" min="1" max="1"/>
    <col width="24.77734375" customWidth="1" style="533" min="2" max="2"/>
    <col width="13" customWidth="1" style="533" min="3" max="3"/>
    <col width="16.88671875" customWidth="1" style="533" min="4" max="4"/>
    <col width="12" customWidth="1" style="533" min="5" max="5"/>
    <col width="13.33203125" customWidth="1" style="533" min="6" max="7"/>
    <col width="11.5546875" customWidth="1" style="533" min="8" max="8"/>
    <col width="13.33203125" bestFit="1" customWidth="1" style="533" min="9" max="9"/>
    <col width="13" customWidth="1" style="533" min="10" max="10"/>
    <col width="13.33203125" bestFit="1" customWidth="1" style="533" min="11" max="12"/>
  </cols>
  <sheetData>
    <row r="1">
      <c r="B1" s="417" t="inlineStr">
        <is>
          <t xml:space="preserve">Apertura de otros activos y pasivos financieros </t>
        </is>
      </c>
    </row>
    <row r="2">
      <c r="B2" s="456" t="inlineStr">
        <is>
          <t>#N15.1</t>
        </is>
      </c>
    </row>
    <row r="3">
      <c r="B3" s="491" t="n"/>
      <c r="C3" s="495" t="n">
        <v>46022</v>
      </c>
      <c r="D3" s="495" t="n"/>
      <c r="E3" s="495" t="n">
        <v>45657</v>
      </c>
      <c r="F3" s="495" t="n"/>
      <c r="G3" s="495" t="n"/>
      <c r="J3" s="495" t="n"/>
      <c r="K3" s="495" t="n"/>
    </row>
    <row r="4">
      <c r="B4" s="499" t="inlineStr">
        <is>
          <t>Detalle de activos</t>
        </is>
      </c>
      <c r="C4" s="499" t="inlineStr">
        <is>
          <t>Corrientes</t>
        </is>
      </c>
      <c r="D4" s="499" t="inlineStr">
        <is>
          <t>No corrientes</t>
        </is>
      </c>
      <c r="E4" s="499" t="inlineStr">
        <is>
          <t>Corrientes</t>
        </is>
      </c>
      <c r="F4" s="499" t="inlineStr">
        <is>
          <t>No Corrientes</t>
        </is>
      </c>
      <c r="G4" s="495" t="n"/>
      <c r="K4" s="492" t="n"/>
    </row>
    <row r="5">
      <c r="B5" s="491" t="n"/>
      <c r="C5" s="491" t="inlineStr">
        <is>
          <t>M$</t>
        </is>
      </c>
      <c r="D5" s="491" t="inlineStr">
        <is>
          <t>M$</t>
        </is>
      </c>
      <c r="E5" s="491" t="inlineStr">
        <is>
          <t>M$</t>
        </is>
      </c>
      <c r="F5" s="491" t="inlineStr">
        <is>
          <t>M$</t>
        </is>
      </c>
      <c r="G5" s="495" t="n"/>
      <c r="K5" s="491" t="n"/>
    </row>
    <row r="6" ht="27" customHeight="1" s="533" thickBot="1">
      <c r="B6" s="489" t="inlineStr">
        <is>
          <t>Instrumentos de cobertura (1)</t>
        </is>
      </c>
      <c r="C6" s="493" t="n">
        <v>0</v>
      </c>
      <c r="D6" s="493" t="n">
        <v>0</v>
      </c>
      <c r="E6" s="493" t="n">
        <v>0</v>
      </c>
      <c r="F6" s="498" t="n">
        <v>0</v>
      </c>
      <c r="G6" s="495" t="n"/>
      <c r="K6" s="490" t="n"/>
    </row>
    <row r="7" ht="27" customHeight="1" s="533" thickBot="1">
      <c r="B7" s="300" t="inlineStr">
        <is>
          <t>Total otros activos financieros</t>
        </is>
      </c>
      <c r="C7" s="494" t="n">
        <v>0</v>
      </c>
      <c r="D7" s="496" t="n">
        <v>0</v>
      </c>
      <c r="E7" s="494" t="n">
        <v>0</v>
      </c>
      <c r="F7" s="497" t="n">
        <v>0</v>
      </c>
      <c r="G7" s="495" t="n"/>
      <c r="K7" s="490" t="n"/>
    </row>
    <row r="8">
      <c r="G8" s="495" t="n"/>
    </row>
    <row r="9">
      <c r="G9" s="495" t="n"/>
    </row>
    <row r="10">
      <c r="B10" s="417" t="inlineStr">
        <is>
          <t xml:space="preserve">Apertura de pasivos financieros </t>
        </is>
      </c>
    </row>
    <row r="11">
      <c r="B11" s="456" t="inlineStr">
        <is>
          <t>#N15.2</t>
        </is>
      </c>
    </row>
    <row r="12">
      <c r="B12" s="48" t="n"/>
      <c r="C12" s="547" t="inlineStr">
        <is>
          <t>30.06.2026</t>
        </is>
      </c>
      <c r="E12" s="547" t="inlineStr">
        <is>
          <t>31.12.2025</t>
        </is>
      </c>
      <c r="H12" s="47" t="n"/>
    </row>
    <row r="13" ht="15" customHeight="1" s="533">
      <c r="B13" s="553" t="inlineStr">
        <is>
          <t>Detalle</t>
        </is>
      </c>
      <c r="C13" s="553" t="inlineStr">
        <is>
          <t>Corrientes</t>
        </is>
      </c>
      <c r="D13" s="553" t="inlineStr">
        <is>
          <t>No corrientes</t>
        </is>
      </c>
      <c r="E13" s="553" t="inlineStr">
        <is>
          <t>Corrientes</t>
        </is>
      </c>
      <c r="F13" s="99" t="inlineStr">
        <is>
          <t>No Corrientes</t>
        </is>
      </c>
      <c r="H13" s="99" t="n"/>
    </row>
    <row r="14">
      <c r="B14" s="48" t="n"/>
      <c r="C14" s="13" t="inlineStr">
        <is>
          <t>M$</t>
        </is>
      </c>
      <c r="D14" s="13" t="inlineStr">
        <is>
          <t>M$</t>
        </is>
      </c>
      <c r="E14" s="13" t="inlineStr">
        <is>
          <t>M$</t>
        </is>
      </c>
      <c r="F14" s="13" t="inlineStr">
        <is>
          <t>M$</t>
        </is>
      </c>
      <c r="H14" s="13" t="n"/>
    </row>
    <row r="15">
      <c r="B15" s="82" t="inlineStr">
        <is>
          <t xml:space="preserve">Préstamos bancarios </t>
        </is>
      </c>
      <c r="C15" s="571" t="n">
        <v>0</v>
      </c>
      <c r="D15" s="571" t="n">
        <v>0</v>
      </c>
      <c r="E15" s="571" t="n">
        <v>0</v>
      </c>
      <c r="F15" s="571" t="n">
        <v>0</v>
      </c>
      <c r="H15" s="50" t="n"/>
      <c r="I15" s="596" t="n"/>
    </row>
    <row r="16">
      <c r="B16" s="82" t="inlineStr">
        <is>
          <t>Leasings financieros</t>
        </is>
      </c>
      <c r="C16" s="571" t="n">
        <v>0</v>
      </c>
      <c r="D16" s="571" t="n">
        <v>0</v>
      </c>
      <c r="E16" s="571" t="n">
        <v>0</v>
      </c>
      <c r="F16" s="571" t="n">
        <v>0</v>
      </c>
      <c r="H16" s="50" t="n"/>
      <c r="I16" s="596" t="n"/>
    </row>
    <row r="17" ht="22.8" customHeight="1" s="533">
      <c r="B17" s="82" t="inlineStr">
        <is>
          <t>Otros acreedores financieros (1)</t>
        </is>
      </c>
      <c r="C17" s="571" t="n">
        <v>0</v>
      </c>
      <c r="D17" s="571" t="n">
        <v>0</v>
      </c>
      <c r="E17" s="571" t="n">
        <v>0</v>
      </c>
      <c r="F17" s="571" t="n">
        <v>0</v>
      </c>
      <c r="H17" s="50" t="n"/>
      <c r="I17" s="596" t="n"/>
    </row>
    <row r="18" ht="23.4" customHeight="1" s="533" thickBot="1">
      <c r="B18" s="82" t="inlineStr">
        <is>
          <t>Instrumentos de cobertura (2)</t>
        </is>
      </c>
      <c r="C18" s="571" t="n">
        <v>0</v>
      </c>
      <c r="D18" s="571" t="n">
        <v>0</v>
      </c>
      <c r="E18" s="571" t="n">
        <v>0</v>
      </c>
      <c r="F18" s="571" t="n">
        <v>0</v>
      </c>
      <c r="H18" s="50" t="n"/>
      <c r="I18" s="596" t="n"/>
    </row>
    <row r="19" ht="23.4" customHeight="1" s="533" thickBot="1">
      <c r="B19" s="561" t="inlineStr">
        <is>
          <t>Total otros pasivos financieros</t>
        </is>
      </c>
      <c r="C19" s="641">
        <f>SUM(C15:C18)</f>
        <v/>
      </c>
      <c r="D19" s="641">
        <f>SUM(D15:D18)</f>
        <v/>
      </c>
      <c r="E19" s="641">
        <f>SUM(E15:E18)</f>
        <v/>
      </c>
      <c r="F19" s="641">
        <f>SUM(F15:F18)</f>
        <v/>
      </c>
      <c r="H19" s="50" t="n"/>
      <c r="I19" s="596" t="n"/>
    </row>
    <row r="23">
      <c r="B23" s="417" t="inlineStr">
        <is>
          <t xml:space="preserve">VENCIMIENTO DE PASIVOS SIN DESCONTAR (NIC 32) </t>
        </is>
      </c>
      <c r="C23" s="10" t="n"/>
      <c r="D23" s="10" t="n"/>
      <c r="E23" s="10" t="n"/>
    </row>
    <row r="24">
      <c r="B24" s="456" t="inlineStr">
        <is>
          <t xml:space="preserve">#N15.3[COMPARATIVO] </t>
        </is>
      </c>
      <c r="C24" s="10" t="n"/>
      <c r="D24" s="10" t="n"/>
      <c r="E24" s="10" t="n"/>
    </row>
    <row r="25" ht="24" customHeight="1" s="533">
      <c r="B25" s="16" t="inlineStr">
        <is>
          <t>Detalle al 30/06/2026</t>
        </is>
      </c>
      <c r="C25" s="413" t="inlineStr">
        <is>
          <t>90 días</t>
        </is>
      </c>
      <c r="D25" s="413" t="inlineStr">
        <is>
          <t>90 días a 1 años</t>
        </is>
      </c>
      <c r="E25" s="414" t="inlineStr">
        <is>
          <t>Total Corriente</t>
        </is>
      </c>
      <c r="F25" s="71" t="inlineStr">
        <is>
          <t>2 a 3 años</t>
        </is>
      </c>
      <c r="G25" s="71" t="inlineStr">
        <is>
          <t>4 a 7 años</t>
        </is>
      </c>
      <c r="H25" s="85" t="inlineStr">
        <is>
          <t>Total No Corriente</t>
        </is>
      </c>
    </row>
    <row r="26">
      <c r="B26" s="82" t="n"/>
      <c r="C26" s="14" t="inlineStr">
        <is>
          <t>M$</t>
        </is>
      </c>
      <c r="D26" s="14" t="inlineStr">
        <is>
          <t>M$</t>
        </is>
      </c>
      <c r="E26" s="14" t="inlineStr">
        <is>
          <t>M$</t>
        </is>
      </c>
      <c r="F26" s="14" t="inlineStr">
        <is>
          <t>M$</t>
        </is>
      </c>
      <c r="G26" s="14" t="inlineStr">
        <is>
          <t>M$</t>
        </is>
      </c>
      <c r="H26" s="14" t="inlineStr">
        <is>
          <t>M$</t>
        </is>
      </c>
    </row>
    <row r="27">
      <c r="B27" s="233" t="inlineStr">
        <is>
          <t xml:space="preserve">Préstamos bancarios </t>
        </is>
      </c>
      <c r="C27" s="650" t="n"/>
      <c r="D27" s="650" t="n"/>
      <c r="E27" s="650">
        <f>SUM(C39:D39)</f>
        <v/>
      </c>
      <c r="F27" s="650" t="n"/>
      <c r="G27" s="650" t="n"/>
      <c r="H27" s="650">
        <f>SUM(F39:G39)</f>
        <v/>
      </c>
    </row>
    <row r="28">
      <c r="B28" s="233" t="inlineStr">
        <is>
          <t>Leasings financieros</t>
        </is>
      </c>
      <c r="C28" s="650" t="n"/>
      <c r="D28" s="650" t="n"/>
      <c r="E28" s="650">
        <f>SUM(C40:D40)</f>
        <v/>
      </c>
      <c r="F28" s="650" t="n"/>
      <c r="G28" s="650" t="n"/>
      <c r="H28" s="650">
        <f>SUM(F40:G40)</f>
        <v/>
      </c>
    </row>
    <row r="29" ht="22.8" customHeight="1" s="533">
      <c r="B29" s="233" t="inlineStr">
        <is>
          <t>Otros acreedores financieros</t>
        </is>
      </c>
      <c r="C29" s="650" t="n"/>
      <c r="D29" s="650" t="n"/>
      <c r="E29" s="650">
        <f>SUM(C41:D41)</f>
        <v/>
      </c>
      <c r="F29" s="650" t="n"/>
      <c r="G29" s="650" t="n"/>
      <c r="H29" s="650">
        <f>SUM(F41:G41)</f>
        <v/>
      </c>
    </row>
    <row r="30" ht="15" customHeight="1" s="533">
      <c r="B30" s="233" t="inlineStr">
        <is>
          <t>Instrumentos de cobertura</t>
        </is>
      </c>
      <c r="C30" s="651" t="n"/>
      <c r="D30" s="651" t="n"/>
      <c r="E30" s="651">
        <f>SUM(C42:D42)</f>
        <v/>
      </c>
      <c r="F30" s="651" t="n"/>
      <c r="G30" s="651" t="n"/>
      <c r="H30" s="651">
        <f>SUM(F42:G42)</f>
        <v/>
      </c>
    </row>
    <row r="31" ht="15" customHeight="1" s="533" thickBot="1">
      <c r="B31" s="233" t="inlineStr">
        <is>
          <t xml:space="preserve">Total </t>
        </is>
      </c>
      <c r="C31" s="652">
        <f>SUM(C39:C42)</f>
        <v/>
      </c>
      <c r="D31" s="652">
        <f>SUM(D39:D42)</f>
        <v/>
      </c>
      <c r="E31" s="652">
        <f>SUM(E39:E42)</f>
        <v/>
      </c>
      <c r="F31" s="652">
        <f>SUM(F39:F42)</f>
        <v/>
      </c>
      <c r="G31" s="652">
        <f>SUM(G39:G42)</f>
        <v/>
      </c>
      <c r="H31" s="652">
        <f>SUM(H39:H42)</f>
        <v/>
      </c>
    </row>
    <row r="36">
      <c r="B36" s="418" t="inlineStr">
        <is>
          <t>CAMBIOS EN PASIVO FINANCIERO 2026</t>
        </is>
      </c>
      <c r="C36" s="5" t="n"/>
      <c r="D36" s="5" t="n"/>
      <c r="J36" s="89" t="n"/>
    </row>
    <row r="37" ht="24" customHeight="1" s="533">
      <c r="B37" s="456" t="inlineStr">
        <is>
          <t xml:space="preserve">#N15.4[COMPARATIVO] </t>
        </is>
      </c>
      <c r="C37" s="88" t="n"/>
      <c r="D37" s="88" t="n"/>
      <c r="F37" s="88" t="n"/>
      <c r="G37" s="88" t="n"/>
      <c r="H37" s="88" t="n"/>
      <c r="I37" s="552" t="n"/>
      <c r="J37" s="552" t="n"/>
      <c r="K37" s="88" t="n"/>
    </row>
    <row r="38" ht="20.4" customHeight="1" s="533">
      <c r="B38" s="104" t="inlineStr">
        <is>
          <t>Tipo</t>
        </is>
      </c>
      <c r="C38" s="415" t="inlineStr">
        <is>
          <t>Saldo inicial al 01/01/2026</t>
        </is>
      </c>
      <c r="D38" s="415" t="inlineStr">
        <is>
          <t>Nuevos Créditos</t>
        </is>
      </c>
      <c r="E38" s="415" t="inlineStr">
        <is>
          <t>Mark to Market</t>
        </is>
      </c>
      <c r="F38" s="105" t="inlineStr">
        <is>
          <t>Interés Devengado</t>
        </is>
      </c>
      <c r="G38" s="104" t="inlineStr">
        <is>
          <t>Otros</t>
        </is>
      </c>
      <c r="H38" s="86" t="inlineStr">
        <is>
          <t>Reajuste</t>
        </is>
      </c>
      <c r="I38" s="105" t="inlineStr">
        <is>
          <t>Capital</t>
        </is>
      </c>
      <c r="J38" s="86" t="inlineStr">
        <is>
          <t>Intereses (1)</t>
        </is>
      </c>
      <c r="K38" s="86" t="inlineStr">
        <is>
          <t>Saldo final al 31/12/2026</t>
        </is>
      </c>
    </row>
    <row r="39">
      <c r="C39" s="87" t="inlineStr">
        <is>
          <t>M$</t>
        </is>
      </c>
      <c r="D39" s="87" t="inlineStr">
        <is>
          <t>M$</t>
        </is>
      </c>
      <c r="E39" s="87" t="inlineStr">
        <is>
          <t>M$</t>
        </is>
      </c>
      <c r="F39" s="87" t="inlineStr">
        <is>
          <t>M$</t>
        </is>
      </c>
      <c r="G39" s="87" t="inlineStr">
        <is>
          <t>M$</t>
        </is>
      </c>
      <c r="H39" s="87" t="inlineStr">
        <is>
          <t>M$</t>
        </is>
      </c>
      <c r="I39" s="87" t="inlineStr">
        <is>
          <t>M$</t>
        </is>
      </c>
      <c r="J39" s="87" t="inlineStr">
        <is>
          <t>M$</t>
        </is>
      </c>
      <c r="K39" s="87" t="inlineStr">
        <is>
          <t>M$</t>
        </is>
      </c>
    </row>
    <row r="41" ht="22.8" customHeight="1" s="533">
      <c r="B41" s="550" t="inlineStr">
        <is>
          <t>Préstamos bancarios</t>
        </is>
      </c>
      <c r="C41" s="653" t="n">
        <v>0</v>
      </c>
      <c r="D41" s="653" t="n">
        <v>0</v>
      </c>
      <c r="E41" s="653" t="n">
        <v>0</v>
      </c>
      <c r="F41" s="653" t="n">
        <v>0</v>
      </c>
      <c r="G41" s="653" t="n">
        <v>0</v>
      </c>
      <c r="H41" s="653" t="n">
        <v>0</v>
      </c>
      <c r="I41" s="653" t="n">
        <v>0</v>
      </c>
      <c r="J41" s="653" t="n">
        <v>0</v>
      </c>
      <c r="K41" s="653">
        <f>SUM(C58:J58)</f>
        <v/>
      </c>
    </row>
    <row r="42">
      <c r="B42" s="550" t="inlineStr">
        <is>
          <t>Leasings financieros</t>
        </is>
      </c>
      <c r="C42" s="653" t="n">
        <v>0</v>
      </c>
      <c r="D42" s="653" t="n">
        <v>0</v>
      </c>
      <c r="E42" s="653" t="n">
        <v>0</v>
      </c>
      <c r="F42" s="653" t="n">
        <v>0</v>
      </c>
      <c r="G42" s="653" t="n">
        <v>0</v>
      </c>
      <c r="H42" s="653" t="n">
        <v>0</v>
      </c>
      <c r="I42" s="653" t="n">
        <v>0</v>
      </c>
      <c r="J42" s="653" t="n">
        <v>0</v>
      </c>
      <c r="K42" s="653">
        <f>SUM(C59:J59)</f>
        <v/>
      </c>
    </row>
    <row r="43" ht="15" customHeight="1" s="533" thickBot="1">
      <c r="B43" s="550" t="inlineStr">
        <is>
          <t>Otros acreedores financieros</t>
        </is>
      </c>
      <c r="C43" s="653" t="n">
        <v>0</v>
      </c>
      <c r="D43" s="653" t="n">
        <v>0</v>
      </c>
      <c r="E43" s="653" t="n">
        <v>0</v>
      </c>
      <c r="F43" s="653" t="n">
        <v>0</v>
      </c>
      <c r="G43" s="653" t="n">
        <v>0</v>
      </c>
      <c r="H43" s="653" t="n">
        <v>0</v>
      </c>
      <c r="I43" s="653" t="n">
        <v>0</v>
      </c>
      <c r="J43" s="653" t="n">
        <v>0</v>
      </c>
      <c r="K43" s="653">
        <f>SUM(C60:J60)</f>
        <v/>
      </c>
    </row>
    <row r="44">
      <c r="B44" s="550" t="inlineStr">
        <is>
          <t>Instrumentos de cobertura</t>
        </is>
      </c>
      <c r="C44" s="653" t="n">
        <v>0</v>
      </c>
      <c r="D44" s="653" t="n">
        <v>0</v>
      </c>
      <c r="E44" s="653" t="n">
        <v>0</v>
      </c>
      <c r="F44" s="653" t="n">
        <v>0</v>
      </c>
      <c r="G44" s="653" t="n">
        <v>0</v>
      </c>
      <c r="H44" s="653" t="n">
        <v>0</v>
      </c>
      <c r="I44" s="653" t="n">
        <v>0</v>
      </c>
      <c r="J44" s="653" t="n">
        <v>0</v>
      </c>
      <c r="K44" s="653">
        <f>SUM(C61:J61)</f>
        <v/>
      </c>
    </row>
    <row r="45">
      <c r="B45" s="550" t="inlineStr">
        <is>
          <t>Total Otros Pasivos Financieros</t>
        </is>
      </c>
      <c r="C45" s="654">
        <f>SUM(C58:C61)</f>
        <v/>
      </c>
      <c r="D45" s="654">
        <f>SUM(D58:D61)</f>
        <v/>
      </c>
      <c r="E45" s="654">
        <f>SUM(E58:E61)</f>
        <v/>
      </c>
      <c r="F45" s="654">
        <f>SUM(F58:F61)</f>
        <v/>
      </c>
      <c r="G45" s="654">
        <f>SUM(G58:G61)</f>
        <v/>
      </c>
      <c r="H45" s="654">
        <f>SUM(H58:H61)</f>
        <v/>
      </c>
      <c r="I45" s="654">
        <f>SUM(I58:I61)</f>
        <v/>
      </c>
      <c r="J45" s="654">
        <f>SUM(J58:J61)</f>
        <v/>
      </c>
      <c r="K45" s="654">
        <f>SUM(K58:K61)</f>
        <v/>
      </c>
    </row>
    <row r="46" ht="24" customHeight="1" s="533">
      <c r="B46" s="185" t="n"/>
      <c r="C46" s="655" t="n"/>
      <c r="I46" s="146" t="n"/>
      <c r="J46" s="146" t="n"/>
      <c r="K46" s="656" t="n"/>
      <c r="M46" s="146" t="n"/>
      <c r="N46" s="146" t="n"/>
      <c r="O46" s="146" t="n"/>
    </row>
    <row r="48" ht="15" customHeight="1" s="533">
      <c r="B48" s="416" t="inlineStr">
        <is>
          <t>DETALLE LEASING FINANCIERO 2026</t>
        </is>
      </c>
      <c r="C48" s="5" t="n"/>
    </row>
    <row r="49">
      <c r="B49" s="457" t="inlineStr">
        <is>
          <t>#N15.5</t>
        </is>
      </c>
      <c r="K49" s="538" t="n"/>
    </row>
    <row r="50">
      <c r="B50" s="90" t="n"/>
      <c r="C50" s="100" t="n"/>
      <c r="D50" s="100" t="n"/>
      <c r="E50" s="100" t="n"/>
      <c r="F50" s="100" t="n"/>
      <c r="G50" s="380" t="inlineStr">
        <is>
          <t>31.12.2026</t>
        </is>
      </c>
      <c r="H50" s="552" t="n"/>
      <c r="I50" s="380" t="inlineStr">
        <is>
          <t>31.12.2025</t>
        </is>
      </c>
      <c r="J50" s="552" t="n"/>
      <c r="K50" s="382" t="n"/>
    </row>
    <row r="51">
      <c r="B51" s="92" t="inlineStr">
        <is>
          <t>Institución</t>
        </is>
      </c>
      <c r="C51" s="419" t="inlineStr">
        <is>
          <t>Moneda</t>
        </is>
      </c>
      <c r="D51" s="419" t="inlineStr">
        <is>
          <t>Vencimiento</t>
        </is>
      </c>
      <c r="E51" s="419" t="inlineStr">
        <is>
          <t>Número de operación</t>
        </is>
      </c>
      <c r="F51" s="93" t="inlineStr">
        <is>
          <t>Tasa interés anual</t>
        </is>
      </c>
      <c r="G51" s="93" t="inlineStr">
        <is>
          <t>Corriente</t>
        </is>
      </c>
      <c r="H51" s="93" t="inlineStr">
        <is>
          <t>No Corriente</t>
        </is>
      </c>
      <c r="I51" s="93" t="inlineStr">
        <is>
          <t>Corriente</t>
        </is>
      </c>
      <c r="J51" s="93" t="inlineStr">
        <is>
          <t>No Corriente</t>
        </is>
      </c>
      <c r="K51" s="94" t="n"/>
      <c r="L51" s="94" t="n"/>
    </row>
    <row r="52" ht="23.4" customHeight="1" s="533">
      <c r="B52" s="549" t="n"/>
      <c r="C52" s="94" t="n"/>
      <c r="D52" s="94" t="n"/>
      <c r="E52" s="94" t="n"/>
      <c r="F52" s="94" t="n"/>
      <c r="G52" s="94" t="inlineStr">
        <is>
          <t>M$</t>
        </is>
      </c>
      <c r="H52" s="94" t="inlineStr">
        <is>
          <t>M$</t>
        </is>
      </c>
      <c r="I52" s="94" t="inlineStr">
        <is>
          <t>M$</t>
        </is>
      </c>
      <c r="J52" s="94" t="inlineStr">
        <is>
          <t>M$</t>
        </is>
      </c>
      <c r="K52" s="94" t="n"/>
      <c r="L52" s="94" t="n"/>
    </row>
    <row r="53">
      <c r="B53" s="550" t="inlineStr">
        <is>
          <t>Banco Crédito e Inversiones</t>
        </is>
      </c>
      <c r="C53" s="420" t="inlineStr">
        <is>
          <t>UF</t>
        </is>
      </c>
      <c r="D53" s="421" t="inlineStr">
        <is>
          <t>15/5/2025</t>
        </is>
      </c>
      <c r="E53" s="182" t="n">
        <v>111943</v>
      </c>
      <c r="F53" s="182" t="inlineStr">
        <is>
          <t>5,92%</t>
        </is>
      </c>
      <c r="G53" s="182" t="n"/>
      <c r="H53" s="182" t="n"/>
      <c r="I53" s="657" t="n"/>
      <c r="J53" s="657" t="n"/>
      <c r="K53" s="658" t="n"/>
      <c r="L53" s="658" t="n"/>
    </row>
    <row r="54">
      <c r="B54" s="550" t="inlineStr">
        <is>
          <t>Banco Crédito e Inversiones</t>
        </is>
      </c>
      <c r="C54" s="420" t="inlineStr">
        <is>
          <t>CLP$</t>
        </is>
      </c>
      <c r="D54" s="422" t="n">
        <v>48218</v>
      </c>
      <c r="E54" s="182" t="n">
        <v>125780</v>
      </c>
      <c r="F54" s="292" t="n">
        <v>0.08450000000000001</v>
      </c>
      <c r="G54" s="182" t="n"/>
      <c r="H54" s="182" t="n"/>
      <c r="I54" s="657" t="n"/>
      <c r="J54" s="657" t="n"/>
      <c r="K54" s="658" t="n"/>
      <c r="L54" s="658" t="n"/>
    </row>
    <row r="55" ht="20.4" customHeight="1" s="533">
      <c r="B55" s="550" t="inlineStr">
        <is>
          <t>Banco Crédito e Inversiones</t>
        </is>
      </c>
      <c r="C55" s="420" t="inlineStr">
        <is>
          <t>UF</t>
        </is>
      </c>
      <c r="D55" s="422" t="n">
        <v>45792</v>
      </c>
      <c r="E55" s="183" t="n">
        <v>111943</v>
      </c>
      <c r="F55" s="184" t="n">
        <v>0.08450000000000001</v>
      </c>
      <c r="G55" s="183" t="n"/>
      <c r="H55" s="183" t="n"/>
      <c r="I55" s="643" t="n"/>
      <c r="J55" s="643" t="n"/>
      <c r="K55" s="658" t="n"/>
      <c r="L55" s="658" t="n"/>
    </row>
    <row r="56">
      <c r="C56" s="555" t="n"/>
      <c r="D56" s="555" t="n"/>
      <c r="E56" s="94" t="n"/>
      <c r="F56" s="94" t="n"/>
      <c r="G56" s="659">
        <f>SUM(G74:G76)</f>
        <v/>
      </c>
      <c r="H56" s="659">
        <f>SUM(H74:H76)</f>
        <v/>
      </c>
      <c r="I56" s="659">
        <f>SUM(I74:I76)</f>
        <v/>
      </c>
      <c r="J56" s="659">
        <f>SUM(J74:J76)</f>
        <v/>
      </c>
      <c r="K56" s="659" t="n"/>
      <c r="L56" s="659" t="n"/>
    </row>
    <row r="57">
      <c r="B57" s="423" t="inlineStr">
        <is>
          <t>Intereses diferidos arriendos financieros</t>
        </is>
      </c>
      <c r="C57" s="65" t="n"/>
      <c r="D57" s="65" t="n"/>
      <c r="E57" s="97" t="n"/>
      <c r="F57" s="97" t="n"/>
      <c r="G57" s="660" t="n">
        <v>0</v>
      </c>
      <c r="H57" s="660" t="n">
        <v>0</v>
      </c>
      <c r="I57" s="660" t="n">
        <v>0</v>
      </c>
      <c r="J57" s="660" t="n">
        <v>0</v>
      </c>
      <c r="K57" s="661" t="n"/>
      <c r="L57" s="661" t="n"/>
    </row>
    <row r="58">
      <c r="B58" s="383" t="inlineStr">
        <is>
          <t>Totales arriendos financieros</t>
        </is>
      </c>
      <c r="C58" s="555" t="n"/>
      <c r="D58" s="555" t="n"/>
      <c r="F58" s="94" t="n"/>
      <c r="G58" s="662">
        <f>SUM(G77:G78)</f>
        <v/>
      </c>
      <c r="H58" s="662">
        <f>SUM(H77:H78)</f>
        <v/>
      </c>
      <c r="I58" s="662">
        <f>SUM(I77:I78)</f>
        <v/>
      </c>
      <c r="J58" s="662">
        <f>SUM(J77:J78)</f>
        <v/>
      </c>
      <c r="K58" s="659" t="n"/>
      <c r="L58" s="659" t="n"/>
    </row>
    <row r="59">
      <c r="D59" s="165" t="n"/>
      <c r="E59" s="165" t="n"/>
      <c r="F59" s="165" t="n"/>
      <c r="G59" s="663" t="n"/>
      <c r="H59" s="663" t="n"/>
      <c r="I59" s="663" t="n"/>
      <c r="J59" s="663" t="n"/>
      <c r="K59" s="663" t="n"/>
      <c r="L59" s="663" t="n"/>
    </row>
    <row r="60">
      <c r="D60" s="165" t="n"/>
      <c r="E60" s="165" t="n"/>
      <c r="F60" s="165" t="n"/>
      <c r="G60" s="663" t="n"/>
      <c r="H60" s="663" t="n"/>
      <c r="I60" s="663" t="n"/>
      <c r="J60" s="663" t="n"/>
      <c r="K60" s="663" t="n"/>
      <c r="L60" s="663" t="n"/>
    </row>
    <row r="61" ht="15" customHeight="1" s="533">
      <c r="B61" s="424" t="inlineStr">
        <is>
          <t>DETALLE PRESTAMOS BANCARIOS 2025</t>
        </is>
      </c>
    </row>
    <row r="62" ht="21" customHeight="1" s="533">
      <c r="B62" s="457" t="inlineStr">
        <is>
          <t>#N15.6</t>
        </is>
      </c>
    </row>
    <row r="63">
      <c r="C63" s="157" t="n"/>
      <c r="D63" s="157" t="n"/>
      <c r="E63" s="157" t="n"/>
      <c r="F63" s="157" t="n"/>
      <c r="G63" s="157" t="n"/>
      <c r="H63" s="380" t="inlineStr">
        <is>
          <t>30.06.2026</t>
        </is>
      </c>
      <c r="I63" s="552" t="n"/>
      <c r="J63" s="380" t="inlineStr">
        <is>
          <t>31.12.2025</t>
        </is>
      </c>
      <c r="K63" s="552" t="n"/>
    </row>
    <row r="64">
      <c r="B64" s="158" t="inlineStr">
        <is>
          <t>Institución</t>
        </is>
      </c>
      <c r="C64" s="425" t="inlineStr">
        <is>
          <t>Moneda</t>
        </is>
      </c>
      <c r="D64" s="425" t="inlineStr">
        <is>
          <t>Vencimiento</t>
        </is>
      </c>
      <c r="E64" s="426" t="inlineStr">
        <is>
          <t>Tipo de operación</t>
        </is>
      </c>
      <c r="F64" s="160" t="inlineStr">
        <is>
          <t>Tasa interés anual</t>
        </is>
      </c>
      <c r="G64" s="161" t="n"/>
      <c r="H64" s="159" t="inlineStr">
        <is>
          <t>Corriente</t>
        </is>
      </c>
      <c r="I64" s="160" t="inlineStr">
        <is>
          <t>No corriente</t>
        </is>
      </c>
      <c r="J64" s="159" t="inlineStr">
        <is>
          <t>Corriente</t>
        </is>
      </c>
      <c r="K64" s="160" t="inlineStr">
        <is>
          <t>No corriente</t>
        </is>
      </c>
    </row>
    <row r="65">
      <c r="B65" s="158" t="n"/>
      <c r="C65" s="159" t="n"/>
      <c r="D65" s="159" t="n"/>
      <c r="E65" s="160" t="n"/>
      <c r="F65" s="160" t="n"/>
      <c r="G65" s="161" t="n"/>
      <c r="H65" s="160" t="inlineStr">
        <is>
          <t>M$</t>
        </is>
      </c>
      <c r="I65" s="160" t="inlineStr">
        <is>
          <t>M$</t>
        </is>
      </c>
      <c r="J65" s="160" t="inlineStr">
        <is>
          <t>M$</t>
        </is>
      </c>
      <c r="K65" s="160" t="inlineStr">
        <is>
          <t>M$</t>
        </is>
      </c>
    </row>
    <row r="66" ht="11.4" customFormat="1" customHeight="1" s="120">
      <c r="B66" s="158" t="n"/>
      <c r="C66" s="159" t="n"/>
      <c r="D66" s="159" t="n"/>
      <c r="E66" s="160" t="n"/>
      <c r="F66" s="160" t="n"/>
      <c r="G66" s="161" t="n"/>
      <c r="H66" s="160" t="n"/>
      <c r="I66" s="160" t="n"/>
      <c r="J66" s="160" t="n"/>
      <c r="K66" s="160" t="n"/>
    </row>
    <row r="67">
      <c r="B67" s="546" t="inlineStr">
        <is>
          <t>Banco de crédito e Inversiones</t>
        </is>
      </c>
      <c r="C67" s="546" t="inlineStr">
        <is>
          <t>CLP</t>
        </is>
      </c>
      <c r="D67" s="428" t="n">
        <v>45811</v>
      </c>
      <c r="E67" s="420" t="inlineStr">
        <is>
          <t>Préstamo</t>
        </is>
      </c>
      <c r="F67" s="282" t="n">
        <v>0.07199999999999999</v>
      </c>
      <c r="G67" s="161" t="n"/>
      <c r="H67" s="657" t="n">
        <v>0</v>
      </c>
      <c r="I67" s="657" t="n">
        <v>0</v>
      </c>
      <c r="J67" s="657" t="n">
        <v>0</v>
      </c>
      <c r="K67" s="657" t="n">
        <v>0</v>
      </c>
    </row>
    <row r="68">
      <c r="B68" s="546" t="inlineStr">
        <is>
          <t>Banco Internacional</t>
        </is>
      </c>
      <c r="C68" s="546" t="inlineStr">
        <is>
          <t>CLP</t>
        </is>
      </c>
      <c r="D68" s="428" t="n">
        <v>46462</v>
      </c>
      <c r="E68" s="420" t="inlineStr">
        <is>
          <t>Préstamo</t>
        </is>
      </c>
      <c r="F68" s="6" t="inlineStr">
        <is>
          <t>4,35%+ICP</t>
        </is>
      </c>
      <c r="G68" s="161" t="n"/>
      <c r="H68" s="657" t="n">
        <v>0</v>
      </c>
      <c r="I68" s="657" t="n">
        <v>0</v>
      </c>
      <c r="J68" s="657" t="n">
        <v>0</v>
      </c>
      <c r="K68" s="657" t="n">
        <v>0</v>
      </c>
    </row>
    <row r="69">
      <c r="B69" s="546" t="inlineStr">
        <is>
          <t>Banco Scotiabank Chile</t>
        </is>
      </c>
      <c r="C69" s="546" t="inlineStr">
        <is>
          <t>CLP</t>
        </is>
      </c>
      <c r="D69" s="428" t="n">
        <v>46462</v>
      </c>
      <c r="E69" s="420" t="inlineStr">
        <is>
          <t>Préstamo</t>
        </is>
      </c>
      <c r="F69" s="6" t="inlineStr">
        <is>
          <t>4,35%+ICP</t>
        </is>
      </c>
      <c r="G69" s="161" t="n"/>
      <c r="H69" s="657" t="n">
        <v>0</v>
      </c>
      <c r="I69" s="657" t="n">
        <v>0</v>
      </c>
      <c r="J69" s="657" t="n">
        <v>0</v>
      </c>
      <c r="K69" s="657" t="n">
        <v>0</v>
      </c>
    </row>
    <row r="70">
      <c r="B70" s="546" t="inlineStr">
        <is>
          <t>Banco Scotiabank Chile</t>
        </is>
      </c>
      <c r="C70" s="546" t="inlineStr">
        <is>
          <t>CLP</t>
        </is>
      </c>
      <c r="D70" s="428" t="n">
        <v>46462</v>
      </c>
      <c r="E70" s="420" t="inlineStr">
        <is>
          <t>Préstamo</t>
        </is>
      </c>
      <c r="F70" s="6" t="inlineStr">
        <is>
          <t>4,35%+ICP</t>
        </is>
      </c>
      <c r="G70" s="549" t="n"/>
      <c r="H70" s="657" t="n">
        <v>0</v>
      </c>
      <c r="I70" s="657" t="n">
        <v>0</v>
      </c>
      <c r="J70" s="657" t="n">
        <v>0</v>
      </c>
      <c r="K70" s="657" t="n">
        <v>0</v>
      </c>
    </row>
    <row r="71">
      <c r="B71" s="546" t="inlineStr">
        <is>
          <t>Banco Scotiabank Chile</t>
        </is>
      </c>
      <c r="C71" s="546" t="inlineStr">
        <is>
          <t>CLP</t>
        </is>
      </c>
      <c r="D71" s="428" t="n">
        <v>46196</v>
      </c>
      <c r="E71" s="420" t="inlineStr">
        <is>
          <t>Préstamo</t>
        </is>
      </c>
      <c r="F71" s="6" t="n">
        <v>0.078</v>
      </c>
      <c r="G71" s="549" t="n"/>
      <c r="I71" s="657" t="n">
        <v>0</v>
      </c>
      <c r="K71" s="657" t="n">
        <v>0</v>
      </c>
    </row>
    <row r="72" ht="20.4" customHeight="1" s="533">
      <c r="B72" s="546" t="inlineStr">
        <is>
          <t>Banco de Crédito e Inversiones</t>
        </is>
      </c>
      <c r="C72" s="546" t="inlineStr">
        <is>
          <t>CLP</t>
        </is>
      </c>
      <c r="D72" s="428" t="n">
        <v>46462</v>
      </c>
      <c r="E72" s="420" t="inlineStr">
        <is>
          <t>Préstamo</t>
        </is>
      </c>
      <c r="F72" s="6" t="inlineStr">
        <is>
          <t>4,35%+ICP</t>
        </is>
      </c>
      <c r="G72" s="549" t="n"/>
      <c r="H72" s="657" t="n">
        <v>0</v>
      </c>
      <c r="I72" s="657" t="n">
        <v>0</v>
      </c>
      <c r="J72" s="657" t="n">
        <v>0</v>
      </c>
      <c r="K72" s="657" t="n">
        <v>0</v>
      </c>
    </row>
    <row r="73">
      <c r="B73" s="546" t="inlineStr">
        <is>
          <t>Banco de Crédito e Inversiones</t>
        </is>
      </c>
      <c r="C73" s="546" t="inlineStr">
        <is>
          <t>CLP</t>
        </is>
      </c>
      <c r="D73" s="428" t="n">
        <v>46371</v>
      </c>
      <c r="E73" s="420" t="inlineStr">
        <is>
          <t>Préstamo</t>
        </is>
      </c>
      <c r="F73" s="6" t="n">
        <v>0.09</v>
      </c>
      <c r="G73" s="549" t="n"/>
      <c r="H73" s="657" t="n">
        <v>0</v>
      </c>
      <c r="I73" s="657" t="n">
        <v>0</v>
      </c>
      <c r="J73" s="657" t="n">
        <v>0</v>
      </c>
      <c r="K73" s="657" t="n">
        <v>0</v>
      </c>
    </row>
    <row r="74">
      <c r="B74" s="546" t="inlineStr">
        <is>
          <t>Banco de Crédito e Inversiones</t>
        </is>
      </c>
      <c r="C74" s="546" t="inlineStr">
        <is>
          <t>CLP</t>
        </is>
      </c>
      <c r="D74" s="428" t="n">
        <v>46255</v>
      </c>
      <c r="E74" s="420" t="inlineStr">
        <is>
          <t>Préstamo</t>
        </is>
      </c>
      <c r="F74" s="6" t="n">
        <v>0.0818</v>
      </c>
      <c r="G74" s="549" t="n"/>
      <c r="H74" s="657" t="n">
        <v>0</v>
      </c>
      <c r="I74" s="657" t="n">
        <v>0</v>
      </c>
      <c r="J74" s="657" t="n">
        <v>0</v>
      </c>
      <c r="K74" s="657" t="n">
        <v>0</v>
      </c>
    </row>
    <row r="75">
      <c r="B75" s="546" t="inlineStr">
        <is>
          <t>Banco BTG Pactual Chile</t>
        </is>
      </c>
      <c r="C75" s="546" t="inlineStr">
        <is>
          <t>CLP</t>
        </is>
      </c>
      <c r="D75" s="428" t="n">
        <v>46462</v>
      </c>
      <c r="E75" s="420" t="inlineStr">
        <is>
          <t>Préstamo</t>
        </is>
      </c>
      <c r="F75" s="6" t="inlineStr">
        <is>
          <t>4,35%+ICP</t>
        </is>
      </c>
      <c r="G75" s="549" t="n"/>
      <c r="H75" s="657" t="n">
        <v>0</v>
      </c>
      <c r="I75" s="657" t="n">
        <v>0</v>
      </c>
      <c r="J75" s="657" t="n">
        <v>0</v>
      </c>
      <c r="K75" s="657" t="n">
        <v>0</v>
      </c>
    </row>
    <row r="76" ht="15" customHeight="1" s="533" thickBot="1">
      <c r="B76" s="546" t="inlineStr">
        <is>
          <t>Banco BTG Pactual Chile</t>
        </is>
      </c>
      <c r="C76" s="546" t="inlineStr">
        <is>
          <t>CLP</t>
        </is>
      </c>
      <c r="D76" s="428" t="n">
        <v>46462</v>
      </c>
      <c r="E76" s="420" t="inlineStr">
        <is>
          <t>Préstamo</t>
        </is>
      </c>
      <c r="F76" s="6" t="inlineStr">
        <is>
          <t>4,35%+ICP</t>
        </is>
      </c>
      <c r="G76" s="549" t="n"/>
      <c r="H76" s="657" t="n">
        <v>0</v>
      </c>
      <c r="I76" s="657" t="n">
        <v>0</v>
      </c>
      <c r="J76" s="657" t="n">
        <v>0</v>
      </c>
      <c r="K76" s="657" t="n">
        <v>0</v>
      </c>
    </row>
    <row r="77">
      <c r="B77" s="546" t="inlineStr">
        <is>
          <t>Banco Goldman Sachs</t>
        </is>
      </c>
      <c r="E77" s="420" t="inlineStr">
        <is>
          <t>Préstamo</t>
        </is>
      </c>
      <c r="F77" s="6" t="inlineStr">
        <is>
          <t>3,95%+TERM SOFR</t>
        </is>
      </c>
      <c r="G77" s="549" t="n"/>
      <c r="H77" s="657" t="n">
        <v>0</v>
      </c>
      <c r="I77" s="657" t="n">
        <v>0</v>
      </c>
      <c r="J77" s="657" t="n">
        <v>0</v>
      </c>
      <c r="K77" s="657" t="n">
        <v>0</v>
      </c>
    </row>
    <row r="78" ht="15" customHeight="1" s="533" thickBot="1">
      <c r="B78" s="546" t="inlineStr">
        <is>
          <t>Banco Latinoamericano de Comercio Exterior, S.A.</t>
        </is>
      </c>
      <c r="E78" s="420" t="inlineStr">
        <is>
          <t>Préstamo</t>
        </is>
      </c>
      <c r="F78" s="6" t="inlineStr">
        <is>
          <t>3,95%+TERM SOFR</t>
        </is>
      </c>
      <c r="G78" s="549" t="n"/>
      <c r="H78" s="657" t="n">
        <v>0</v>
      </c>
      <c r="I78" s="657" t="n">
        <v>0</v>
      </c>
      <c r="J78" s="657" t="n">
        <v>0</v>
      </c>
      <c r="K78" s="657" t="n">
        <v>0</v>
      </c>
    </row>
    <row r="79" ht="15" customHeight="1" s="533" thickBot="1">
      <c r="B79" s="546" t="inlineStr">
        <is>
          <t>Banco Latinoamericano de Comercio Exterior, S.A.</t>
        </is>
      </c>
      <c r="E79" s="420" t="inlineStr">
        <is>
          <t>Préstamo</t>
        </is>
      </c>
      <c r="F79" s="6" t="inlineStr">
        <is>
          <t>3,95%+TERM SOFR</t>
        </is>
      </c>
      <c r="G79" s="549" t="n"/>
      <c r="H79" s="657" t="n">
        <v>0</v>
      </c>
      <c r="I79" s="657" t="n">
        <v>0</v>
      </c>
      <c r="J79" s="657" t="n">
        <v>0</v>
      </c>
      <c r="K79" s="657" t="n">
        <v>0</v>
      </c>
    </row>
    <row r="80">
      <c r="B80" s="546" t="inlineStr">
        <is>
          <t>Banco ING Capital LLC</t>
        </is>
      </c>
      <c r="C80" s="546" t="inlineStr">
        <is>
          <t>US$</t>
        </is>
      </c>
      <c r="D80" s="428" t="n">
        <v>46462</v>
      </c>
      <c r="E80" s="420" t="inlineStr">
        <is>
          <t>Préstamo</t>
        </is>
      </c>
      <c r="F80" s="6" t="inlineStr">
        <is>
          <t>3,95%+TERM SOFR</t>
        </is>
      </c>
      <c r="G80" s="549" t="n"/>
      <c r="H80" s="657" t="n">
        <v>0</v>
      </c>
      <c r="I80" s="657" t="n">
        <v>0</v>
      </c>
      <c r="J80" s="657" t="n">
        <v>0</v>
      </c>
      <c r="K80" s="657" t="n">
        <v>0</v>
      </c>
    </row>
    <row r="81">
      <c r="B81" s="546" t="inlineStr">
        <is>
          <t>Prival Bank</t>
        </is>
      </c>
      <c r="C81" s="546" t="inlineStr">
        <is>
          <t>US$</t>
        </is>
      </c>
      <c r="D81" s="428" t="n">
        <v>46462</v>
      </c>
      <c r="E81" s="420" t="inlineStr">
        <is>
          <t>Préstamo</t>
        </is>
      </c>
      <c r="F81" s="6" t="inlineStr">
        <is>
          <t>3,95%+TERM SOFR</t>
        </is>
      </c>
      <c r="G81" s="549" t="n"/>
      <c r="H81" s="657" t="n">
        <v>0</v>
      </c>
      <c r="I81" s="657" t="n">
        <v>0</v>
      </c>
      <c r="J81" s="657" t="n">
        <v>0</v>
      </c>
      <c r="K81" s="657" t="n">
        <v>0</v>
      </c>
    </row>
    <row r="82">
      <c r="B82" s="546" t="inlineStr">
        <is>
          <t>Prival Bank</t>
        </is>
      </c>
      <c r="C82" s="546" t="inlineStr">
        <is>
          <t>US$</t>
        </is>
      </c>
      <c r="D82" s="428" t="n">
        <v>46462</v>
      </c>
      <c r="E82" s="420" t="inlineStr">
        <is>
          <t>Préstamo</t>
        </is>
      </c>
      <c r="F82" s="6" t="inlineStr">
        <is>
          <t>3,95%+TERM SOFR</t>
        </is>
      </c>
      <c r="G82" s="549" t="n"/>
      <c r="H82" s="657" t="n">
        <v>0</v>
      </c>
      <c r="I82" s="657" t="n">
        <v>0</v>
      </c>
      <c r="J82" s="657" t="n">
        <v>0</v>
      </c>
      <c r="K82" s="657" t="n">
        <v>0</v>
      </c>
    </row>
    <row r="83">
      <c r="B83" s="546" t="inlineStr">
        <is>
          <t>PCOF SPV I LLC</t>
        </is>
      </c>
      <c r="C83" s="546" t="inlineStr">
        <is>
          <t>US$</t>
        </is>
      </c>
      <c r="D83" s="428" t="n">
        <v>46462</v>
      </c>
      <c r="E83" s="420" t="inlineStr">
        <is>
          <t>Préstamo</t>
        </is>
      </c>
      <c r="F83" s="6" t="inlineStr">
        <is>
          <t>3,95%+TERM SOFR</t>
        </is>
      </c>
      <c r="G83" s="549" t="n"/>
      <c r="H83" s="657" t="n">
        <v>0</v>
      </c>
      <c r="I83" s="657" t="n">
        <v>0</v>
      </c>
      <c r="J83" s="657" t="n">
        <v>0</v>
      </c>
      <c r="K83" s="657" t="n">
        <v>0</v>
      </c>
    </row>
    <row r="84">
      <c r="B84" s="546" t="inlineStr">
        <is>
          <t>PCOF SPV I LLC</t>
        </is>
      </c>
      <c r="C84" s="546" t="inlineStr">
        <is>
          <t>US$</t>
        </is>
      </c>
      <c r="D84" s="428" t="n">
        <v>46462</v>
      </c>
      <c r="E84" s="420" t="inlineStr">
        <is>
          <t>Préstamo</t>
        </is>
      </c>
      <c r="F84" s="6" t="inlineStr">
        <is>
          <t>3,95%+TERM SOFR</t>
        </is>
      </c>
      <c r="G84" s="549" t="n"/>
      <c r="H84" s="657" t="n">
        <v>0</v>
      </c>
      <c r="J84" s="657" t="n">
        <v>0</v>
      </c>
    </row>
    <row r="85" ht="34.2" customHeight="1" s="533">
      <c r="B85" s="546" t="inlineStr">
        <is>
          <t>Metrobank</t>
        </is>
      </c>
      <c r="C85" s="546" t="inlineStr">
        <is>
          <t>US$</t>
        </is>
      </c>
      <c r="D85" s="428" t="n">
        <v>46462</v>
      </c>
      <c r="E85" s="420" t="inlineStr">
        <is>
          <t>Préstamo</t>
        </is>
      </c>
      <c r="F85" s="6" t="inlineStr">
        <is>
          <t>3,95%+TERM SOFR</t>
        </is>
      </c>
      <c r="G85" s="549" t="n"/>
      <c r="H85" s="657" t="n">
        <v>0</v>
      </c>
      <c r="I85" s="657" t="n">
        <v>0</v>
      </c>
      <c r="J85" s="657" t="n">
        <v>0</v>
      </c>
      <c r="K85" s="657" t="n">
        <v>0</v>
      </c>
    </row>
    <row r="86">
      <c r="B86" s="546" t="inlineStr">
        <is>
          <t>Banco Santander</t>
        </is>
      </c>
      <c r="C86" s="546" t="inlineStr">
        <is>
          <t>CLP</t>
        </is>
      </c>
      <c r="D86" s="428" t="n">
        <v>46462</v>
      </c>
      <c r="E86" s="420" t="inlineStr">
        <is>
          <t>Préstamo</t>
        </is>
      </c>
      <c r="F86" s="6" t="inlineStr">
        <is>
          <t>4,35%+ICP</t>
        </is>
      </c>
      <c r="G86" s="549" t="n"/>
      <c r="H86" s="657" t="n">
        <v>0</v>
      </c>
      <c r="I86" s="657" t="n">
        <v>0</v>
      </c>
      <c r="J86" s="657" t="n">
        <v>0</v>
      </c>
      <c r="K86" s="657" t="n">
        <v>0</v>
      </c>
    </row>
    <row r="87">
      <c r="B87" s="546" t="inlineStr">
        <is>
          <t>Banco Santander</t>
        </is>
      </c>
      <c r="C87" s="546" t="inlineStr">
        <is>
          <t>CLP</t>
        </is>
      </c>
      <c r="D87" s="428" t="n">
        <v>46462</v>
      </c>
      <c r="E87" s="420" t="inlineStr">
        <is>
          <t>Préstamo</t>
        </is>
      </c>
      <c r="F87" s="6" t="inlineStr">
        <is>
          <t>4,35%+ICP</t>
        </is>
      </c>
      <c r="G87" s="549" t="n"/>
      <c r="H87" s="657" t="n">
        <v>0</v>
      </c>
      <c r="I87" s="657" t="n">
        <v>0</v>
      </c>
      <c r="J87" s="657" t="n">
        <v>0</v>
      </c>
      <c r="K87" s="657" t="n">
        <v>0</v>
      </c>
    </row>
    <row r="88">
      <c r="B88" s="546" t="inlineStr">
        <is>
          <t>Gastos de Crédito</t>
        </is>
      </c>
      <c r="C88" s="546" t="inlineStr">
        <is>
          <t>CLP</t>
        </is>
      </c>
      <c r="D88" s="279" t="n"/>
      <c r="E88" s="93" t="n"/>
      <c r="F88" s="280" t="n"/>
      <c r="G88" s="100" t="n"/>
      <c r="H88" s="664" t="n">
        <v>0</v>
      </c>
      <c r="I88" s="664" t="n">
        <v>0</v>
      </c>
      <c r="J88" s="664" t="n">
        <v>0</v>
      </c>
      <c r="K88" s="664" t="n">
        <v>0</v>
      </c>
    </row>
    <row r="89">
      <c r="B89" s="426" t="inlineStr">
        <is>
          <t>Sub- Total préstamos bancarios</t>
        </is>
      </c>
      <c r="C89" s="160" t="n"/>
      <c r="D89" s="163" t="n"/>
      <c r="E89" s="160" t="n"/>
      <c r="F89" s="163" t="n"/>
      <c r="G89" s="162" t="n"/>
      <c r="H89" s="657">
        <f>SUM(H88:H119)</f>
        <v/>
      </c>
      <c r="I89" s="657">
        <f>SUM(I88:I119)</f>
        <v/>
      </c>
      <c r="J89" s="657">
        <f>SUM(J88:J119)</f>
        <v/>
      </c>
      <c r="K89" s="657">
        <f>SUM(K88:K119)</f>
        <v/>
      </c>
    </row>
    <row r="90">
      <c r="B90" s="426" t="inlineStr">
        <is>
          <t>Intereses devengados préstamos bancarios</t>
        </is>
      </c>
      <c r="C90" s="160" t="n"/>
      <c r="D90" s="163" t="n"/>
      <c r="E90" s="160" t="n"/>
      <c r="F90" s="163" t="n"/>
      <c r="G90" s="162" t="n"/>
      <c r="H90" s="665" t="n"/>
      <c r="I90" s="666" t="n"/>
      <c r="J90" s="666" t="n"/>
      <c r="K90" s="666" t="n"/>
    </row>
    <row r="91">
      <c r="B91" s="426" t="inlineStr">
        <is>
          <t>Totales préstamos bancarios</t>
        </is>
      </c>
      <c r="C91" s="160" t="n"/>
      <c r="D91" s="163" t="n"/>
      <c r="E91" s="160" t="n"/>
      <c r="F91" s="163" t="n"/>
      <c r="G91" s="162" t="n"/>
      <c r="H91" s="667">
        <f>SUM(H120:H121)</f>
        <v/>
      </c>
      <c r="I91" s="667">
        <f>SUM(I120:I121)</f>
        <v/>
      </c>
      <c r="J91" s="667">
        <f>SUM(J120:J121)</f>
        <v/>
      </c>
      <c r="K91" s="667">
        <f>SUM(K120:K121)</f>
        <v/>
      </c>
    </row>
    <row r="92"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</row>
    <row r="95">
      <c r="B95" t="inlineStr">
        <is>
          <t>BONOS EMITIDOS</t>
        </is>
      </c>
    </row>
    <row r="96">
      <c r="B96" s="457" t="inlineStr">
        <is>
          <t>#N15.7</t>
        </is>
      </c>
    </row>
    <row r="97" ht="19.8" customHeight="1" s="533" thickBot="1">
      <c r="B97" s="458" t="inlineStr">
        <is>
          <t>Instrument type</t>
        </is>
      </c>
      <c r="C97" s="458" t="inlineStr">
        <is>
          <t>Description</t>
        </is>
      </c>
      <c r="D97" s="459" t="inlineStr">
        <is>
          <t>Issuer</t>
        </is>
      </c>
      <c r="E97" s="458" t="inlineStr">
        <is>
          <t>Currency</t>
        </is>
      </c>
      <c r="F97" s="458" t="inlineStr">
        <is>
          <t>Issue date</t>
        </is>
      </c>
      <c r="G97" s="458" t="inlineStr">
        <is>
          <t>Maturity date</t>
        </is>
      </c>
      <c r="H97" s="458" t="inlineStr">
        <is>
          <t>Transaction type</t>
        </is>
      </c>
      <c r="I97" s="458" t="inlineStr">
        <is>
          <t>Annual nominal interest rate</t>
        </is>
      </c>
      <c r="J97" s="458" t="inlineStr">
        <is>
          <t>Corriente</t>
        </is>
      </c>
      <c r="K97" s="458" t="inlineStr">
        <is>
          <t>No corriente</t>
        </is>
      </c>
    </row>
    <row r="99">
      <c r="B99" s="460" t="inlineStr">
        <is>
          <t>Bono corporativo</t>
        </is>
      </c>
      <c r="C99" s="461" t="inlineStr">
        <is>
          <t xml:space="preserve">Bono 144A </t>
        </is>
      </c>
      <c r="D99" s="460" t="inlineStr">
        <is>
          <t>DB Terra Chile Holdco SpA</t>
        </is>
      </c>
      <c r="E99" s="461" t="inlineStr">
        <is>
          <t>USD</t>
        </is>
      </c>
      <c r="F99" s="471" t="n">
        <v>46132</v>
      </c>
      <c r="G99" s="472" t="n">
        <v>47958</v>
      </c>
      <c r="H99" s="460" t="inlineStr">
        <is>
          <t>Bono</t>
        </is>
      </c>
      <c r="I99" s="462" t="inlineStr">
        <is>
          <t>7.95%</t>
        </is>
      </c>
      <c r="J99" s="463" t="inlineStr">
        <is>
          <t>-</t>
        </is>
      </c>
      <c r="K99" s="464" t="inlineStr">
        <is>
          <t>391,778,762</t>
        </is>
      </c>
    </row>
    <row r="100" ht="15" customHeight="1" s="533" thickBot="1">
      <c r="B100" s="465" t="n"/>
      <c r="C100" s="465" t="n"/>
      <c r="D100" s="465" t="n"/>
      <c r="E100" s="465" t="n"/>
      <c r="F100" s="465" t="n"/>
      <c r="G100" s="465" t="n"/>
      <c r="H100" s="465" t="n"/>
      <c r="I100" s="465" t="n"/>
      <c r="J100" s="465" t="n"/>
      <c r="K100" s="466" t="n"/>
    </row>
    <row r="101">
      <c r="D101" s="467" t="n"/>
      <c r="E101" s="467" t="n"/>
      <c r="F101" s="468" t="n"/>
      <c r="G101" s="467" t="inlineStr">
        <is>
          <t>Subtotal bonds</t>
        </is>
      </c>
      <c r="J101" s="469" t="inlineStr">
        <is>
          <t xml:space="preserve">                                 - </t>
        </is>
      </c>
      <c r="K101" s="469" t="inlineStr">
        <is>
          <t xml:space="preserve">            391,778,762 </t>
        </is>
      </c>
    </row>
    <row r="102" ht="15" customHeight="1" s="533" thickBot="1">
      <c r="D102" s="468" t="n"/>
      <c r="E102" s="468" t="n"/>
      <c r="F102" s="468" t="n"/>
      <c r="G102" s="468" t="inlineStr">
        <is>
          <t>Accrued interest</t>
        </is>
      </c>
      <c r="J102" s="470" t="inlineStr">
        <is>
          <t xml:space="preserve">              5,066,553 </t>
        </is>
      </c>
      <c r="K102" s="470" t="inlineStr">
        <is>
          <t xml:space="preserve">            - </t>
        </is>
      </c>
    </row>
    <row r="103" ht="15" customHeight="1" s="533" thickBot="1">
      <c r="D103" s="467" t="n"/>
      <c r="E103" s="467" t="n"/>
      <c r="F103" s="468" t="n"/>
      <c r="G103" s="467" t="inlineStr">
        <is>
          <t>Total bonds</t>
        </is>
      </c>
      <c r="J103" s="470" t="inlineStr">
        <is>
          <t xml:space="preserve">              5,066,553 </t>
        </is>
      </c>
      <c r="K103" s="470" t="inlineStr">
        <is>
          <t xml:space="preserve">         391,778,762</t>
        </is>
      </c>
    </row>
    <row r="106">
      <c r="B106" s="387" t="inlineStr">
        <is>
          <t>Detalle de instrumentos de cobertura</t>
        </is>
      </c>
    </row>
    <row r="107">
      <c r="B107" s="457" t="inlineStr">
        <is>
          <t>#N15.8</t>
        </is>
      </c>
    </row>
    <row r="108">
      <c r="K108" s="385" t="n">
        <v>2026</v>
      </c>
      <c r="M108" s="381" t="n">
        <v>2025</v>
      </c>
    </row>
    <row r="109">
      <c r="I109" s="668" t="n"/>
      <c r="J109" s="668" t="n"/>
      <c r="K109" s="668" t="n"/>
      <c r="L109" s="669" t="n"/>
      <c r="M109" s="669" t="n"/>
    </row>
    <row r="110">
      <c r="B110" s="233" t="inlineStr">
        <is>
          <t xml:space="preserve"> Entidad                </t>
        </is>
      </c>
      <c r="C110" s="233" t="inlineStr">
        <is>
          <t xml:space="preserve"> Cobertura       </t>
        </is>
      </c>
      <c r="D110" s="233" t="inlineStr">
        <is>
          <t xml:space="preserve"> Partida cubierta USD </t>
        </is>
      </c>
      <c r="E110" s="233" t="inlineStr">
        <is>
          <t xml:space="preserve"> Partida cubierta M$ </t>
        </is>
      </c>
      <c r="F110" s="268" t="inlineStr">
        <is>
          <t xml:space="preserve"> Tipo de instrumento </t>
        </is>
      </c>
      <c r="G110" s="268" t="inlineStr">
        <is>
          <t xml:space="preserve"> Riesgo cubierto           </t>
        </is>
      </c>
      <c r="H110" s="268" t="inlineStr">
        <is>
          <t xml:space="preserve"> Moneda </t>
        </is>
      </c>
      <c r="I110" s="268" t="inlineStr">
        <is>
          <t xml:space="preserve"> Liquidación </t>
        </is>
      </c>
      <c r="J110" s="268" t="inlineStr">
        <is>
          <t xml:space="preserve"> Vencimiento </t>
        </is>
      </c>
      <c r="K110" s="271" t="inlineStr">
        <is>
          <t xml:space="preserve"> Activo M$ </t>
        </is>
      </c>
      <c r="L110" s="271" t="inlineStr">
        <is>
          <t xml:space="preserve"> Pasivo M$ </t>
        </is>
      </c>
      <c r="M110" s="271" t="inlineStr">
        <is>
          <t xml:space="preserve"> Activo M$ </t>
        </is>
      </c>
      <c r="N110" s="271" t="inlineStr">
        <is>
          <t xml:space="preserve"> Pasivo M$ </t>
        </is>
      </c>
    </row>
    <row r="111">
      <c r="B111" s="269" t="n"/>
      <c r="C111" s="269" t="n"/>
      <c r="D111" s="269" t="n"/>
      <c r="E111" s="269" t="n"/>
      <c r="F111" s="269" t="n"/>
      <c r="G111" s="269" t="n"/>
      <c r="H111" s="269" t="n"/>
      <c r="I111" s="269" t="n"/>
      <c r="J111" s="269" t="n"/>
      <c r="K111" s="269" t="n"/>
      <c r="L111" s="269" t="n"/>
      <c r="M111" s="269" t="n"/>
      <c r="N111" s="269" t="n"/>
    </row>
    <row r="112">
      <c r="B112" s="233" t="inlineStr">
        <is>
          <t xml:space="preserve"> DB Terra Chile Holdco SpA </t>
        </is>
      </c>
      <c r="C112" s="233" t="inlineStr">
        <is>
          <t xml:space="preserve"> Préstamo USD    </t>
        </is>
      </c>
      <c r="D112" s="270" t="n">
        <v>7500000</v>
      </c>
      <c r="E112" s="268" t="inlineStr">
        <is>
          <t xml:space="preserve">                    </t>
        </is>
      </c>
      <c r="F112" s="268" t="inlineStr">
        <is>
          <t xml:space="preserve"> CCS                 </t>
        </is>
      </c>
      <c r="G112" s="268" t="inlineStr">
        <is>
          <t xml:space="preserve"> Moneda y tasa            </t>
        </is>
      </c>
      <c r="H112" s="268" t="inlineStr">
        <is>
          <t xml:space="preserve"> USD    </t>
        </is>
      </c>
      <c r="I112" s="268" t="inlineStr">
        <is>
          <t xml:space="preserve"> Trimestral  </t>
        </is>
      </c>
      <c r="J112" s="268" t="inlineStr">
        <is>
          <t xml:space="preserve"> 16-03-27    </t>
        </is>
      </c>
      <c r="K112" s="670" t="n">
        <v>0</v>
      </c>
      <c r="L112" s="670" t="n">
        <v>0</v>
      </c>
      <c r="M112" s="670" t="n">
        <v>0</v>
      </c>
      <c r="N112" s="670" t="n">
        <v>0</v>
      </c>
    </row>
    <row r="113">
      <c r="B113" s="233" t="inlineStr">
        <is>
          <t xml:space="preserve"> DB Terra Chile Holdco SpA </t>
        </is>
      </c>
      <c r="C113" s="233" t="inlineStr">
        <is>
          <t xml:space="preserve"> Préstamo USD    </t>
        </is>
      </c>
      <c r="D113" s="270" t="n">
        <v>15863310</v>
      </c>
      <c r="E113" s="268" t="inlineStr">
        <is>
          <t xml:space="preserve">                    </t>
        </is>
      </c>
      <c r="F113" s="268" t="inlineStr">
        <is>
          <t xml:space="preserve"> CCS                 </t>
        </is>
      </c>
      <c r="G113" s="268" t="inlineStr">
        <is>
          <t xml:space="preserve"> Moneda y tasa            </t>
        </is>
      </c>
      <c r="H113" s="268" t="inlineStr">
        <is>
          <t xml:space="preserve"> USD    </t>
        </is>
      </c>
      <c r="I113" s="268" t="inlineStr">
        <is>
          <t xml:space="preserve"> Trimestral  </t>
        </is>
      </c>
      <c r="J113" s="268" t="inlineStr">
        <is>
          <t xml:space="preserve"> 16-03-27    </t>
        </is>
      </c>
      <c r="K113" s="670" t="n">
        <v>0</v>
      </c>
      <c r="L113" s="670" t="n">
        <v>0</v>
      </c>
      <c r="M113" s="670" t="n">
        <v>0</v>
      </c>
      <c r="N113" s="670" t="n">
        <v>0</v>
      </c>
    </row>
    <row r="114">
      <c r="B114" s="233" t="inlineStr">
        <is>
          <t xml:space="preserve"> DB Terra Chile Holdco SpA </t>
        </is>
      </c>
      <c r="C114" s="233" t="inlineStr">
        <is>
          <t xml:space="preserve"> Préstamo USD    </t>
        </is>
      </c>
      <c r="D114" s="270" t="n">
        <v>5200000</v>
      </c>
      <c r="E114" s="268" t="inlineStr">
        <is>
          <t xml:space="preserve">                    </t>
        </is>
      </c>
      <c r="F114" s="268" t="inlineStr">
        <is>
          <t xml:space="preserve"> CCS                 </t>
        </is>
      </c>
      <c r="G114" s="268" t="inlineStr">
        <is>
          <t xml:space="preserve"> Moneda y tasa            </t>
        </is>
      </c>
      <c r="H114" s="268" t="inlineStr">
        <is>
          <t xml:space="preserve"> USD    </t>
        </is>
      </c>
      <c r="I114" s="268" t="inlineStr">
        <is>
          <t xml:space="preserve"> Trimestral  </t>
        </is>
      </c>
      <c r="J114" s="268" t="inlineStr">
        <is>
          <t xml:space="preserve"> 16-03-27    </t>
        </is>
      </c>
      <c r="K114" s="670" t="n">
        <v>0</v>
      </c>
      <c r="L114" s="670" t="n">
        <v>0</v>
      </c>
      <c r="M114" s="670" t="n">
        <v>0</v>
      </c>
      <c r="N114" s="670" t="n">
        <v>0</v>
      </c>
    </row>
    <row r="115">
      <c r="B115" s="233" t="inlineStr">
        <is>
          <t xml:space="preserve"> DB Terra Chile Holdco SpA </t>
        </is>
      </c>
      <c r="C115" s="233" t="inlineStr">
        <is>
          <t xml:space="preserve"> Préstamo USD    </t>
        </is>
      </c>
      <c r="D115" s="270" t="n">
        <v>11438690</v>
      </c>
      <c r="E115" s="268" t="inlineStr">
        <is>
          <t xml:space="preserve">                    </t>
        </is>
      </c>
      <c r="F115" s="268" t="inlineStr">
        <is>
          <t xml:space="preserve"> CCS                 </t>
        </is>
      </c>
      <c r="G115" s="268" t="inlineStr">
        <is>
          <t xml:space="preserve"> Moneda y tasa            </t>
        </is>
      </c>
      <c r="H115" s="268" t="inlineStr">
        <is>
          <t xml:space="preserve"> USD    </t>
        </is>
      </c>
      <c r="I115" s="268" t="inlineStr">
        <is>
          <t xml:space="preserve"> Trimestral  </t>
        </is>
      </c>
      <c r="J115" s="268" t="inlineStr">
        <is>
          <t xml:space="preserve"> 16-03-27    </t>
        </is>
      </c>
      <c r="K115" s="670" t="n">
        <v>0</v>
      </c>
      <c r="L115" s="670" t="n">
        <v>0</v>
      </c>
      <c r="M115" s="670" t="n">
        <v>0</v>
      </c>
      <c r="N115" s="670" t="n">
        <v>0</v>
      </c>
    </row>
    <row r="116">
      <c r="B116" s="233" t="inlineStr">
        <is>
          <t xml:space="preserve"> DB Terra Chile Holdco SpA </t>
        </is>
      </c>
      <c r="C116" s="233" t="inlineStr">
        <is>
          <t xml:space="preserve"> Préstamo USD    </t>
        </is>
      </c>
      <c r="D116" s="270" t="n">
        <v>15000000</v>
      </c>
      <c r="E116" s="268" t="inlineStr">
        <is>
          <t xml:space="preserve">                    </t>
        </is>
      </c>
      <c r="F116" s="268" t="inlineStr">
        <is>
          <t xml:space="preserve"> CCS                 </t>
        </is>
      </c>
      <c r="G116" s="268" t="inlineStr">
        <is>
          <t xml:space="preserve"> Moneda y tasa            </t>
        </is>
      </c>
      <c r="H116" s="268" t="inlineStr">
        <is>
          <t xml:space="preserve"> USD    </t>
        </is>
      </c>
      <c r="I116" s="268" t="inlineStr">
        <is>
          <t xml:space="preserve"> Trimestral  </t>
        </is>
      </c>
      <c r="J116" s="268" t="inlineStr">
        <is>
          <t xml:space="preserve"> 16-03-27    </t>
        </is>
      </c>
      <c r="K116" s="670" t="n">
        <v>0</v>
      </c>
      <c r="L116" s="670" t="n">
        <v>0</v>
      </c>
      <c r="M116" s="670" t="n">
        <v>0</v>
      </c>
      <c r="N116" s="670" t="n">
        <v>0</v>
      </c>
    </row>
    <row r="117">
      <c r="B117" s="233" t="inlineStr">
        <is>
          <t xml:space="preserve"> DB Terra Chile Holdco SpA </t>
        </is>
      </c>
      <c r="C117" s="233" t="inlineStr">
        <is>
          <t xml:space="preserve"> Préstamo USD    </t>
        </is>
      </c>
      <c r="D117" s="270" t="n">
        <v>10000000</v>
      </c>
      <c r="E117" s="268" t="inlineStr">
        <is>
          <t xml:space="preserve">                    </t>
        </is>
      </c>
      <c r="F117" s="268" t="inlineStr">
        <is>
          <t xml:space="preserve"> CCS                 </t>
        </is>
      </c>
      <c r="G117" s="268" t="inlineStr">
        <is>
          <t xml:space="preserve"> Moneda y tasa            </t>
        </is>
      </c>
      <c r="H117" s="268" t="inlineStr">
        <is>
          <t xml:space="preserve"> USD    </t>
        </is>
      </c>
      <c r="I117" s="268" t="inlineStr">
        <is>
          <t xml:space="preserve"> Trimestral  </t>
        </is>
      </c>
      <c r="J117" s="268" t="inlineStr">
        <is>
          <t xml:space="preserve"> 16-03-27    </t>
        </is>
      </c>
      <c r="K117" s="670" t="n">
        <v>0</v>
      </c>
      <c r="L117" s="670" t="n">
        <v>0</v>
      </c>
      <c r="M117" s="670" t="n">
        <v>0</v>
      </c>
      <c r="N117" s="670" t="n">
        <v>0</v>
      </c>
    </row>
    <row r="118">
      <c r="B118" s="233" t="inlineStr">
        <is>
          <t xml:space="preserve"> DB Terra Chile Holdco SpA </t>
        </is>
      </c>
      <c r="C118" s="233" t="inlineStr">
        <is>
          <t xml:space="preserve"> Préstamo USD    </t>
        </is>
      </c>
      <c r="D118" s="270" t="n">
        <v>29625000</v>
      </c>
      <c r="E118" s="268" t="inlineStr">
        <is>
          <t xml:space="preserve">                    </t>
        </is>
      </c>
      <c r="F118" s="268" t="inlineStr">
        <is>
          <t xml:space="preserve"> CCS                 </t>
        </is>
      </c>
      <c r="G118" s="268" t="inlineStr">
        <is>
          <t xml:space="preserve"> Moneda y tasa            </t>
        </is>
      </c>
      <c r="H118" s="268" t="inlineStr">
        <is>
          <t xml:space="preserve"> USD    </t>
        </is>
      </c>
      <c r="I118" s="268" t="inlineStr">
        <is>
          <t xml:space="preserve"> Trimestral  </t>
        </is>
      </c>
      <c r="J118" s="268" t="inlineStr">
        <is>
          <t xml:space="preserve"> 16-03-27    </t>
        </is>
      </c>
      <c r="K118" s="670" t="n">
        <v>0</v>
      </c>
      <c r="L118" s="670" t="n">
        <v>0</v>
      </c>
      <c r="M118" s="670" t="n">
        <v>0</v>
      </c>
      <c r="N118" s="670" t="n">
        <v>0</v>
      </c>
    </row>
    <row r="119">
      <c r="B119" s="233" t="inlineStr">
        <is>
          <t xml:space="preserve"> DB Terra Chile Holdco SpA </t>
        </is>
      </c>
      <c r="C119" s="233" t="inlineStr">
        <is>
          <t xml:space="preserve"> Préstamo USD    </t>
        </is>
      </c>
      <c r="D119" s="270" t="n">
        <v>11000000</v>
      </c>
      <c r="E119" s="268" t="inlineStr">
        <is>
          <t xml:space="preserve">                    </t>
        </is>
      </c>
      <c r="F119" s="268" t="inlineStr">
        <is>
          <t xml:space="preserve"> CCS                 </t>
        </is>
      </c>
      <c r="G119" s="268" t="inlineStr">
        <is>
          <t xml:space="preserve"> Moneda y tasa            </t>
        </is>
      </c>
      <c r="H119" s="268" t="inlineStr">
        <is>
          <t xml:space="preserve"> USD    </t>
        </is>
      </c>
      <c r="I119" s="268" t="inlineStr">
        <is>
          <t xml:space="preserve"> Trimestral  </t>
        </is>
      </c>
      <c r="J119" s="268" t="inlineStr">
        <is>
          <t xml:space="preserve"> 16-03-27    </t>
        </is>
      </c>
      <c r="K119" s="670" t="n">
        <v>0</v>
      </c>
      <c r="L119" s="670" t="n">
        <v>0</v>
      </c>
      <c r="M119" s="670" t="n">
        <v>0</v>
      </c>
      <c r="N119" s="670" t="n">
        <v>0</v>
      </c>
    </row>
    <row r="120">
      <c r="B120" s="233" t="inlineStr">
        <is>
          <t xml:space="preserve"> DB Terra Chile Holdco SpA </t>
        </is>
      </c>
      <c r="C120" s="233" t="inlineStr">
        <is>
          <t xml:space="preserve"> Préstamo $      </t>
        </is>
      </c>
      <c r="D120" s="268" t="inlineStr">
        <is>
          <t xml:space="preserve">                     </t>
        </is>
      </c>
      <c r="E120" s="272" t="n">
        <v>110883334</v>
      </c>
      <c r="F120" s="268" t="inlineStr">
        <is>
          <t xml:space="preserve"> IRS                 </t>
        </is>
      </c>
      <c r="G120" s="268" t="inlineStr">
        <is>
          <t xml:space="preserve"> Tasa                     </t>
        </is>
      </c>
      <c r="H120" s="268" t="inlineStr">
        <is>
          <t xml:space="preserve"> $      </t>
        </is>
      </c>
      <c r="I120" s="268" t="inlineStr">
        <is>
          <t xml:space="preserve"> Trimestral  </t>
        </is>
      </c>
      <c r="J120" s="268" t="inlineStr">
        <is>
          <t xml:space="preserve"> 16-03-27    </t>
        </is>
      </c>
      <c r="K120" s="670" t="n">
        <v>0</v>
      </c>
      <c r="L120" s="670" t="n">
        <v>0</v>
      </c>
      <c r="M120" s="670" t="n">
        <v>0</v>
      </c>
      <c r="N120" s="670" t="n">
        <v>0</v>
      </c>
    </row>
    <row r="121" ht="19.8" customHeight="1" s="533" thickBot="1">
      <c r="B121" s="233" t="inlineStr">
        <is>
          <t xml:space="preserve"> DB Terra Chile Holdco SpA </t>
        </is>
      </c>
      <c r="C121" s="233" t="inlineStr">
        <is>
          <t xml:space="preserve"> Préstamo $      </t>
        </is>
      </c>
      <c r="D121" s="268" t="inlineStr">
        <is>
          <t xml:space="preserve">                     </t>
        </is>
      </c>
      <c r="E121" s="272" t="n">
        <v>89668686</v>
      </c>
      <c r="F121" s="268" t="inlineStr">
        <is>
          <t xml:space="preserve"> IRS                 </t>
        </is>
      </c>
      <c r="G121" s="268" t="inlineStr">
        <is>
          <t xml:space="preserve"> Tasa                     </t>
        </is>
      </c>
      <c r="H121" s="268" t="inlineStr">
        <is>
          <t xml:space="preserve"> $      </t>
        </is>
      </c>
      <c r="I121" s="268" t="inlineStr">
        <is>
          <t xml:space="preserve"> Trimestral  </t>
        </is>
      </c>
      <c r="J121" s="268" t="inlineStr">
        <is>
          <t xml:space="preserve"> 16-03-27    </t>
        </is>
      </c>
      <c r="K121" s="670" t="n">
        <v>0</v>
      </c>
      <c r="L121" s="670" t="n">
        <v>0</v>
      </c>
      <c r="M121" s="670" t="n">
        <v>0</v>
      </c>
      <c r="N121" s="670" t="n">
        <v>0</v>
      </c>
    </row>
    <row r="122" ht="15" customHeight="1" s="533" thickBot="1">
      <c r="B122" s="429" t="inlineStr">
        <is>
          <t xml:space="preserve"> DB Terra Chile Holdco SpA </t>
        </is>
      </c>
      <c r="C122" s="429" t="inlineStr">
        <is>
          <t xml:space="preserve"> Préstamo $      </t>
        </is>
      </c>
      <c r="D122" s="269" t="inlineStr">
        <is>
          <t xml:space="preserve">                     </t>
        </is>
      </c>
      <c r="E122" s="273" t="n">
        <v>17000000</v>
      </c>
      <c r="F122" s="269" t="inlineStr">
        <is>
          <t xml:space="preserve"> IRS                 </t>
        </is>
      </c>
      <c r="G122" s="269" t="inlineStr">
        <is>
          <t xml:space="preserve"> Tasa                     </t>
        </is>
      </c>
      <c r="H122" s="269" t="inlineStr">
        <is>
          <t xml:space="preserve"> $      </t>
        </is>
      </c>
      <c r="I122" s="269" t="inlineStr">
        <is>
          <t xml:space="preserve"> Trimestral  </t>
        </is>
      </c>
      <c r="J122" s="269" t="inlineStr">
        <is>
          <t xml:space="preserve"> 16-03-27    </t>
        </is>
      </c>
      <c r="K122" s="671" t="n">
        <v>0</v>
      </c>
      <c r="L122" s="671" t="n">
        <v>0</v>
      </c>
      <c r="M122" s="671" t="n">
        <v>0</v>
      </c>
      <c r="N122" s="671" t="n">
        <v>0</v>
      </c>
    </row>
    <row r="123">
      <c r="B123" s="233" t="inlineStr">
        <is>
          <t>Totales</t>
        </is>
      </c>
      <c r="C123" s="268" t="inlineStr">
        <is>
          <t xml:space="preserve">                 </t>
        </is>
      </c>
      <c r="D123" s="268" t="inlineStr">
        <is>
          <t xml:space="preserve">                     </t>
        </is>
      </c>
      <c r="E123" s="268" t="inlineStr">
        <is>
          <t xml:space="preserve">                    </t>
        </is>
      </c>
      <c r="F123" s="268" t="inlineStr">
        <is>
          <t xml:space="preserve">                     </t>
        </is>
      </c>
      <c r="G123" s="268" t="inlineStr">
        <is>
          <t xml:space="preserve">                          </t>
        </is>
      </c>
      <c r="H123" s="268" t="inlineStr">
        <is>
          <t xml:space="preserve">        </t>
        </is>
      </c>
      <c r="I123" s="268" t="inlineStr">
        <is>
          <t xml:space="preserve">             </t>
        </is>
      </c>
      <c r="J123" s="268" t="inlineStr">
        <is>
          <t xml:space="preserve">             </t>
        </is>
      </c>
      <c r="K123" s="671">
        <f>SUM(K133:K143)</f>
        <v/>
      </c>
      <c r="L123" s="671">
        <f>SUM(L133:L143)</f>
        <v/>
      </c>
      <c r="M123" s="671">
        <f>SUM(M133:M143)</f>
        <v/>
      </c>
      <c r="N123" s="671">
        <f>SUM(N133:N143)</f>
        <v/>
      </c>
    </row>
    <row r="125">
      <c r="L125" s="672" t="n"/>
    </row>
    <row r="129"/>
    <row r="132" ht="15" customHeight="1" s="533" thickBot="1"/>
    <row r="143" ht="15" customHeight="1" s="533" thickBot="1"/>
    <row r="144" ht="15" customHeight="1" s="533" thickBot="1"/>
    <row r="145" ht="15" customHeight="1" s="533"/>
  </sheetData>
  <mergeCells count="14">
    <mergeCell ref="E12:F12"/>
    <mergeCell ref="C12:D12"/>
    <mergeCell ref="K129:L129"/>
    <mergeCell ref="B79:D79"/>
    <mergeCell ref="G71:H71"/>
    <mergeCell ref="B55:B56"/>
    <mergeCell ref="K71:L71"/>
    <mergeCell ref="M129:N129"/>
    <mergeCell ref="H84:I84"/>
    <mergeCell ref="I71:J71"/>
    <mergeCell ref="B78:D78"/>
    <mergeCell ref="K70:L70"/>
    <mergeCell ref="B77:D77"/>
    <mergeCell ref="J84:K8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00B0F0"/>
    <outlinePr summaryBelow="1" summaryRight="1"/>
    <pageSetUpPr/>
  </sheetPr>
  <dimension ref="B1:F182"/>
  <sheetViews>
    <sheetView showGridLines="0" topLeftCell="A7" zoomScale="80" zoomScaleNormal="80" workbookViewId="0">
      <selection activeCell="C7" sqref="C1:K1048576"/>
    </sheetView>
  </sheetViews>
  <sheetFormatPr baseColWidth="10" defaultRowHeight="14.4"/>
  <cols>
    <col width="12.109375" customWidth="1" style="533" min="1" max="1"/>
    <col width="46.77734375" customWidth="1" style="533" min="2" max="2"/>
    <col width="11.33203125" customWidth="1" style="533" min="3" max="3"/>
    <col width="14.6640625" customWidth="1" style="533" min="4" max="4"/>
    <col width="13.33203125" bestFit="1" customWidth="1" style="533" min="5" max="5"/>
    <col width="6.88671875" customWidth="1" style="533" min="6" max="6"/>
    <col width="44.109375" customWidth="1" style="533" min="11" max="11"/>
    <col width="18.109375" customWidth="1" style="563" min="12" max="12"/>
  </cols>
  <sheetData>
    <row r="1">
      <c r="B1" s="457" t="inlineStr">
        <is>
          <t>#N17.1</t>
        </is>
      </c>
    </row>
    <row r="2">
      <c r="B2" s="430" t="inlineStr">
        <is>
          <t>COMPOSICION POR CUENTA</t>
        </is>
      </c>
    </row>
    <row r="3">
      <c r="B3" s="387" t="inlineStr">
        <is>
          <t>CORRIENTE</t>
        </is>
      </c>
      <c r="C3" s="72" t="inlineStr">
        <is>
          <t>30.06.2026</t>
        </is>
      </c>
      <c r="D3" s="72" t="inlineStr">
        <is>
          <t>31.12.2025</t>
        </is>
      </c>
    </row>
    <row r="4">
      <c r="B4" s="558" t="n"/>
      <c r="C4" s="14" t="inlineStr">
        <is>
          <t>M$</t>
        </is>
      </c>
      <c r="D4" s="14" t="inlineStr">
        <is>
          <t>M$</t>
        </is>
      </c>
    </row>
    <row r="5">
      <c r="B5" s="233" t="inlineStr">
        <is>
          <t>Retenciones por pagar</t>
        </is>
      </c>
      <c r="C5" s="571" t="n"/>
      <c r="D5" s="673" t="n"/>
    </row>
    <row r="6">
      <c r="B6" s="233" t="inlineStr">
        <is>
          <t>Proveedores nacionales</t>
        </is>
      </c>
      <c r="C6" s="571" t="n"/>
      <c r="D6" s="673" t="n"/>
    </row>
    <row r="7">
      <c r="B7" s="233" t="inlineStr">
        <is>
          <t>Proveedores extranjeros</t>
        </is>
      </c>
      <c r="C7" s="571" t="n"/>
      <c r="D7" s="673" t="n"/>
    </row>
    <row r="8">
      <c r="B8" s="233" t="inlineStr">
        <is>
          <t>Anticipos clientes</t>
        </is>
      </c>
      <c r="C8" s="571" t="n"/>
      <c r="D8" s="673" t="n"/>
    </row>
    <row r="9">
      <c r="B9" s="233" t="inlineStr">
        <is>
          <t>Remuneraciones por pagar</t>
        </is>
      </c>
      <c r="C9" s="571" t="n"/>
      <c r="D9" s="673" t="n"/>
    </row>
    <row r="10">
      <c r="B10" s="233" t="inlineStr">
        <is>
          <t>Provisiones por señales</t>
        </is>
      </c>
      <c r="C10" s="571" t="n"/>
      <c r="D10" s="673" t="n"/>
    </row>
    <row r="11">
      <c r="B11" s="233" t="inlineStr">
        <is>
          <t xml:space="preserve">Otras provisiones </t>
        </is>
      </c>
      <c r="C11" s="673" t="n"/>
      <c r="D11" s="673" t="n"/>
    </row>
    <row r="12" ht="15" customHeight="1" s="533" thickBot="1">
      <c r="B12" s="233" t="inlineStr">
        <is>
          <t>Otras cuentas por pagar</t>
        </is>
      </c>
      <c r="C12" s="590" t="n"/>
      <c r="D12" s="590" t="n"/>
    </row>
    <row r="13" ht="15" customHeight="1" s="533" thickBot="1">
      <c r="B13" s="233" t="inlineStr">
        <is>
          <t>Total</t>
        </is>
      </c>
      <c r="C13" s="590">
        <f>SUM(C5:C12)</f>
        <v/>
      </c>
      <c r="D13" s="590">
        <f>SUM(D5:D12)</f>
        <v/>
      </c>
    </row>
    <row r="16">
      <c r="B16" s="457" t="inlineStr">
        <is>
          <t>#N17.2</t>
        </is>
      </c>
    </row>
    <row r="17">
      <c r="B17" s="387" t="inlineStr">
        <is>
          <t>NO CORRIENTE</t>
        </is>
      </c>
      <c r="C17" s="72" t="inlineStr">
        <is>
          <t>30.06.2026</t>
        </is>
      </c>
      <c r="D17" s="72" t="inlineStr">
        <is>
          <t>31.12.2025</t>
        </is>
      </c>
    </row>
    <row r="18">
      <c r="B18" s="558" t="n"/>
      <c r="C18" s="14" t="inlineStr">
        <is>
          <t>M$</t>
        </is>
      </c>
      <c r="D18" s="14" t="inlineStr">
        <is>
          <t>M$</t>
        </is>
      </c>
    </row>
    <row r="19">
      <c r="B19" s="233" t="inlineStr">
        <is>
          <t>Proveedores extranjeros</t>
        </is>
      </c>
      <c r="C19" s="674" t="n"/>
      <c r="D19" s="675" t="n"/>
    </row>
    <row r="20" ht="15" customHeight="1" s="533" thickBot="1">
      <c r="B20" s="233" t="inlineStr">
        <is>
          <t>Total</t>
        </is>
      </c>
      <c r="C20" s="590">
        <f>+C19</f>
        <v/>
      </c>
      <c r="D20" s="590">
        <f>+D19</f>
        <v/>
      </c>
    </row>
    <row r="21">
      <c r="B21" s="558" t="n"/>
      <c r="C21" s="571" t="n"/>
      <c r="D21" s="673" t="n"/>
    </row>
    <row r="22" ht="15" customHeight="1" s="533" thickBot="1">
      <c r="B22" s="233" t="inlineStr">
        <is>
          <t>TOTAL CORRIENTE, NO CORRIENTE</t>
        </is>
      </c>
      <c r="C22" s="676">
        <f>+C20+C13</f>
        <v/>
      </c>
      <c r="D22" s="676">
        <f>+D20+D13</f>
        <v/>
      </c>
    </row>
    <row r="23" ht="15" customHeight="1" s="533" thickTop="1"/>
    <row r="24">
      <c r="B24" s="457" t="inlineStr">
        <is>
          <t>#N17.3</t>
        </is>
      </c>
    </row>
    <row r="25">
      <c r="B25" s="413" t="inlineStr">
        <is>
          <t>COMPOSICION POR MONEDA</t>
        </is>
      </c>
    </row>
    <row r="26">
      <c r="B26" s="44" t="n"/>
      <c r="C26" s="72" t="inlineStr">
        <is>
          <t>30.06.2026</t>
        </is>
      </c>
      <c r="D26" s="72" t="inlineStr">
        <is>
          <t>31.12.2025</t>
        </is>
      </c>
    </row>
    <row r="27">
      <c r="B27" s="32" t="n"/>
      <c r="C27" s="14" t="inlineStr">
        <is>
          <t>M$</t>
        </is>
      </c>
      <c r="D27" s="14" t="inlineStr">
        <is>
          <t>M$</t>
        </is>
      </c>
    </row>
    <row r="28">
      <c r="B28" s="394" t="inlineStr">
        <is>
          <t>Peso chileno</t>
        </is>
      </c>
      <c r="C28" s="34" t="n"/>
      <c r="D28" s="34" t="n"/>
    </row>
    <row r="29">
      <c r="B29" s="394" t="inlineStr">
        <is>
          <t>Dolar estadounidense</t>
        </is>
      </c>
      <c r="C29" s="34" t="n"/>
      <c r="D29" s="34" t="n"/>
    </row>
    <row r="30">
      <c r="B30" s="394" t="inlineStr">
        <is>
          <t>Yuan</t>
        </is>
      </c>
      <c r="C30" s="34" t="n"/>
      <c r="D30" s="34" t="n"/>
    </row>
    <row r="31" ht="15" customHeight="1" s="533" thickBot="1">
      <c r="B31" s="394" t="inlineStr">
        <is>
          <t>Euro</t>
        </is>
      </c>
      <c r="C31" s="35" t="n"/>
      <c r="D31" s="35" t="n"/>
    </row>
    <row r="32" ht="15" customHeight="1" s="533" thickBot="1">
      <c r="B32" s="394" t="inlineStr">
        <is>
          <t>Totales</t>
        </is>
      </c>
      <c r="C32" s="35">
        <f>SUM(C28:C31)</f>
        <v/>
      </c>
      <c r="D32" s="35">
        <f>SUM(D28:D31)</f>
        <v/>
      </c>
    </row>
    <row r="36">
      <c r="B36" s="413" t="inlineStr">
        <is>
          <t>VENCIMIENTOS</t>
        </is>
      </c>
    </row>
    <row r="37">
      <c r="B37" s="451" t="inlineStr">
        <is>
          <t>#N17.4</t>
        </is>
      </c>
    </row>
    <row r="38">
      <c r="B38" s="32" t="n"/>
      <c r="C38" s="72" t="inlineStr">
        <is>
          <t>30.06.2026</t>
        </is>
      </c>
      <c r="D38" s="72" t="inlineStr">
        <is>
          <t>31.12.2025</t>
        </is>
      </c>
    </row>
    <row r="39">
      <c r="B39" s="394" t="inlineStr">
        <is>
          <t xml:space="preserve"> Cuentas comerciales según plazo </t>
        </is>
      </c>
      <c r="C39" s="559" t="inlineStr">
        <is>
          <t>M$</t>
        </is>
      </c>
      <c r="D39" s="559" t="inlineStr">
        <is>
          <t>M$</t>
        </is>
      </c>
    </row>
    <row r="40">
      <c r="B40" s="44" t="n"/>
      <c r="C40" s="64" t="n"/>
      <c r="D40" s="64" t="n"/>
    </row>
    <row r="41">
      <c r="B41" s="394" t="inlineStr">
        <is>
          <t xml:space="preserve">No vencidas y de 0 a 30 días </t>
        </is>
      </c>
      <c r="C41" s="571" t="n"/>
      <c r="D41" s="580" t="n"/>
    </row>
    <row r="42">
      <c r="B42" s="394" t="inlineStr">
        <is>
          <t>De 31 a 60 días</t>
        </is>
      </c>
      <c r="C42" s="571" t="n"/>
      <c r="D42" s="580" t="n"/>
    </row>
    <row r="43">
      <c r="B43" s="394" t="inlineStr">
        <is>
          <t>De 61 a 90 días</t>
        </is>
      </c>
      <c r="C43" s="571" t="n"/>
      <c r="D43" s="580" t="n"/>
    </row>
    <row r="44">
      <c r="B44" s="394" t="inlineStr">
        <is>
          <t>De 91 a 120 días</t>
        </is>
      </c>
      <c r="C44" s="571" t="n"/>
      <c r="D44" s="580" t="n"/>
    </row>
    <row r="45">
      <c r="B45" s="394" t="inlineStr">
        <is>
          <t>De 121 a 180 días</t>
        </is>
      </c>
      <c r="C45" s="571" t="n"/>
      <c r="D45" s="580" t="n"/>
    </row>
    <row r="46">
      <c r="B46" s="394" t="inlineStr">
        <is>
          <t>Mayor a 180 días</t>
        </is>
      </c>
      <c r="C46" s="675" t="n"/>
      <c r="D46" s="677" t="n"/>
    </row>
    <row r="47" ht="15" customHeight="1" s="533" thickBot="1">
      <c r="B47" s="394" t="inlineStr">
        <is>
          <t>Totales</t>
        </is>
      </c>
      <c r="C47" s="678">
        <f>SUM(C41:C46)</f>
        <v/>
      </c>
      <c r="D47" s="678">
        <f>SUM(D41:D46)</f>
        <v/>
      </c>
    </row>
    <row r="48">
      <c r="C48" s="584" t="n"/>
      <c r="D48" s="584" t="n"/>
    </row>
    <row r="49">
      <c r="C49" s="584" t="n"/>
      <c r="D49" s="584" t="n"/>
    </row>
    <row r="50">
      <c r="C50" s="584" t="n"/>
      <c r="D50" s="584" t="n"/>
      <c r="E50" s="584" t="n"/>
    </row>
    <row r="51">
      <c r="B51" s="138" t="n"/>
      <c r="C51" s="679" t="n"/>
      <c r="D51" s="679" t="n"/>
      <c r="E51" s="680" t="n"/>
    </row>
    <row r="52">
      <c r="B52" s="138" t="n"/>
      <c r="C52" s="679" t="n"/>
      <c r="D52" s="679" t="n"/>
      <c r="E52" s="680" t="n"/>
    </row>
    <row r="53">
      <c r="B53" s="138" t="n"/>
      <c r="C53" s="679" t="n"/>
      <c r="D53" s="679" t="n"/>
      <c r="E53" s="680" t="n"/>
    </row>
    <row r="54">
      <c r="B54" s="138" t="n"/>
      <c r="C54" s="679" t="n"/>
      <c r="D54" s="679" t="n"/>
      <c r="E54" s="680" t="n"/>
    </row>
    <row r="55">
      <c r="B55" s="138" t="n"/>
      <c r="C55" s="679" t="n"/>
      <c r="D55" s="679" t="n"/>
      <c r="E55" s="680" t="n"/>
    </row>
    <row r="56">
      <c r="B56" s="138" t="n"/>
      <c r="C56" s="679" t="n"/>
      <c r="D56" s="679" t="n"/>
      <c r="E56" s="680" t="n"/>
    </row>
    <row r="57">
      <c r="B57" s="138" t="n"/>
      <c r="C57" s="679" t="n"/>
      <c r="D57" s="679" t="n"/>
      <c r="E57" s="680" t="n"/>
    </row>
    <row r="58">
      <c r="B58" s="138" t="n"/>
      <c r="C58" s="679" t="n"/>
      <c r="D58" s="679" t="n"/>
      <c r="E58" s="680" t="n"/>
    </row>
    <row r="59">
      <c r="B59" s="138" t="n"/>
      <c r="C59" s="679" t="n"/>
      <c r="D59" s="679" t="n"/>
      <c r="E59" s="680" t="n"/>
    </row>
    <row r="60">
      <c r="B60" s="138" t="n"/>
      <c r="C60" s="679" t="n"/>
      <c r="D60" s="679" t="n"/>
      <c r="E60" s="680" t="n"/>
    </row>
    <row r="61">
      <c r="B61" s="138" t="n"/>
      <c r="C61" s="679" t="n"/>
      <c r="D61" s="679" t="n"/>
      <c r="E61" s="680" t="n"/>
    </row>
    <row r="62">
      <c r="B62" s="138" t="n"/>
      <c r="C62" s="679" t="n"/>
      <c r="D62" s="679" t="n"/>
      <c r="E62" s="680" t="n"/>
    </row>
    <row r="63">
      <c r="B63" s="138" t="n"/>
      <c r="C63" s="679" t="n"/>
      <c r="D63" s="679" t="n"/>
      <c r="E63" s="680" t="n"/>
    </row>
    <row r="64">
      <c r="B64" s="138" t="n"/>
      <c r="C64" s="679" t="n"/>
      <c r="D64" s="679" t="n"/>
      <c r="E64" s="680" t="n"/>
    </row>
    <row r="65">
      <c r="B65" s="138" t="n"/>
      <c r="C65" s="679" t="n"/>
      <c r="D65" s="679" t="n"/>
      <c r="E65" s="680" t="n"/>
    </row>
    <row r="66">
      <c r="B66" s="138" t="n"/>
      <c r="C66" s="679" t="n"/>
      <c r="D66" s="679" t="n"/>
      <c r="E66" s="680" t="n"/>
    </row>
    <row r="67">
      <c r="B67" s="138" t="n"/>
      <c r="C67" s="679" t="n"/>
      <c r="D67" s="679" t="n"/>
      <c r="E67" s="680" t="n"/>
    </row>
    <row r="68">
      <c r="B68" s="138" t="n"/>
      <c r="C68" s="679" t="n"/>
      <c r="D68" s="679" t="n"/>
      <c r="E68" s="680" t="n"/>
    </row>
    <row r="69">
      <c r="B69" s="138" t="n"/>
      <c r="C69" s="679" t="n"/>
      <c r="D69" s="679" t="n"/>
      <c r="E69" s="680" t="n"/>
    </row>
    <row r="70">
      <c r="B70" s="138" t="n"/>
      <c r="C70" s="679" t="n"/>
      <c r="D70" s="679" t="n"/>
      <c r="E70" s="680" t="n"/>
    </row>
    <row r="71">
      <c r="B71" s="138" t="n"/>
      <c r="C71" s="679" t="n"/>
      <c r="D71" s="679" t="n"/>
      <c r="E71" s="680" t="n"/>
    </row>
    <row r="72">
      <c r="B72" s="138" t="n"/>
      <c r="C72" s="679" t="n"/>
      <c r="D72" s="679" t="n"/>
      <c r="E72" s="680" t="n"/>
    </row>
    <row r="73">
      <c r="B73" s="138" t="n"/>
      <c r="C73" s="679" t="n"/>
      <c r="D73" s="679" t="n"/>
      <c r="E73" s="680" t="n"/>
    </row>
    <row r="74">
      <c r="B74" s="138" t="n"/>
      <c r="C74" s="679" t="n"/>
      <c r="D74" s="679" t="n"/>
      <c r="E74" s="680" t="n"/>
    </row>
    <row r="75">
      <c r="B75" s="138" t="n"/>
      <c r="C75" s="679" t="n"/>
      <c r="D75" s="679" t="n"/>
      <c r="E75" s="680" t="n"/>
    </row>
    <row r="76">
      <c r="B76" s="138" t="n"/>
      <c r="C76" s="679" t="n"/>
      <c r="D76" s="679" t="n"/>
      <c r="E76" s="680" t="n"/>
    </row>
    <row r="77">
      <c r="B77" s="138" t="n"/>
      <c r="C77" s="679" t="n"/>
      <c r="D77" s="679" t="n"/>
      <c r="E77" s="680" t="n"/>
    </row>
    <row r="78">
      <c r="B78" s="138" t="n"/>
      <c r="C78" s="679" t="n"/>
      <c r="D78" s="679" t="n"/>
      <c r="E78" s="680" t="n"/>
    </row>
    <row r="79">
      <c r="B79" s="138" t="n"/>
      <c r="C79" s="679" t="n"/>
      <c r="D79" s="679" t="n"/>
      <c r="E79" s="680" t="n"/>
    </row>
    <row r="80">
      <c r="B80" s="138" t="n"/>
      <c r="C80" s="679" t="n"/>
      <c r="D80" s="679" t="n"/>
      <c r="E80" s="680" t="n"/>
    </row>
    <row r="81">
      <c r="B81" s="138" t="n"/>
      <c r="C81" s="679" t="n"/>
      <c r="D81" s="679" t="n"/>
      <c r="E81" s="680" t="n"/>
    </row>
    <row r="82">
      <c r="B82" s="138" t="n"/>
      <c r="C82" s="679" t="n"/>
      <c r="D82" s="679" t="n"/>
      <c r="E82" s="680" t="n"/>
    </row>
    <row r="83">
      <c r="B83" s="138" t="n"/>
      <c r="C83" s="679" t="n"/>
      <c r="D83" s="679" t="n"/>
      <c r="E83" s="680" t="n"/>
    </row>
    <row r="84">
      <c r="B84" s="138" t="n"/>
      <c r="C84" s="679" t="n"/>
      <c r="D84" s="679" t="n"/>
      <c r="E84" s="680" t="n"/>
    </row>
    <row r="85">
      <c r="B85" s="138" t="n"/>
      <c r="C85" s="679" t="n"/>
      <c r="D85" s="679" t="n"/>
      <c r="E85" s="680" t="n"/>
    </row>
    <row r="86">
      <c r="B86" s="138" t="n"/>
      <c r="C86" s="679" t="n"/>
      <c r="D86" s="679" t="n"/>
      <c r="E86" s="680" t="n"/>
    </row>
    <row r="87">
      <c r="B87" s="138" t="n"/>
      <c r="C87" s="679" t="n"/>
      <c r="D87" s="679" t="n"/>
      <c r="E87" s="680" t="n"/>
    </row>
    <row r="88">
      <c r="B88" s="138" t="n"/>
      <c r="C88" s="679" t="n"/>
      <c r="D88" s="679" t="n"/>
      <c r="E88" s="680" t="n"/>
    </row>
    <row r="89">
      <c r="B89" s="138" t="n"/>
      <c r="C89" s="679" t="n"/>
      <c r="D89" s="679" t="n"/>
      <c r="E89" s="680" t="n"/>
    </row>
    <row r="90">
      <c r="B90" s="138" t="n"/>
      <c r="C90" s="679" t="n"/>
      <c r="D90" s="679" t="n"/>
      <c r="E90" s="680" t="n"/>
    </row>
    <row r="91" ht="15" customHeight="1" s="533" thickBot="1">
      <c r="B91" s="142" t="n"/>
      <c r="C91" s="681" t="n"/>
      <c r="D91" s="681" t="n"/>
      <c r="E91" s="681" t="n"/>
    </row>
    <row r="92" ht="15" customHeight="1" s="533" thickTop="1">
      <c r="B92" s="138" t="n"/>
      <c r="C92" s="669" t="n"/>
      <c r="D92" s="679" t="n"/>
      <c r="E92" s="584" t="n"/>
    </row>
    <row r="93">
      <c r="B93" s="138" t="n"/>
      <c r="C93" s="137" t="n"/>
      <c r="D93" s="137" t="n"/>
      <c r="E93" s="584" t="n"/>
      <c r="F93" s="679" t="n"/>
    </row>
    <row r="94">
      <c r="B94" s="138" t="n"/>
      <c r="C94" s="137" t="n"/>
      <c r="D94" s="137" t="n"/>
      <c r="E94" s="584" t="n"/>
      <c r="F94" s="679" t="n"/>
    </row>
    <row r="95">
      <c r="B95" s="138" t="n"/>
      <c r="C95" s="137" t="n"/>
      <c r="D95" s="137" t="n"/>
      <c r="E95" s="584" t="n"/>
      <c r="F95" s="679" t="n"/>
    </row>
    <row r="96">
      <c r="B96" s="138" t="n"/>
      <c r="C96" s="137" t="n"/>
      <c r="D96" s="137" t="n"/>
      <c r="E96" s="584" t="n"/>
      <c r="F96" s="679" t="n"/>
    </row>
    <row r="97">
      <c r="B97" s="138" t="n"/>
      <c r="C97" s="137" t="n"/>
      <c r="D97" s="137" t="n"/>
      <c r="E97" s="584" t="n"/>
      <c r="F97" s="679" t="n"/>
    </row>
    <row r="98">
      <c r="B98" s="138" t="n"/>
      <c r="C98" s="137" t="n"/>
      <c r="D98" s="137" t="n"/>
      <c r="E98" s="584" t="n"/>
      <c r="F98" s="679" t="n"/>
    </row>
    <row r="99">
      <c r="B99" s="138" t="n"/>
      <c r="C99" s="137" t="n"/>
      <c r="D99" s="137" t="n"/>
      <c r="E99" s="584" t="n"/>
      <c r="F99" s="679" t="n"/>
    </row>
    <row r="100">
      <c r="B100" s="138" t="n"/>
      <c r="C100" s="137" t="n"/>
      <c r="D100" s="137" t="n"/>
      <c r="E100" s="584" t="n"/>
      <c r="F100" s="679" t="n"/>
    </row>
    <row r="101">
      <c r="B101" s="138" t="n"/>
      <c r="C101" s="137" t="n"/>
      <c r="D101" s="137" t="n"/>
      <c r="E101" s="584" t="n"/>
      <c r="F101" s="679" t="n"/>
    </row>
    <row r="102">
      <c r="B102" s="138" t="n"/>
      <c r="C102" s="137" t="n"/>
      <c r="D102" s="137" t="n"/>
      <c r="E102" s="584" t="n"/>
      <c r="F102" s="679" t="n"/>
    </row>
    <row r="103">
      <c r="B103" s="138" t="n"/>
      <c r="C103" s="137" t="n"/>
      <c r="D103" s="137" t="n"/>
      <c r="E103" s="584" t="n"/>
      <c r="F103" s="679" t="n"/>
    </row>
    <row r="104">
      <c r="B104" s="138" t="n"/>
      <c r="C104" s="137" t="n"/>
      <c r="D104" s="137" t="n"/>
      <c r="E104" s="584" t="n"/>
      <c r="F104" s="679" t="n"/>
    </row>
    <row r="105">
      <c r="B105" s="138" t="n"/>
      <c r="C105" s="137" t="n"/>
      <c r="D105" s="137" t="n"/>
      <c r="E105" s="584" t="n"/>
      <c r="F105" s="679" t="n"/>
    </row>
    <row r="106">
      <c r="B106" s="138" t="n"/>
      <c r="C106" s="137" t="n"/>
      <c r="D106" s="137" t="n"/>
      <c r="E106" s="584" t="n"/>
      <c r="F106" s="679" t="n"/>
    </row>
    <row r="107">
      <c r="B107" s="138" t="n"/>
      <c r="C107" s="137" t="n"/>
      <c r="D107" s="137" t="n"/>
      <c r="E107" s="584" t="n"/>
      <c r="F107" s="679" t="n"/>
    </row>
    <row r="108">
      <c r="B108" s="138" t="n"/>
      <c r="C108" s="137" t="n"/>
      <c r="D108" s="137" t="n"/>
      <c r="E108" s="584" t="n"/>
      <c r="F108" s="679" t="n"/>
    </row>
    <row r="109">
      <c r="B109" s="138" t="n"/>
      <c r="C109" s="137" t="n"/>
      <c r="D109" s="137" t="n"/>
      <c r="E109" s="584" t="n"/>
      <c r="F109" s="679" t="n"/>
    </row>
    <row r="110">
      <c r="B110" s="138" t="n"/>
      <c r="C110" s="137" t="n"/>
      <c r="D110" s="137" t="n"/>
      <c r="E110" s="584" t="n"/>
      <c r="F110" s="679" t="n"/>
    </row>
    <row r="111">
      <c r="B111" s="138" t="n"/>
      <c r="C111" s="137" t="n"/>
      <c r="D111" s="137" t="n"/>
      <c r="E111" s="584" t="n"/>
      <c r="F111" s="679" t="n"/>
    </row>
    <row r="112">
      <c r="B112" s="138" t="n"/>
      <c r="C112" s="137" t="n"/>
      <c r="D112" s="137" t="n"/>
      <c r="E112" s="584" t="n"/>
      <c r="F112" s="679" t="n"/>
    </row>
    <row r="113">
      <c r="B113" s="138" t="n"/>
      <c r="C113" s="137" t="n"/>
      <c r="D113" s="137" t="n"/>
      <c r="E113" s="584" t="n"/>
      <c r="F113" s="679" t="n"/>
    </row>
    <row r="114">
      <c r="B114" s="138" t="n"/>
      <c r="C114" s="137" t="n"/>
      <c r="D114" s="137" t="n"/>
      <c r="E114" s="584" t="n"/>
      <c r="F114" s="679" t="n"/>
    </row>
    <row r="115">
      <c r="B115" s="138" t="n"/>
      <c r="C115" s="137" t="n"/>
      <c r="D115" s="137" t="n"/>
      <c r="E115" s="584" t="n"/>
      <c r="F115" s="679" t="n"/>
    </row>
    <row r="116">
      <c r="B116" s="138" t="n"/>
      <c r="C116" s="137" t="n"/>
      <c r="D116" s="137" t="n"/>
      <c r="E116" s="584" t="n"/>
      <c r="F116" s="679" t="n"/>
    </row>
    <row r="117">
      <c r="B117" s="138" t="n"/>
      <c r="C117" s="137" t="n"/>
      <c r="D117" s="137" t="n"/>
      <c r="E117" s="584" t="n"/>
      <c r="F117" s="679" t="n"/>
    </row>
    <row r="118">
      <c r="B118" s="138" t="n"/>
      <c r="C118" s="137" t="n"/>
      <c r="D118" s="137" t="n"/>
      <c r="E118" s="584" t="n"/>
      <c r="F118" s="679" t="n"/>
    </row>
    <row r="119">
      <c r="B119" s="138" t="n"/>
      <c r="C119" s="137" t="n"/>
      <c r="D119" s="137" t="n"/>
      <c r="E119" s="584" t="n"/>
      <c r="F119" s="679" t="n"/>
    </row>
    <row r="120">
      <c r="B120" s="138" t="n"/>
      <c r="C120" s="137" t="n"/>
      <c r="D120" s="137" t="n"/>
      <c r="E120" s="584" t="n"/>
      <c r="F120" s="679" t="n"/>
    </row>
    <row r="121">
      <c r="B121" s="138" t="n"/>
      <c r="C121" s="137" t="n"/>
      <c r="D121" s="137" t="n"/>
      <c r="E121" s="584" t="n"/>
      <c r="F121" s="679" t="n"/>
    </row>
    <row r="122">
      <c r="B122" s="138" t="n"/>
      <c r="C122" s="137" t="n"/>
      <c r="D122" s="137" t="n"/>
      <c r="E122" s="584" t="n"/>
      <c r="F122" s="679" t="n"/>
    </row>
    <row r="123">
      <c r="B123" s="138" t="n"/>
      <c r="C123" s="137" t="n"/>
      <c r="D123" s="137" t="n"/>
      <c r="E123" s="584" t="n"/>
      <c r="F123" s="679" t="n"/>
    </row>
    <row r="124">
      <c r="B124" s="138" t="n"/>
      <c r="C124" s="137" t="n"/>
      <c r="D124" s="137" t="n"/>
      <c r="E124" s="584" t="n"/>
      <c r="F124" s="679" t="n"/>
    </row>
    <row r="125">
      <c r="B125" s="138" t="n"/>
      <c r="C125" s="137" t="n"/>
      <c r="D125" s="137" t="n"/>
      <c r="E125" s="584" t="n"/>
      <c r="F125" s="679" t="n"/>
    </row>
    <row r="126">
      <c r="B126" s="138" t="n"/>
      <c r="C126" s="137" t="n"/>
      <c r="D126" s="137" t="n"/>
      <c r="E126" s="584" t="n"/>
      <c r="F126" s="679" t="n"/>
    </row>
    <row r="127">
      <c r="B127" s="138" t="n"/>
      <c r="C127" s="137" t="n"/>
      <c r="D127" s="137" t="n"/>
      <c r="E127" s="584" t="n"/>
      <c r="F127" s="679" t="n"/>
    </row>
    <row r="128">
      <c r="B128" s="138" t="n"/>
      <c r="C128" s="137" t="n"/>
      <c r="D128" s="137" t="n"/>
      <c r="E128" s="584" t="n"/>
      <c r="F128" s="679" t="n"/>
    </row>
    <row r="129">
      <c r="B129" s="138" t="n"/>
      <c r="C129" s="137" t="n"/>
      <c r="D129" s="137" t="n"/>
      <c r="E129" s="584" t="n"/>
      <c r="F129" s="679" t="n"/>
    </row>
    <row r="130">
      <c r="B130" s="138" t="n"/>
      <c r="C130" s="137" t="n"/>
      <c r="D130" s="137" t="n"/>
      <c r="E130" s="584" t="n"/>
      <c r="F130" s="679" t="n"/>
    </row>
    <row r="131">
      <c r="B131" s="138" t="n"/>
      <c r="C131" s="137" t="n"/>
      <c r="D131" s="137" t="n"/>
      <c r="E131" s="584" t="n"/>
      <c r="F131" s="679" t="n"/>
    </row>
    <row r="132">
      <c r="B132" s="138" t="n"/>
      <c r="C132" s="137" t="n"/>
      <c r="D132" s="137" t="n"/>
      <c r="E132" s="584" t="n"/>
      <c r="F132" s="679" t="n"/>
    </row>
    <row r="133">
      <c r="B133" s="138" t="n"/>
      <c r="C133" s="137" t="n"/>
      <c r="D133" s="137" t="n"/>
      <c r="E133" s="584" t="n"/>
      <c r="F133" s="679" t="n"/>
    </row>
    <row r="134">
      <c r="B134" s="138" t="n"/>
      <c r="C134" s="137" t="n"/>
      <c r="D134" s="137" t="n"/>
      <c r="E134" s="584" t="n"/>
      <c r="F134" s="679" t="n"/>
    </row>
    <row r="135">
      <c r="B135" s="138" t="n"/>
      <c r="C135" s="137" t="n"/>
      <c r="D135" s="137" t="n"/>
      <c r="E135" s="584" t="n"/>
      <c r="F135" s="679" t="n"/>
    </row>
    <row r="136">
      <c r="B136" s="138" t="n"/>
      <c r="C136" s="137" t="n"/>
      <c r="D136" s="137" t="n"/>
      <c r="E136" s="584" t="n"/>
      <c r="F136" s="679" t="n"/>
    </row>
    <row r="137">
      <c r="B137" s="138" t="n"/>
      <c r="C137" s="137" t="n"/>
      <c r="D137" s="137" t="n"/>
      <c r="E137" s="584" t="n"/>
      <c r="F137" s="679" t="n"/>
    </row>
    <row r="138">
      <c r="B138" s="138" t="n"/>
      <c r="C138" s="137" t="n"/>
      <c r="D138" s="137" t="n"/>
      <c r="E138" s="584" t="n"/>
      <c r="F138" s="679" t="n"/>
    </row>
    <row r="139">
      <c r="B139" s="138" t="n"/>
      <c r="C139" s="137" t="n"/>
      <c r="D139" s="137" t="n"/>
      <c r="E139" s="584" t="n"/>
      <c r="F139" s="679" t="n"/>
    </row>
    <row r="140">
      <c r="B140" s="138" t="n"/>
      <c r="C140" s="137" t="n"/>
      <c r="D140" s="137" t="n"/>
      <c r="E140" s="584" t="n"/>
      <c r="F140" s="679" t="n"/>
    </row>
    <row r="141">
      <c r="B141" s="138" t="n"/>
      <c r="C141" s="137" t="n"/>
      <c r="D141" s="137" t="n"/>
      <c r="E141" s="584" t="n"/>
      <c r="F141" s="679" t="n"/>
    </row>
    <row r="142">
      <c r="B142" s="138" t="n"/>
      <c r="C142" s="137" t="n"/>
      <c r="D142" s="137" t="n"/>
      <c r="E142" s="584" t="n"/>
      <c r="F142" s="679" t="n"/>
    </row>
    <row r="143">
      <c r="B143" s="138" t="n"/>
      <c r="C143" s="137" t="n"/>
      <c r="D143" s="137" t="n"/>
      <c r="E143" s="584" t="n"/>
      <c r="F143" s="679" t="n"/>
    </row>
    <row r="144">
      <c r="B144" s="138" t="n"/>
      <c r="C144" s="137" t="n"/>
      <c r="D144" s="137" t="n"/>
      <c r="E144" s="584" t="n"/>
      <c r="F144" s="679" t="n"/>
    </row>
    <row r="145">
      <c r="B145" s="138" t="n"/>
      <c r="C145" s="137" t="n"/>
      <c r="D145" s="137" t="n"/>
      <c r="E145" s="584" t="n"/>
      <c r="F145" s="679" t="n"/>
    </row>
    <row r="146">
      <c r="B146" s="138" t="n"/>
      <c r="C146" s="137" t="n"/>
      <c r="D146" s="137" t="n"/>
      <c r="E146" s="584" t="n"/>
      <c r="F146" s="679" t="n"/>
    </row>
    <row r="147">
      <c r="B147" s="138" t="n"/>
      <c r="C147" s="137" t="n"/>
      <c r="D147" s="137" t="n"/>
      <c r="E147" s="584" t="n"/>
      <c r="F147" s="679" t="n"/>
    </row>
    <row r="148">
      <c r="B148" s="138" t="n"/>
      <c r="C148" s="137" t="n"/>
      <c r="D148" s="137" t="n"/>
      <c r="E148" s="584" t="n"/>
      <c r="F148" s="679" t="n"/>
    </row>
    <row r="149">
      <c r="B149" s="138" t="n"/>
      <c r="C149" s="137" t="n"/>
      <c r="D149" s="137" t="n"/>
      <c r="E149" s="584" t="n"/>
      <c r="F149" s="679" t="n"/>
    </row>
    <row r="150">
      <c r="B150" s="138" t="n"/>
      <c r="C150" s="137" t="n"/>
      <c r="D150" s="137" t="n"/>
      <c r="E150" s="584" t="n"/>
      <c r="F150" s="679" t="n"/>
    </row>
    <row r="151">
      <c r="B151" s="138" t="n"/>
      <c r="C151" s="137" t="n"/>
      <c r="D151" s="137" t="n"/>
      <c r="E151" s="584" t="n"/>
      <c r="F151" s="679" t="n"/>
    </row>
    <row r="152">
      <c r="B152" s="138" t="n"/>
      <c r="C152" s="137" t="n"/>
      <c r="D152" s="137" t="n"/>
      <c r="E152" s="584" t="n"/>
      <c r="F152" s="679" t="n"/>
    </row>
    <row r="153">
      <c r="B153" s="138" t="n"/>
      <c r="C153" s="137" t="n"/>
      <c r="D153" s="137" t="n"/>
      <c r="E153" s="584" t="n"/>
      <c r="F153" s="679" t="n"/>
    </row>
    <row r="154">
      <c r="B154" s="138" t="n"/>
      <c r="C154" s="137" t="n"/>
      <c r="D154" s="137" t="n"/>
      <c r="E154" s="584" t="n"/>
      <c r="F154" s="679" t="n"/>
    </row>
    <row r="155">
      <c r="B155" s="138" t="n"/>
      <c r="C155" s="137" t="n"/>
      <c r="D155" s="137" t="n"/>
      <c r="E155" s="584" t="n"/>
      <c r="F155" s="679" t="n"/>
    </row>
    <row r="156">
      <c r="B156" s="138" t="n"/>
      <c r="C156" s="137" t="n"/>
      <c r="D156" s="137" t="n"/>
      <c r="E156" s="584" t="n"/>
      <c r="F156" s="679" t="n"/>
    </row>
    <row r="157">
      <c r="B157" s="138" t="n"/>
      <c r="C157" s="137" t="n"/>
      <c r="D157" s="137" t="n"/>
      <c r="E157" s="584" t="n"/>
      <c r="F157" s="679" t="n"/>
    </row>
    <row r="158">
      <c r="B158" s="138" t="n"/>
      <c r="C158" s="137" t="n"/>
      <c r="D158" s="137" t="n"/>
      <c r="E158" s="584" t="n"/>
      <c r="F158" s="679" t="n"/>
    </row>
    <row r="159">
      <c r="B159" s="138" t="n"/>
      <c r="C159" s="137" t="n"/>
      <c r="D159" s="137" t="n"/>
      <c r="E159" s="584" t="n"/>
      <c r="F159" s="679" t="n"/>
    </row>
    <row r="160">
      <c r="B160" s="138" t="n"/>
      <c r="C160" s="137" t="n"/>
      <c r="D160" s="137" t="n"/>
      <c r="E160" s="584" t="n"/>
      <c r="F160" s="679" t="n"/>
    </row>
    <row r="161">
      <c r="B161" s="138" t="n"/>
      <c r="C161" s="137" t="n"/>
      <c r="D161" s="137" t="n"/>
      <c r="E161" s="584" t="n"/>
      <c r="F161" s="679" t="n"/>
    </row>
    <row r="162">
      <c r="B162" s="138" t="n"/>
      <c r="C162" s="137" t="n"/>
      <c r="D162" s="137" t="n"/>
      <c r="E162" s="584" t="n"/>
      <c r="F162" s="679" t="n"/>
    </row>
    <row r="163">
      <c r="B163" s="138" t="n"/>
      <c r="C163" s="137" t="n"/>
      <c r="D163" s="137" t="n"/>
      <c r="E163" s="584" t="n"/>
      <c r="F163" s="679" t="n"/>
    </row>
    <row r="164">
      <c r="B164" s="138" t="n"/>
      <c r="C164" s="137" t="n"/>
      <c r="D164" s="137" t="n"/>
      <c r="E164" s="584" t="n"/>
      <c r="F164" s="679" t="n"/>
    </row>
    <row r="165">
      <c r="B165" s="138" t="n"/>
      <c r="C165" s="137" t="n"/>
      <c r="D165" s="137" t="n"/>
      <c r="E165" s="584" t="n"/>
      <c r="F165" s="679" t="n"/>
    </row>
    <row r="166">
      <c r="B166" s="138" t="n"/>
      <c r="C166" s="137" t="n"/>
      <c r="D166" s="137" t="n"/>
      <c r="E166" s="584" t="n"/>
      <c r="F166" s="679" t="n"/>
    </row>
    <row r="167">
      <c r="B167" s="138" t="n"/>
      <c r="C167" s="137" t="n"/>
      <c r="D167" s="137" t="n"/>
      <c r="E167" s="584" t="n"/>
      <c r="F167" s="679" t="n"/>
    </row>
    <row r="168">
      <c r="B168" s="138" t="n"/>
      <c r="C168" s="137" t="n"/>
      <c r="D168" s="137" t="n"/>
      <c r="E168" s="584" t="n"/>
      <c r="F168" s="679" t="n"/>
    </row>
    <row r="169">
      <c r="B169" s="138" t="n"/>
      <c r="C169" s="137" t="n"/>
      <c r="D169" s="137" t="n"/>
      <c r="E169" s="584" t="n"/>
      <c r="F169" s="679" t="n"/>
    </row>
    <row r="170">
      <c r="B170" s="138" t="n"/>
      <c r="C170" s="137" t="n"/>
      <c r="D170" s="137" t="n"/>
      <c r="E170" s="584" t="n"/>
      <c r="F170" s="679" t="n"/>
    </row>
    <row r="171">
      <c r="B171" s="138" t="n"/>
      <c r="C171" s="137" t="n"/>
      <c r="D171" s="137" t="n"/>
      <c r="E171" s="584" t="n"/>
      <c r="F171" s="679" t="n"/>
    </row>
    <row r="172">
      <c r="B172" s="138" t="n"/>
      <c r="C172" s="137" t="n"/>
      <c r="D172" s="137" t="n"/>
      <c r="E172" s="584" t="n"/>
      <c r="F172" s="679" t="n"/>
    </row>
    <row r="173">
      <c r="B173" s="138" t="n"/>
      <c r="C173" s="137" t="n"/>
      <c r="D173" s="137" t="n"/>
      <c r="E173" s="584" t="n"/>
      <c r="F173" s="679" t="n"/>
    </row>
    <row r="174">
      <c r="B174" s="138" t="n"/>
      <c r="C174" s="137" t="n"/>
      <c r="D174" s="137" t="n"/>
      <c r="E174" s="584" t="n"/>
      <c r="F174" s="679" t="n"/>
    </row>
    <row r="175">
      <c r="B175" s="138" t="n"/>
      <c r="C175" s="137" t="n"/>
      <c r="D175" s="137" t="n"/>
      <c r="E175" s="584" t="n"/>
      <c r="F175" s="679" t="n"/>
    </row>
    <row r="176">
      <c r="B176" s="138" t="n"/>
      <c r="C176" s="137" t="n"/>
      <c r="D176" s="137" t="n"/>
      <c r="E176" s="584" t="n"/>
      <c r="F176" s="679" t="n"/>
    </row>
    <row r="177">
      <c r="B177" s="138" t="n"/>
      <c r="C177" s="137" t="n"/>
      <c r="D177" s="137" t="n"/>
      <c r="E177" s="584" t="n"/>
      <c r="F177" s="679" t="n"/>
    </row>
    <row r="178">
      <c r="B178" s="138" t="n"/>
      <c r="C178" s="137" t="n"/>
      <c r="D178" s="137" t="n"/>
      <c r="E178" s="584" t="n"/>
      <c r="F178" s="679" t="n"/>
    </row>
    <row r="179">
      <c r="B179" s="138" t="n"/>
      <c r="C179" s="137" t="n"/>
      <c r="D179" s="137" t="n"/>
      <c r="E179" s="584" t="n"/>
      <c r="F179" s="679" t="n"/>
    </row>
    <row r="180" ht="15" customHeight="1" s="533" thickBot="1">
      <c r="B180" s="138" t="n"/>
      <c r="C180" s="137" t="n"/>
      <c r="D180" s="137" t="n"/>
      <c r="E180" s="584" t="n"/>
      <c r="F180" s="679" t="n"/>
    </row>
    <row r="181" ht="15" customHeight="1" s="533" thickBot="1">
      <c r="B181" s="136" t="inlineStr">
        <is>
          <t>Totales</t>
        </is>
      </c>
      <c r="C181" s="139" t="n"/>
      <c r="D181" s="137" t="n"/>
      <c r="E181" s="682" t="n">
        <v>0</v>
      </c>
      <c r="F181" s="683" t="n">
        <v>0</v>
      </c>
    </row>
    <row r="182">
      <c r="F182" s="57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C2:E23"/>
  <sheetViews>
    <sheetView showGridLines="0" workbookViewId="0">
      <selection activeCell="C4" sqref="C4"/>
    </sheetView>
  </sheetViews>
  <sheetFormatPr baseColWidth="10" defaultRowHeight="14.4"/>
  <cols>
    <col width="46.109375" customWidth="1" style="533" min="3" max="3"/>
    <col width="15.109375" customWidth="1" style="533" min="4" max="4"/>
    <col width="14.88671875" customWidth="1" style="533" min="5" max="5"/>
  </cols>
  <sheetData>
    <row r="2">
      <c r="C2" s="473" t="inlineStr">
        <is>
          <t>PROVISION EMPLEADOS</t>
        </is>
      </c>
    </row>
    <row r="3">
      <c r="C3" s="457" t="inlineStr">
        <is>
          <t>#N18.1</t>
        </is>
      </c>
    </row>
    <row r="4">
      <c r="D4" s="538" t="n"/>
      <c r="E4" s="538" t="n"/>
    </row>
    <row r="5">
      <c r="C5" s="17" t="n"/>
      <c r="D5" s="72" t="inlineStr">
        <is>
          <t>30.06.2026</t>
        </is>
      </c>
      <c r="E5" s="72" t="inlineStr">
        <is>
          <t>31.12.2025</t>
        </is>
      </c>
    </row>
    <row r="6">
      <c r="C6" s="17" t="n"/>
      <c r="D6" s="14" t="inlineStr">
        <is>
          <t>M$</t>
        </is>
      </c>
      <c r="E6" s="14" t="inlineStr">
        <is>
          <t>M$</t>
        </is>
      </c>
    </row>
    <row r="7" ht="15" customHeight="1" s="533" thickBot="1">
      <c r="C7" s="233" t="inlineStr">
        <is>
          <t>Provisión Vacaciones</t>
        </is>
      </c>
      <c r="D7" s="571" t="n"/>
      <c r="E7" s="684" t="n"/>
    </row>
    <row r="8" ht="15" customHeight="1" s="533" thickBot="1">
      <c r="C8" s="233" t="inlineStr">
        <is>
          <t>Total</t>
        </is>
      </c>
      <c r="D8" s="572">
        <f>+D7</f>
        <v/>
      </c>
      <c r="E8" s="572">
        <f>+E7</f>
        <v/>
      </c>
    </row>
    <row r="10">
      <c r="C10" s="473" t="inlineStr">
        <is>
          <t>PROVISIONES POR PASIVOS CON CONTRATOS CON CLIENTES - LARGO PLAZO</t>
        </is>
      </c>
    </row>
    <row r="11">
      <c r="C11" s="457" t="inlineStr">
        <is>
          <t>#N18.2</t>
        </is>
      </c>
    </row>
    <row r="12">
      <c r="C12" s="17" t="n"/>
      <c r="D12" s="72" t="inlineStr">
        <is>
          <t>30.06.2026</t>
        </is>
      </c>
      <c r="E12" s="72" t="inlineStr">
        <is>
          <t>31.12.2025</t>
        </is>
      </c>
    </row>
    <row r="13">
      <c r="C13" s="17" t="n"/>
      <c r="D13" s="14" t="inlineStr">
        <is>
          <t>M$</t>
        </is>
      </c>
      <c r="E13" s="14" t="inlineStr">
        <is>
          <t>M$</t>
        </is>
      </c>
    </row>
    <row r="14" ht="15" customHeight="1" s="533" thickBot="1">
      <c r="C14" s="431" t="inlineStr">
        <is>
          <t>Ingresos percibidos por adelantado</t>
        </is>
      </c>
      <c r="D14" s="571" t="n"/>
      <c r="E14" s="684" t="n"/>
    </row>
    <row r="15" ht="15" customHeight="1" s="533" thickBot="1">
      <c r="C15" s="233" t="inlineStr">
        <is>
          <t>Total</t>
        </is>
      </c>
      <c r="D15" s="572">
        <f>+D14</f>
        <v/>
      </c>
      <c r="E15" s="572">
        <f>+E14</f>
        <v/>
      </c>
    </row>
    <row r="17">
      <c r="C17" s="5" t="inlineStr">
        <is>
          <t>Movimientos del periodo</t>
        </is>
      </c>
    </row>
    <row r="18">
      <c r="C18" s="457" t="inlineStr">
        <is>
          <t>#N18.3</t>
        </is>
      </c>
      <c r="D18" s="72" t="inlineStr">
        <is>
          <t>30.06.2026</t>
        </is>
      </c>
      <c r="E18" s="72" t="inlineStr">
        <is>
          <t>31.12.2025</t>
        </is>
      </c>
    </row>
    <row r="19">
      <c r="C19" s="17" t="n"/>
      <c r="D19" s="14" t="inlineStr">
        <is>
          <t>M$</t>
        </is>
      </c>
      <c r="E19" s="14" t="inlineStr">
        <is>
          <t>M$</t>
        </is>
      </c>
    </row>
    <row r="20">
      <c r="C20" s="17" t="inlineStr">
        <is>
          <t>Saldo inicial</t>
        </is>
      </c>
      <c r="D20" s="685">
        <f>+E23</f>
        <v/>
      </c>
      <c r="E20" s="14" t="n"/>
    </row>
    <row r="21">
      <c r="C21" s="448" t="inlineStr">
        <is>
          <t>+ pagos anticipados recibidos</t>
        </is>
      </c>
      <c r="D21" s="14" t="n"/>
      <c r="E21" s="14" t="n"/>
    </row>
    <row r="22" ht="15" customHeight="1" s="533" thickBot="1">
      <c r="C22" s="449" t="inlineStr">
        <is>
          <t>- Ingresois reconocidos de pagos del  periodo</t>
        </is>
      </c>
      <c r="D22" s="571" t="n"/>
      <c r="E22" s="684" t="n"/>
    </row>
    <row r="23" ht="15" customHeight="1" s="533" thickBot="1">
      <c r="C23" s="233" t="inlineStr">
        <is>
          <t>Saldo final</t>
        </is>
      </c>
      <c r="D23" s="572">
        <f>+D22</f>
        <v/>
      </c>
      <c r="E23" s="572">
        <f>+E22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B3:K91"/>
  <sheetViews>
    <sheetView showGridLines="0" topLeftCell="B1" workbookViewId="0">
      <selection activeCell="D89" sqref="D89"/>
    </sheetView>
  </sheetViews>
  <sheetFormatPr baseColWidth="10" defaultRowHeight="14.4"/>
  <cols>
    <col width="46" customWidth="1" style="533" min="3" max="3"/>
  </cols>
  <sheetData>
    <row r="3">
      <c r="C3" s="432" t="inlineStr">
        <is>
          <t xml:space="preserve"> NOTA DE IMPUESTOS DIFERIDOS</t>
        </is>
      </c>
    </row>
    <row r="4">
      <c r="C4" s="457" t="inlineStr">
        <is>
          <t>#N13.1</t>
        </is>
      </c>
    </row>
    <row r="5" ht="33.6" customHeight="1" s="533">
      <c r="B5" s="249" t="inlineStr">
        <is>
          <t>1)</t>
        </is>
      </c>
      <c r="C5" s="551" t="inlineStr">
        <is>
          <t>Los saldos acumulados netos de las diferencias temporarias originaron activos y pasivos por impuestos diferidos, cuyo detalle es el siguiente:</t>
        </is>
      </c>
      <c r="D5" s="552" t="n"/>
      <c r="E5" s="552" t="n"/>
      <c r="F5" s="552" t="n"/>
      <c r="G5" s="552" t="n"/>
    </row>
    <row r="6" ht="15.6" customHeight="1" s="533">
      <c r="B6" s="250" t="n"/>
      <c r="C6" s="151" t="n"/>
    </row>
    <row r="7" ht="15.6" customHeight="1" s="533">
      <c r="B7" s="250" t="n"/>
      <c r="C7" s="32" t="n"/>
      <c r="D7" s="433" t="n">
        <v>46203</v>
      </c>
      <c r="E7" s="227" t="n"/>
      <c r="F7" s="227" t="n">
        <v>46022</v>
      </c>
      <c r="G7" s="227" t="n"/>
      <c r="H7" s="227" t="n"/>
      <c r="I7" s="227" t="n"/>
      <c r="J7" s="227" t="n"/>
      <c r="K7" s="559" t="n"/>
    </row>
    <row r="8" ht="15.6" customHeight="1" s="533">
      <c r="B8" s="250" t="n"/>
      <c r="C8" s="32" t="n"/>
      <c r="D8" s="31" t="inlineStr">
        <is>
          <t>Activos</t>
        </is>
      </c>
      <c r="E8" s="98" t="inlineStr">
        <is>
          <t>Pasivos</t>
        </is>
      </c>
      <c r="F8" s="31" t="inlineStr">
        <is>
          <t>Activos</t>
        </is>
      </c>
      <c r="G8" s="98" t="inlineStr">
        <is>
          <t>Pasivos</t>
        </is>
      </c>
      <c r="H8" s="98" t="n"/>
      <c r="I8" s="98" t="n"/>
      <c r="K8" s="559" t="n"/>
    </row>
    <row r="9" ht="15.6" customHeight="1" s="533">
      <c r="B9" s="250" t="n"/>
      <c r="C9" s="32" t="n"/>
      <c r="D9" s="29" t="inlineStr">
        <is>
          <t>M$</t>
        </is>
      </c>
      <c r="E9" s="559" t="inlineStr">
        <is>
          <t>M$</t>
        </is>
      </c>
      <c r="F9" s="29" t="inlineStr">
        <is>
          <t>M$</t>
        </is>
      </c>
      <c r="G9" s="559" t="inlineStr">
        <is>
          <t>M$</t>
        </is>
      </c>
      <c r="H9" s="559" t="n"/>
      <c r="I9" s="559" t="n"/>
      <c r="K9" s="559" t="n"/>
    </row>
    <row r="10" ht="15.6" customHeight="1" s="533">
      <c r="B10" s="250" t="n"/>
      <c r="C10" s="420" t="inlineStr">
        <is>
          <t>Provisión vacaciones</t>
        </is>
      </c>
      <c r="D10" s="686" t="n"/>
      <c r="E10" s="687" t="n"/>
      <c r="F10" s="686" t="n"/>
      <c r="G10" s="687" t="n"/>
      <c r="H10" s="687" t="n"/>
      <c r="I10" s="687" t="n"/>
      <c r="K10" s="106" t="n"/>
    </row>
    <row r="11" ht="15.6" customHeight="1" s="533">
      <c r="B11" s="250" t="n"/>
      <c r="C11" s="420" t="inlineStr">
        <is>
          <t>Activos en leasing netos</t>
        </is>
      </c>
      <c r="D11" s="686" t="n"/>
      <c r="E11" s="687" t="n"/>
      <c r="F11" s="686" t="n"/>
      <c r="G11" s="687" t="n"/>
      <c r="H11" s="687" t="n"/>
      <c r="I11" s="687" t="n"/>
      <c r="K11" s="106" t="n"/>
    </row>
    <row r="12" ht="15.6" customHeight="1" s="533">
      <c r="B12" s="250" t="n"/>
      <c r="C12" s="420" t="inlineStr">
        <is>
          <t>Provisión de incobrables</t>
        </is>
      </c>
      <c r="D12" s="686" t="n"/>
      <c r="E12" s="687" t="n"/>
      <c r="F12" s="686" t="n"/>
      <c r="G12" s="687" t="n"/>
      <c r="H12" s="687" t="n"/>
      <c r="I12" s="687" t="n"/>
      <c r="K12" s="106" t="n"/>
    </row>
    <row r="13" ht="15.6" customHeight="1" s="533">
      <c r="B13" s="250" t="n"/>
      <c r="C13" s="420" t="inlineStr">
        <is>
          <t xml:space="preserve">Propiedades, planta y equipos (1) </t>
        </is>
      </c>
      <c r="D13" s="686" t="n"/>
      <c r="E13" s="687" t="n"/>
      <c r="F13" s="686" t="n"/>
      <c r="G13" s="687" t="n"/>
      <c r="H13" s="687" t="n"/>
      <c r="I13" s="687" t="n"/>
      <c r="K13" s="106" t="n"/>
    </row>
    <row r="14" ht="15.6" customHeight="1" s="533">
      <c r="B14" s="250" t="n"/>
      <c r="C14" s="420" t="inlineStr">
        <is>
          <t>Intangibles (2)</t>
        </is>
      </c>
      <c r="D14" s="686" t="n"/>
      <c r="E14" s="687" t="n"/>
      <c r="F14" s="686" t="n"/>
      <c r="G14" s="687" t="n"/>
      <c r="H14" s="687" t="n"/>
      <c r="I14" s="687" t="n"/>
      <c r="K14" s="106" t="n"/>
    </row>
    <row r="15" ht="15.6" customHeight="1" s="533">
      <c r="B15" s="250" t="n"/>
      <c r="C15" s="420" t="inlineStr">
        <is>
          <t>Provisión obsolescencia</t>
        </is>
      </c>
      <c r="D15" s="686" t="n"/>
      <c r="E15" s="687" t="n"/>
      <c r="F15" s="686" t="n"/>
      <c r="G15" s="687" t="n"/>
      <c r="H15" s="687" t="n"/>
      <c r="I15" s="687" t="n"/>
      <c r="K15" s="106" t="n"/>
    </row>
    <row r="16" ht="15.6" customHeight="1" s="533">
      <c r="B16" s="250" t="n"/>
      <c r="C16" s="420" t="inlineStr">
        <is>
          <t>Instrumento de cobertura</t>
        </is>
      </c>
      <c r="D16" s="686" t="n"/>
      <c r="E16" s="687" t="n"/>
      <c r="F16" s="686" t="n"/>
      <c r="G16" s="687" t="n"/>
      <c r="H16" s="687" t="n"/>
      <c r="I16" s="687" t="n"/>
      <c r="K16" s="106" t="inlineStr">
        <is>
          <t xml:space="preserve"> </t>
        </is>
      </c>
    </row>
    <row r="17" ht="15.6" customHeight="1" s="533">
      <c r="B17" s="250" t="n"/>
      <c r="C17" s="420" t="inlineStr">
        <is>
          <t>Arrendamiento (IFRS 16)</t>
        </is>
      </c>
      <c r="D17" s="686" t="n"/>
      <c r="E17" s="687" t="n"/>
      <c r="F17" s="686" t="n"/>
      <c r="G17" s="687" t="n"/>
      <c r="H17" s="687" t="n"/>
      <c r="I17" s="687" t="n"/>
      <c r="K17" s="106" t="n"/>
    </row>
    <row r="18" ht="15.6" customHeight="1" s="533">
      <c r="B18" s="250" t="n"/>
      <c r="C18" s="420" t="inlineStr">
        <is>
          <t>Costos financieros créditos</t>
        </is>
      </c>
      <c r="D18" s="686" t="n"/>
      <c r="E18" s="687" t="n"/>
      <c r="F18" s="686" t="n"/>
      <c r="G18" s="687" t="n"/>
      <c r="H18" s="687" t="n"/>
      <c r="I18" s="687" t="n"/>
      <c r="K18" s="106" t="n"/>
    </row>
    <row r="19" ht="15.6" customHeight="1" s="533">
      <c r="B19" s="250" t="n"/>
      <c r="C19" s="420" t="inlineStr">
        <is>
          <t>Provisiones y anticipos</t>
        </is>
      </c>
      <c r="D19" s="686" t="n"/>
      <c r="E19" s="687" t="n"/>
      <c r="F19" s="686" t="n"/>
      <c r="G19" s="687" t="n"/>
      <c r="H19" s="687" t="n"/>
      <c r="I19" s="687" t="n"/>
      <c r="K19" s="106" t="n"/>
    </row>
    <row r="20" ht="15.6" customHeight="1" s="533">
      <c r="B20" s="250" t="n"/>
      <c r="C20" s="420" t="inlineStr">
        <is>
          <t>Ingresos percibidos por adelantado</t>
        </is>
      </c>
      <c r="D20" s="686" t="n"/>
      <c r="E20" s="687" t="n"/>
      <c r="F20" s="686" t="n"/>
      <c r="G20" s="687" t="n"/>
      <c r="H20" s="687" t="n"/>
      <c r="I20" s="687" t="n"/>
      <c r="K20" s="106" t="n"/>
    </row>
    <row r="21" ht="16.2" customHeight="1" s="533" thickBot="1">
      <c r="B21" s="250" t="n"/>
      <c r="C21" s="420" t="inlineStr">
        <is>
          <t xml:space="preserve">Perdida tributaria </t>
        </is>
      </c>
      <c r="D21" s="688" t="n"/>
      <c r="E21" s="687" t="n"/>
      <c r="F21" s="688" t="n"/>
      <c r="G21" s="687" t="n"/>
      <c r="H21" s="687" t="n"/>
      <c r="I21" s="687" t="n"/>
      <c r="K21" s="106" t="n"/>
    </row>
    <row r="22" ht="16.2" customHeight="1" s="533" thickBot="1">
      <c r="B22" s="250" t="n"/>
      <c r="C22" s="420" t="inlineStr">
        <is>
          <t>Totales</t>
        </is>
      </c>
      <c r="D22" s="689">
        <f>SUM(D10:D21)</f>
        <v/>
      </c>
      <c r="E22" s="689">
        <f>SUM(E10:E21)</f>
        <v/>
      </c>
      <c r="F22" s="689">
        <f>SUM(F10:F21)</f>
        <v/>
      </c>
      <c r="G22" s="689">
        <f>SUM(G10:G21)</f>
        <v/>
      </c>
      <c r="H22" s="687" t="n"/>
      <c r="I22" s="687" t="n"/>
      <c r="K22" s="106" t="n"/>
    </row>
    <row r="23" ht="16.2" customHeight="1" s="533" thickBot="1">
      <c r="B23" s="250" t="n"/>
      <c r="C23" s="420" t="inlineStr">
        <is>
          <t>reclasificación</t>
        </is>
      </c>
      <c r="D23" s="689" t="n"/>
      <c r="E23" s="690" t="n"/>
      <c r="F23" s="689" t="n"/>
      <c r="G23" s="690" t="n"/>
      <c r="H23" s="687" t="n"/>
      <c r="I23" s="687" t="n"/>
      <c r="K23" s="106" t="n"/>
    </row>
    <row r="24" ht="16.2" customHeight="1" s="533" thickBot="1">
      <c r="B24" s="250" t="n"/>
      <c r="C24" s="420" t="inlineStr">
        <is>
          <t xml:space="preserve">Total neto </t>
        </is>
      </c>
      <c r="D24" s="691">
        <f>+D22+D23</f>
        <v/>
      </c>
      <c r="E24" s="691">
        <f>+E22+E23</f>
        <v/>
      </c>
      <c r="F24" s="691">
        <f>+F22+F23</f>
        <v/>
      </c>
      <c r="G24" s="691">
        <f>+G22+G23</f>
        <v/>
      </c>
      <c r="H24" s="686" t="n"/>
      <c r="I24" s="686" t="n"/>
      <c r="K24" s="106" t="n"/>
    </row>
    <row r="25" ht="16.2" customHeight="1" s="533" thickTop="1">
      <c r="B25" s="250" t="n"/>
    </row>
    <row r="26" ht="15.6" customHeight="1" s="533">
      <c r="B26" s="250" t="n"/>
      <c r="D26" s="564" t="n">
        <v>0</v>
      </c>
    </row>
    <row r="27" ht="15.6" customHeight="1" s="533">
      <c r="B27" s="250" t="n"/>
      <c r="C27" s="457" t="inlineStr">
        <is>
          <t>#N13.2</t>
        </is>
      </c>
    </row>
    <row r="28" ht="26.4" customHeight="1" s="533">
      <c r="B28" s="249" t="inlineStr">
        <is>
          <t>2)</t>
        </is>
      </c>
      <c r="C28" s="434" t="inlineStr">
        <is>
          <t>Conciliación del saldo inicial y final de impuestos diferidos al 31 de diciembre de 2025 y 2024</t>
        </is>
      </c>
      <c r="D28" s="552" t="n"/>
      <c r="E28" s="552" t="n"/>
    </row>
    <row r="29" ht="15.6" customHeight="1" s="533">
      <c r="B29" s="250" t="n"/>
      <c r="C29" s="151" t="n"/>
    </row>
    <row r="30" ht="15.6" customHeight="1" s="533">
      <c r="B30" s="250" t="n"/>
      <c r="C30" s="229" t="inlineStr">
        <is>
          <t>Concepto</t>
        </is>
      </c>
      <c r="D30" s="433" t="n">
        <v>46387</v>
      </c>
      <c r="E30" s="433" t="n">
        <v>46022</v>
      </c>
    </row>
    <row r="31" ht="15.6" customHeight="1" s="533">
      <c r="B31" s="250" t="n"/>
      <c r="C31" s="44" t="n"/>
      <c r="D31" s="98" t="inlineStr">
        <is>
          <t>M$</t>
        </is>
      </c>
      <c r="E31" s="98" t="inlineStr">
        <is>
          <t>M$</t>
        </is>
      </c>
    </row>
    <row r="32" ht="15.6" customHeight="1" s="533">
      <c r="B32" s="250" t="n"/>
      <c r="C32" s="394" t="inlineStr">
        <is>
          <t xml:space="preserve">Saldo inicial impuestos diferidos al 1 de enero </t>
        </is>
      </c>
      <c r="D32" s="687">
        <f>+E41</f>
        <v/>
      </c>
      <c r="E32" s="687" t="n">
        <v>0</v>
      </c>
    </row>
    <row r="33" ht="15.6" customHeight="1" s="533">
      <c r="B33" s="250" t="n"/>
      <c r="C33" s="44" t="n"/>
      <c r="D33" s="692" t="n"/>
      <c r="E33" s="692" t="n"/>
    </row>
    <row r="34" ht="15.6" customHeight="1" s="533">
      <c r="B34" s="250" t="n"/>
      <c r="C34" s="394" t="inlineStr">
        <is>
          <t>(cargos)/abonos que no afectaron resultado:</t>
        </is>
      </c>
      <c r="D34" s="692" t="n"/>
      <c r="E34" s="692" t="n"/>
    </row>
    <row r="35" ht="22.8" customHeight="1" s="533">
      <c r="B35" s="250" t="n"/>
      <c r="C35" s="394" t="inlineStr">
        <is>
          <t xml:space="preserve">   Variaciones por revalorización de propiedad, planta y equipos con efecto en     reservas</t>
        </is>
      </c>
      <c r="D35" s="693" t="inlineStr">
        <is>
          <t>-</t>
        </is>
      </c>
      <c r="E35" s="693" t="inlineStr">
        <is>
          <t>-</t>
        </is>
      </c>
    </row>
    <row r="36" ht="23.4" customHeight="1" s="533" thickBot="1">
      <c r="B36" s="250" t="n"/>
      <c r="C36" s="394" t="inlineStr">
        <is>
          <t xml:space="preserve">   Variaciones por instrumento de cobertura con efecto en reservas</t>
        </is>
      </c>
      <c r="D36" s="694" t="n">
        <v>0</v>
      </c>
      <c r="E36" s="694" t="n">
        <v>0</v>
      </c>
    </row>
    <row r="37" ht="15.6" customHeight="1" s="533">
      <c r="B37" s="250" t="n"/>
      <c r="C37" s="394" t="inlineStr">
        <is>
          <t>Sub total (cargos)/abonos que no afectaron el resultado</t>
        </is>
      </c>
      <c r="D37" s="687">
        <f>SUM(D35:D36)</f>
        <v/>
      </c>
      <c r="E37" s="687">
        <f>SUM(E35:E36)</f>
        <v/>
      </c>
    </row>
    <row r="38" ht="15.6" customHeight="1" s="533">
      <c r="B38" s="250" t="n"/>
      <c r="C38" s="44" t="n"/>
      <c r="D38" s="692" t="n"/>
      <c r="E38" s="692" t="n"/>
    </row>
    <row r="39" ht="16.2" customHeight="1" s="533" thickBot="1">
      <c r="B39" s="250" t="n"/>
      <c r="C39" s="394" t="inlineStr">
        <is>
          <t>(cargos)/abonos que afectaron resultado:</t>
        </is>
      </c>
      <c r="D39" s="694" t="n"/>
      <c r="E39" s="694" t="n">
        <v>0</v>
      </c>
    </row>
    <row r="40" ht="16.2" customHeight="1" s="533" thickBot="1">
      <c r="B40" s="250" t="n"/>
      <c r="C40" s="44" t="n"/>
      <c r="D40" s="695" t="n"/>
      <c r="E40" s="695" t="n"/>
    </row>
    <row r="41" ht="16.2" customHeight="1" s="533" thickBot="1">
      <c r="B41" s="250" t="n"/>
      <c r="C41" s="394" t="inlineStr">
        <is>
          <t>Saldo final impuestos diferidos al 31 de diciembre</t>
        </is>
      </c>
      <c r="D41" s="694">
        <f>+D39+D37+D32</f>
        <v/>
      </c>
      <c r="E41" s="694">
        <f>+E39+E37+E32</f>
        <v/>
      </c>
    </row>
    <row r="42" ht="15.6" customHeight="1" s="533">
      <c r="B42" s="250" t="n"/>
      <c r="C42" s="228" t="n"/>
      <c r="D42" s="564" t="n"/>
      <c r="E42" s="564" t="n"/>
    </row>
    <row r="43" ht="15.6" customHeight="1" s="533">
      <c r="B43" s="250" t="n"/>
    </row>
    <row r="44" ht="15.6" customHeight="1" s="533">
      <c r="B44" s="250" t="n"/>
      <c r="C44" s="457" t="inlineStr">
        <is>
          <t>#N13.3</t>
        </is>
      </c>
    </row>
    <row r="45" ht="26.4" customHeight="1" s="533">
      <c r="B45" s="249" t="inlineStr">
        <is>
          <t>3)</t>
        </is>
      </c>
      <c r="C45" s="434" t="inlineStr">
        <is>
          <t>Los efectos de impuestos por los ejercicios 2025 y 2024 se detallan a continuación:</t>
        </is>
      </c>
      <c r="D45" s="552" t="n"/>
      <c r="E45" s="552" t="n"/>
    </row>
    <row r="46" ht="15.6" customHeight="1" s="533">
      <c r="B46" s="250" t="n"/>
      <c r="C46" s="122" t="n"/>
    </row>
    <row r="47" ht="15.6" customHeight="1" s="533">
      <c r="B47" s="250" t="n"/>
      <c r="D47" s="433" t="n">
        <v>46387</v>
      </c>
      <c r="E47" s="433" t="n">
        <v>46022</v>
      </c>
    </row>
    <row r="48" ht="15.6" customHeight="1" s="533">
      <c r="B48" s="250" t="n"/>
      <c r="D48" s="232" t="inlineStr">
        <is>
          <t>M$</t>
        </is>
      </c>
      <c r="E48" s="232" t="inlineStr">
        <is>
          <t xml:space="preserve"> M$ </t>
        </is>
      </c>
    </row>
    <row r="49" ht="15.6" customHeight="1" s="533">
      <c r="B49" s="250" t="n"/>
      <c r="C49" s="234" t="inlineStr">
        <is>
          <t>Efectos en reservas de patrimonio</t>
        </is>
      </c>
    </row>
    <row r="50" ht="16.2" customHeight="1" s="533" thickBot="1">
      <c r="B50" s="250" t="n"/>
      <c r="C50" s="233" t="inlineStr">
        <is>
          <t>Efecto por impuestos diferidos</t>
        </is>
      </c>
      <c r="D50" s="696" t="n"/>
      <c r="E50" s="696" t="n"/>
    </row>
    <row r="51" ht="16.2" customHeight="1" s="533" thickBot="1">
      <c r="B51" s="250" t="n"/>
      <c r="C51" s="233" t="inlineStr">
        <is>
          <t>Total</t>
        </is>
      </c>
      <c r="D51" s="697">
        <f>+D50</f>
        <v/>
      </c>
      <c r="E51" s="697">
        <f>+E50</f>
        <v/>
      </c>
    </row>
    <row r="52" ht="16.2" customHeight="1" s="533" thickTop="1">
      <c r="B52" s="250" t="n"/>
      <c r="C52" s="234" t="inlineStr">
        <is>
          <t>Efectos en resultado</t>
        </is>
      </c>
      <c r="D52" s="698" t="n"/>
      <c r="E52" s="698" t="n"/>
    </row>
    <row r="53" ht="15.6" customHeight="1" s="533">
      <c r="B53" s="250" t="n"/>
      <c r="C53" s="233" t="inlineStr">
        <is>
          <t xml:space="preserve">Efecto de impuestos diferidos </t>
        </is>
      </c>
      <c r="D53" s="699" t="n"/>
      <c r="E53" s="699" t="n">
        <v>0</v>
      </c>
    </row>
    <row r="54" ht="16.2" customHeight="1" s="533" thickBot="1">
      <c r="B54" s="250" t="n"/>
      <c r="C54" s="233" t="inlineStr">
        <is>
          <t xml:space="preserve">Efecto por impuestos a la renta </t>
        </is>
      </c>
      <c r="D54" s="696" t="n">
        <v>0</v>
      </c>
      <c r="E54" s="696" t="n">
        <v>0</v>
      </c>
    </row>
    <row r="55" ht="16.2" customHeight="1" s="533" thickBot="1">
      <c r="B55" s="250" t="n"/>
      <c r="C55" s="233" t="inlineStr">
        <is>
          <t>Total</t>
        </is>
      </c>
      <c r="D55" s="697">
        <f>+D53+D54</f>
        <v/>
      </c>
      <c r="E55" s="697">
        <f>+E53+E54</f>
        <v/>
      </c>
    </row>
    <row r="56" ht="16.2" customHeight="1" s="533" thickTop="1">
      <c r="B56" s="250" t="n"/>
      <c r="C56" s="228" t="n"/>
      <c r="D56" s="564" t="n"/>
      <c r="E56" s="564" t="n"/>
    </row>
    <row r="57" ht="15.6" customHeight="1" s="533">
      <c r="B57" s="250" t="n"/>
      <c r="C57" s="457" t="inlineStr">
        <is>
          <t>#N13.4</t>
        </is>
      </c>
    </row>
    <row r="58" ht="26.4" customHeight="1" s="533">
      <c r="B58" s="249" t="inlineStr">
        <is>
          <t>4)</t>
        </is>
      </c>
      <c r="C58" s="435" t="inlineStr">
        <is>
          <t xml:space="preserve"> La composición del gasto por impuesto a la renta es la siguiente:</t>
        </is>
      </c>
      <c r="D58" s="552" t="n"/>
      <c r="E58" s="552" t="n"/>
    </row>
    <row r="59" ht="15.6" customHeight="1" s="533">
      <c r="B59" s="250" t="n"/>
      <c r="C59" s="228" t="n"/>
    </row>
    <row r="60" ht="15.6" customHeight="1" s="533">
      <c r="B60" s="250" t="n"/>
      <c r="C60" s="553" t="inlineStr">
        <is>
          <t>Movimientos en activos por impuestos diferidos</t>
        </is>
      </c>
      <c r="D60" s="433" t="n">
        <v>46387</v>
      </c>
      <c r="E60" s="433" t="n">
        <v>46022</v>
      </c>
      <c r="F60" s="47" t="n"/>
    </row>
    <row r="61" ht="15.6" customHeight="1" s="533">
      <c r="B61" s="250" t="n"/>
      <c r="D61" s="13" t="inlineStr">
        <is>
          <t>M$</t>
        </is>
      </c>
      <c r="E61" s="13" t="inlineStr">
        <is>
          <t>M$</t>
        </is>
      </c>
      <c r="F61" s="48" t="n"/>
    </row>
    <row r="62" ht="15.6" customHeight="1" s="533">
      <c r="B62" s="250" t="n"/>
      <c r="C62" s="390" t="inlineStr">
        <is>
          <t>Gasto por impuesto a las ganancias:</t>
        </is>
      </c>
      <c r="D62" s="13" t="n"/>
      <c r="E62" s="13" t="n"/>
      <c r="F62" s="50" t="n"/>
    </row>
    <row r="63" ht="15.6" customHeight="1" s="533">
      <c r="B63" s="250" t="n"/>
      <c r="C63" s="390" t="inlineStr">
        <is>
          <t>Gasto por impuestos corrientes (Impuesto único)</t>
        </is>
      </c>
      <c r="D63" s="19" t="n"/>
      <c r="E63" s="19" t="n"/>
      <c r="F63" s="50" t="n"/>
    </row>
    <row r="64" ht="23.4" customHeight="1" s="533" thickBot="1">
      <c r="B64" s="250" t="n"/>
      <c r="C64" s="390" t="inlineStr">
        <is>
          <t>Gasto por impuestos relativo a la creación y reversión de diferencias temporarias</t>
        </is>
      </c>
      <c r="D64" s="239" t="n"/>
      <c r="E64" s="239" t="n"/>
      <c r="F64" s="50" t="n"/>
    </row>
    <row r="65" ht="16.2" customHeight="1" s="533" thickBot="1">
      <c r="B65" s="250" t="n"/>
      <c r="C65" s="233" t="inlineStr">
        <is>
          <t>(Gasto) ingreso por impuesto a las ganancias</t>
        </is>
      </c>
      <c r="D65" s="239">
        <f>SUM(D63:D64)</f>
        <v/>
      </c>
      <c r="E65" s="239">
        <f>SUM(E63:E64)</f>
        <v/>
      </c>
      <c r="F65" s="50" t="n"/>
    </row>
    <row r="66" ht="15.6" customHeight="1" s="533">
      <c r="B66" s="250" t="n"/>
      <c r="D66" s="2" t="n">
        <v>0</v>
      </c>
    </row>
    <row r="67" ht="15.6" customHeight="1" s="533">
      <c r="B67" s="250" t="n"/>
      <c r="C67" s="457" t="inlineStr">
        <is>
          <t>#N13.5</t>
        </is>
      </c>
    </row>
    <row r="68" ht="15.6" customHeight="1" s="533">
      <c r="B68" s="249" t="inlineStr">
        <is>
          <t>5)</t>
        </is>
      </c>
      <c r="C68" s="434" t="inlineStr">
        <is>
          <t>Reconciliación de tasa efectiva:</t>
        </is>
      </c>
      <c r="D68" s="552" t="n"/>
      <c r="E68" s="552" t="n"/>
    </row>
    <row r="69" ht="15.6" customHeight="1" s="533">
      <c r="B69" s="250" t="n"/>
      <c r="C69" s="240" t="n"/>
    </row>
    <row r="70" ht="15.6" customHeight="1" s="533">
      <c r="B70" s="250" t="n"/>
      <c r="D70" s="433" t="n">
        <v>46387</v>
      </c>
      <c r="E70" s="433" t="n">
        <v>46022</v>
      </c>
    </row>
    <row r="71" ht="15.6" customHeight="1" s="533">
      <c r="B71" s="250" t="n"/>
      <c r="D71" s="87" t="inlineStr">
        <is>
          <t>M$</t>
        </is>
      </c>
      <c r="E71" s="87" t="inlineStr">
        <is>
          <t>M$</t>
        </is>
      </c>
    </row>
    <row r="72">
      <c r="C72" s="436" t="inlineStr">
        <is>
          <t>Resultado antes de impuesto a la renta</t>
        </is>
      </c>
      <c r="D72" s="700" t="n">
        <v>-53463806.443</v>
      </c>
      <c r="E72" s="700" t="n">
        <v>-56379823</v>
      </c>
    </row>
    <row r="73">
      <c r="C73" s="241" t="n"/>
      <c r="D73" s="701" t="n"/>
      <c r="E73" s="701" t="n"/>
    </row>
    <row r="74">
      <c r="C74" s="242" t="inlineStr">
        <is>
          <t>Gasto por impuesto utilizando la tasa legal</t>
        </is>
      </c>
      <c r="D74" s="687" t="n"/>
      <c r="E74" s="687" t="n"/>
    </row>
    <row r="75">
      <c r="C75" s="242" t="inlineStr">
        <is>
          <t>Efecto corrección monetaria patrimonio tributario</t>
        </is>
      </c>
      <c r="D75" s="687" t="n"/>
      <c r="E75" s="687" t="n"/>
    </row>
    <row r="76">
      <c r="C76" s="242" t="inlineStr">
        <is>
          <t>Efecto corrección monetaria pérdida tributaria arrastre</t>
        </is>
      </c>
      <c r="D76" s="687" t="n"/>
      <c r="E76" s="687" t="n"/>
    </row>
    <row r="77">
      <c r="C77" s="408" t="inlineStr">
        <is>
          <t>Efecto corrección monetaria inversión tributaria</t>
        </is>
      </c>
      <c r="D77" s="687" t="n"/>
      <c r="E77" s="687" t="n"/>
    </row>
    <row r="78">
      <c r="C78" s="408" t="inlineStr">
        <is>
          <t>Efecto amortización ppa</t>
        </is>
      </c>
      <c r="D78" s="702" t="n"/>
      <c r="E78" s="702" t="n"/>
    </row>
    <row r="79">
      <c r="C79" s="408" t="inlineStr">
        <is>
          <t>Efecto goodwill no asignado</t>
        </is>
      </c>
      <c r="D79" s="687" t="n"/>
      <c r="E79" s="687" t="n"/>
    </row>
    <row r="80">
      <c r="C80" s="408" t="inlineStr">
        <is>
          <t>Efecto Instrumento de cobertura</t>
        </is>
      </c>
      <c r="D80" s="687" t="n"/>
      <c r="E80" s="687" t="n"/>
    </row>
    <row r="81">
      <c r="C81" s="408" t="inlineStr">
        <is>
          <t>Efecto impositivo por cambio de regimen</t>
        </is>
      </c>
      <c r="D81" s="687" t="n"/>
      <c r="E81" s="687" t="n"/>
    </row>
    <row r="82">
      <c r="C82" s="420" t="inlineStr">
        <is>
          <t xml:space="preserve">Efecto impositivo por fusión </t>
        </is>
      </c>
      <c r="D82" s="687" t="n"/>
      <c r="E82" s="687" t="n"/>
    </row>
    <row r="83">
      <c r="C83" s="408" t="inlineStr">
        <is>
          <t>Efecto impositivo castigo de incobrables</t>
        </is>
      </c>
      <c r="D83" s="687" t="n"/>
      <c r="E83" s="687" t="n"/>
    </row>
    <row r="84">
      <c r="C84" s="408" t="inlineStr">
        <is>
          <t>Efecto impositivo de otras diferencias permanentes</t>
        </is>
      </c>
      <c r="D84" s="687" t="n"/>
      <c r="E84" s="687" t="n"/>
    </row>
    <row r="85">
      <c r="C85" s="408" t="inlineStr">
        <is>
          <t>Ajuste por reliquidación de impuesto a la renta</t>
        </is>
      </c>
      <c r="D85" s="687" t="n"/>
      <c r="E85" s="687" t="n"/>
    </row>
    <row r="86" ht="15" customHeight="1" s="533" thickBot="1">
      <c r="C86" s="408" t="inlineStr">
        <is>
          <t>Efecto impositivo de anticipo clientes</t>
        </is>
      </c>
      <c r="D86" s="694" t="n"/>
      <c r="E86" s="694" t="n"/>
      <c r="H86" s="703" t="n"/>
    </row>
    <row r="87">
      <c r="C87" s="242" t="inlineStr">
        <is>
          <t>Gasto por impuesto utilizando la tasa efectiva</t>
        </is>
      </c>
      <c r="D87" s="704">
        <f>SUM(D74:D86)</f>
        <v/>
      </c>
      <c r="E87" s="704">
        <f>SUM(E74:E86)</f>
        <v/>
      </c>
    </row>
    <row r="88">
      <c r="C88" s="241" t="n"/>
      <c r="D88" s="693" t="n"/>
      <c r="E88" s="693" t="n"/>
    </row>
    <row r="89">
      <c r="C89" s="436" t="inlineStr">
        <is>
          <t>Tasa efectiva</t>
        </is>
      </c>
      <c r="D89" s="703">
        <f>+D87/-D72</f>
        <v/>
      </c>
      <c r="E89" s="703">
        <f>+E87/-E72</f>
        <v/>
      </c>
    </row>
    <row r="90">
      <c r="D90" s="564" t="n"/>
      <c r="E90" s="564" t="n"/>
    </row>
    <row r="91">
      <c r="D91" s="564" t="n"/>
    </row>
  </sheetData>
  <mergeCells count="2">
    <mergeCell ref="C5:F5"/>
    <mergeCell ref="C60:C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B3:F7"/>
  <sheetViews>
    <sheetView showGridLines="0" workbookViewId="0">
      <selection activeCell="B3" sqref="B3"/>
    </sheetView>
  </sheetViews>
  <sheetFormatPr baseColWidth="10" defaultRowHeight="14.4"/>
  <cols>
    <col width="28" customWidth="1" style="533" min="3" max="3"/>
  </cols>
  <sheetData>
    <row r="3">
      <c r="B3" s="457" t="inlineStr">
        <is>
          <t>#N14.3</t>
        </is>
      </c>
    </row>
    <row r="4">
      <c r="B4" s="291" t="n"/>
      <c r="C4" s="291" t="n"/>
      <c r="D4" s="291" t="n"/>
      <c r="E4" s="437" t="n">
        <v>46022</v>
      </c>
      <c r="F4" s="372" t="n">
        <v>45657</v>
      </c>
    </row>
    <row r="5" ht="15" customHeight="1" s="533" thickBot="1">
      <c r="B5" s="438" t="inlineStr">
        <is>
          <t>RUT</t>
        </is>
      </c>
      <c r="C5" s="438" t="inlineStr">
        <is>
          <t>Nombre</t>
        </is>
      </c>
      <c r="D5" s="438" t="inlineStr">
        <is>
          <t>Participación</t>
        </is>
      </c>
      <c r="E5" s="373" t="inlineStr">
        <is>
          <t>M$</t>
        </is>
      </c>
      <c r="F5" s="373" t="inlineStr">
        <is>
          <t>M$</t>
        </is>
      </c>
    </row>
    <row r="6" ht="15" customHeight="1" s="533" thickBot="1">
      <c r="B6" s="291" t="inlineStr">
        <is>
          <t>78.079.629-4</t>
        </is>
      </c>
      <c r="C6" s="420" t="inlineStr">
        <is>
          <t>Neoconex Fibra SpA</t>
        </is>
      </c>
      <c r="D6" s="374" t="n">
        <v>1</v>
      </c>
      <c r="E6" s="438" t="inlineStr">
        <is>
          <t xml:space="preserve">                 - </t>
        </is>
      </c>
      <c r="F6" s="375" t="inlineStr">
        <is>
          <t xml:space="preserve">                 - </t>
        </is>
      </c>
    </row>
    <row r="7" ht="15" customHeight="1" s="533" thickBot="1">
      <c r="B7" s="291" t="n"/>
      <c r="C7" s="408" t="inlineStr">
        <is>
          <t>Total</t>
        </is>
      </c>
      <c r="D7" s="291" t="n"/>
      <c r="E7" s="438" t="inlineStr">
        <is>
          <t>-</t>
        </is>
      </c>
      <c r="F7" s="375" t="inlineStr">
        <is>
          <t>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C1:K43"/>
  <sheetViews>
    <sheetView showGridLines="0" workbookViewId="0">
      <selection activeCell="C12" sqref="C12"/>
    </sheetView>
  </sheetViews>
  <sheetFormatPr baseColWidth="10" defaultRowHeight="14.4"/>
  <cols>
    <col width="32.88671875" customWidth="1" style="533" min="3" max="3"/>
  </cols>
  <sheetData>
    <row r="1" ht="37.8" customHeight="1" s="533">
      <c r="C1" s="557" t="inlineStr">
        <is>
          <t>La composición del rubro de cuentas por cobrar corrientes con empresas relacionadas por los años 2026 y 2025 es el siguiente:</t>
        </is>
      </c>
    </row>
    <row r="2">
      <c r="C2" s="259" t="n"/>
      <c r="D2" s="259" t="n"/>
      <c r="E2" s="259" t="n"/>
      <c r="F2" s="259" t="n"/>
      <c r="G2" s="259" t="n"/>
      <c r="H2" s="18" t="n"/>
    </row>
    <row r="3">
      <c r="C3" s="457" t="inlineStr">
        <is>
          <t>#N14.1</t>
        </is>
      </c>
      <c r="D3" s="420" t="inlineStr">
        <is>
          <t>Tipo de</t>
        </is>
      </c>
      <c r="E3" s="252" t="n"/>
      <c r="H3" s="260" t="n"/>
    </row>
    <row r="4">
      <c r="C4" s="419" t="inlineStr">
        <is>
          <t>Nombre entidad</t>
        </is>
      </c>
      <c r="D4" s="419" t="inlineStr">
        <is>
          <t>relación</t>
        </is>
      </c>
      <c r="E4" s="419" t="inlineStr">
        <is>
          <t>Moneda</t>
        </is>
      </c>
      <c r="F4" s="263" t="n">
        <v>46203</v>
      </c>
      <c r="G4" s="263" t="n">
        <v>46022</v>
      </c>
      <c r="H4" s="262" t="n"/>
    </row>
    <row r="5">
      <c r="C5" s="261" t="n"/>
      <c r="D5" s="111" t="n"/>
      <c r="E5" s="252" t="n"/>
      <c r="F5" s="94" t="inlineStr">
        <is>
          <t>M$</t>
        </is>
      </c>
      <c r="G5" s="94" t="inlineStr">
        <is>
          <t>M$</t>
        </is>
      </c>
      <c r="H5" s="111" t="n"/>
    </row>
    <row r="6" ht="15" customHeight="1" s="533">
      <c r="C6" s="420" t="inlineStr">
        <is>
          <t xml:space="preserve">DB Terra Chile Parent SpA </t>
        </is>
      </c>
      <c r="D6" s="420" t="inlineStr">
        <is>
          <t>Accionista</t>
        </is>
      </c>
      <c r="E6" s="420" t="inlineStr">
        <is>
          <t>US$</t>
        </is>
      </c>
      <c r="F6" s="650" t="n">
        <v>0</v>
      </c>
      <c r="G6" s="650" t="n">
        <v>0</v>
      </c>
      <c r="H6" s="264" t="n"/>
    </row>
    <row r="7" ht="15" customHeight="1" s="533" thickBot="1">
      <c r="C7" s="420" t="inlineStr">
        <is>
          <t>Total</t>
        </is>
      </c>
      <c r="D7" s="252" t="n"/>
      <c r="E7" s="94" t="n"/>
      <c r="F7" s="705">
        <f>+F6</f>
        <v/>
      </c>
      <c r="G7" s="705">
        <f>+G6</f>
        <v/>
      </c>
      <c r="H7" s="264" t="n"/>
    </row>
    <row r="8">
      <c r="C8" s="151" t="n"/>
      <c r="H8" s="264" t="n"/>
    </row>
    <row r="9">
      <c r="C9" s="228" t="n"/>
    </row>
    <row r="10" ht="26.4" customHeight="1" s="533">
      <c r="C10" s="439" t="inlineStr">
        <is>
          <t>a)           Transacciones significativas con empresas relacionadas</t>
        </is>
      </c>
    </row>
    <row r="11">
      <c r="C11" s="500" t="inlineStr">
        <is>
          <t xml:space="preserve">#N14.2[COMPARATIVO] </t>
        </is>
      </c>
    </row>
    <row r="12" customFormat="1" s="146">
      <c r="C12" s="527" t="n">
        <v>2026</v>
      </c>
    </row>
    <row r="13" ht="19.2" customHeight="1" s="533">
      <c r="C13" s="138" t="n"/>
      <c r="D13" s="138" t="n"/>
      <c r="E13" s="138" t="inlineStr">
        <is>
          <t>Naturaleza de la relación</t>
        </is>
      </c>
      <c r="F13" s="138" t="inlineStr">
        <is>
          <t xml:space="preserve">Descripción de la </t>
        </is>
      </c>
      <c r="G13" s="255" t="n"/>
      <c r="H13" s="266" t="n"/>
      <c r="I13" s="266" t="n"/>
      <c r="J13" s="266" t="n"/>
      <c r="K13" s="266" t="n"/>
    </row>
    <row r="14" ht="29.4" customHeight="1" s="533" thickBot="1">
      <c r="C14" s="253" t="inlineStr">
        <is>
          <t>R.U.T.</t>
        </is>
      </c>
      <c r="D14" s="253" t="inlineStr">
        <is>
          <t>Nombre entidad</t>
        </is>
      </c>
      <c r="E14" s="254" t="n"/>
      <c r="F14" s="253" t="inlineStr">
        <is>
          <t>Transacción</t>
        </is>
      </c>
      <c r="G14" s="256" t="inlineStr">
        <is>
          <t>Moneda</t>
        </is>
      </c>
      <c r="H14" s="263" t="n">
        <v>46203</v>
      </c>
      <c r="I14" s="263" t="n">
        <v>46022</v>
      </c>
      <c r="J14" s="266" t="inlineStr">
        <is>
          <t>Efecto en resultado cargo/(abono)</t>
        </is>
      </c>
      <c r="K14" s="267" t="n"/>
    </row>
    <row r="15">
      <c r="C15" s="157" t="n"/>
      <c r="D15" s="138" t="n"/>
      <c r="E15" s="138" t="n"/>
      <c r="F15" s="138" t="n"/>
      <c r="G15" s="255" t="n"/>
      <c r="H15" s="265" t="inlineStr">
        <is>
          <t>M$</t>
        </is>
      </c>
      <c r="I15" s="265" t="inlineStr">
        <is>
          <t>M$</t>
        </is>
      </c>
      <c r="J15" s="265" t="inlineStr">
        <is>
          <t>M$</t>
        </is>
      </c>
    </row>
    <row r="16" ht="19.2" customHeight="1" s="533">
      <c r="C16" s="157" t="inlineStr">
        <is>
          <t>77.494.542-17</t>
        </is>
      </c>
      <c r="D16" s="138" t="inlineStr">
        <is>
          <t>DB Terra Chile Parent SpA</t>
        </is>
      </c>
      <c r="E16" s="138" t="inlineStr">
        <is>
          <t>Matriz</t>
        </is>
      </c>
      <c r="F16" s="315" t="inlineStr">
        <is>
          <t>Cobro por pago proveedores , etc</t>
        </is>
      </c>
      <c r="G16" s="255" t="inlineStr">
        <is>
          <t>Pesos Chilenos</t>
        </is>
      </c>
      <c r="H16" s="650" t="n">
        <v>0</v>
      </c>
      <c r="I16" s="650" t="n">
        <v>0</v>
      </c>
      <c r="J16" s="706" t="inlineStr">
        <is>
          <t>-</t>
        </is>
      </c>
      <c r="K16" s="153" t="n"/>
    </row>
    <row r="17" ht="19.2" customHeight="1" s="533">
      <c r="C17" s="157" t="inlineStr">
        <is>
          <t>77.494.542-18</t>
        </is>
      </c>
      <c r="D17" s="138" t="inlineStr">
        <is>
          <t>DB Terra Chile Parent SpA</t>
        </is>
      </c>
      <c r="E17" s="138" t="inlineStr">
        <is>
          <t>Matriz</t>
        </is>
      </c>
      <c r="F17" s="315" t="inlineStr">
        <is>
          <t>Cobro por pago proveedores , etc</t>
        </is>
      </c>
      <c r="G17" s="255" t="inlineStr">
        <is>
          <t>Pesos Chilenos</t>
        </is>
      </c>
      <c r="H17" s="650" t="n">
        <v>0</v>
      </c>
      <c r="I17" s="650" t="n">
        <v>0</v>
      </c>
      <c r="J17" s="706" t="inlineStr">
        <is>
          <t>-</t>
        </is>
      </c>
      <c r="K17" s="153" t="n"/>
    </row>
    <row r="18" ht="19.2" customHeight="1" s="533">
      <c r="C18" s="157" t="inlineStr">
        <is>
          <t>77.494.542-17</t>
        </is>
      </c>
      <c r="D18" s="138" t="inlineStr">
        <is>
          <t>DB Terra Chile Parent SpA</t>
        </is>
      </c>
      <c r="E18" s="138" t="inlineStr">
        <is>
          <t>Matriz</t>
        </is>
      </c>
      <c r="F18" s="315" t="inlineStr">
        <is>
          <t>Cobro por pago proveedores , etc</t>
        </is>
      </c>
      <c r="G18" s="255" t="inlineStr">
        <is>
          <t>Pesos Chilenos</t>
        </is>
      </c>
      <c r="H18" s="650" t="n">
        <v>0</v>
      </c>
      <c r="I18" s="650" t="n">
        <v>0</v>
      </c>
      <c r="J18" s="706" t="inlineStr">
        <is>
          <t>-</t>
        </is>
      </c>
      <c r="K18" s="153" t="n"/>
    </row>
    <row r="19" ht="19.2" customHeight="1" s="533">
      <c r="C19" s="157" t="inlineStr">
        <is>
          <t>77.494.542-16</t>
        </is>
      </c>
      <c r="D19" s="138" t="inlineStr">
        <is>
          <t>DB Terra Chile Parent SpA</t>
        </is>
      </c>
      <c r="E19" s="138" t="inlineStr">
        <is>
          <t>Matriz</t>
        </is>
      </c>
      <c r="F19" s="315" t="inlineStr">
        <is>
          <t>Cobro por pago proveedores , etc</t>
        </is>
      </c>
      <c r="G19" s="255" t="inlineStr">
        <is>
          <t>Pesos Chilenos</t>
        </is>
      </c>
      <c r="H19" s="650" t="n">
        <v>0</v>
      </c>
      <c r="I19" s="650" t="n">
        <v>0</v>
      </c>
      <c r="J19" s="706" t="inlineStr">
        <is>
          <t>-</t>
        </is>
      </c>
      <c r="K19" s="153" t="n"/>
    </row>
    <row r="20" ht="19.2" customHeight="1" s="533">
      <c r="C20" s="157" t="inlineStr">
        <is>
          <t>77.494.542-15</t>
        </is>
      </c>
      <c r="D20" s="138" t="inlineStr">
        <is>
          <t>DB Terra Chile Parent SpA</t>
        </is>
      </c>
      <c r="E20" s="138" t="inlineStr">
        <is>
          <t>Matriz</t>
        </is>
      </c>
      <c r="F20" s="315" t="inlineStr">
        <is>
          <t>Cobro por pago proveedores , etc</t>
        </is>
      </c>
      <c r="G20" s="255" t="inlineStr">
        <is>
          <t>Pesos Chilenos</t>
        </is>
      </c>
      <c r="H20" s="650" t="n">
        <v>0</v>
      </c>
      <c r="I20" s="650" t="n">
        <v>0</v>
      </c>
      <c r="J20" s="706" t="inlineStr">
        <is>
          <t>-</t>
        </is>
      </c>
      <c r="K20" s="153" t="n"/>
    </row>
    <row r="21" ht="19.2" customHeight="1" s="533">
      <c r="C21" s="157" t="inlineStr">
        <is>
          <t>77.494.542-14</t>
        </is>
      </c>
      <c r="D21" s="138" t="inlineStr">
        <is>
          <t>DB Terra Chile Parent SpA</t>
        </is>
      </c>
      <c r="E21" s="138" t="inlineStr">
        <is>
          <t>Matriz</t>
        </is>
      </c>
      <c r="F21" s="315" t="inlineStr">
        <is>
          <t>Cobro por pago proveedores , etc</t>
        </is>
      </c>
      <c r="G21" s="255" t="inlineStr">
        <is>
          <t>Pesos Chilenos</t>
        </is>
      </c>
      <c r="H21" s="650" t="n">
        <v>0</v>
      </c>
      <c r="I21" s="650" t="n">
        <v>0</v>
      </c>
      <c r="J21" s="706" t="inlineStr">
        <is>
          <t>-</t>
        </is>
      </c>
      <c r="K21" s="153" t="n"/>
    </row>
    <row r="22" ht="19.2" customHeight="1" s="533">
      <c r="C22" s="157" t="inlineStr">
        <is>
          <t>77.494.542-13</t>
        </is>
      </c>
      <c r="D22" s="138" t="inlineStr">
        <is>
          <t>DB Terra Chile Parent SpA</t>
        </is>
      </c>
      <c r="E22" s="138" t="inlineStr">
        <is>
          <t>Matriz</t>
        </is>
      </c>
      <c r="F22" s="315" t="inlineStr">
        <is>
          <t>Cobro por pago proveedores , etc</t>
        </is>
      </c>
      <c r="G22" s="255" t="inlineStr">
        <is>
          <t>Pesos Chilenos</t>
        </is>
      </c>
      <c r="H22" s="650" t="n">
        <v>0</v>
      </c>
      <c r="I22" s="650" t="n">
        <v>0</v>
      </c>
      <c r="J22" s="706" t="inlineStr">
        <is>
          <t>-</t>
        </is>
      </c>
      <c r="K22" s="153" t="n"/>
    </row>
    <row r="23" ht="19.2" customHeight="1" s="533">
      <c r="C23" s="157" t="inlineStr">
        <is>
          <t>77.494.542-12</t>
        </is>
      </c>
      <c r="D23" s="138" t="inlineStr">
        <is>
          <t>DB Terra Chile Parent SpA</t>
        </is>
      </c>
      <c r="E23" s="138" t="inlineStr">
        <is>
          <t>Matriz</t>
        </is>
      </c>
      <c r="F23" s="315" t="inlineStr">
        <is>
          <t>Cobro por pago proveedores , etc</t>
        </is>
      </c>
      <c r="G23" s="255" t="inlineStr">
        <is>
          <t>Pesos Chilenos</t>
        </is>
      </c>
      <c r="H23" s="650" t="n">
        <v>0</v>
      </c>
      <c r="I23" s="650" t="n">
        <v>0</v>
      </c>
      <c r="J23" s="706" t="inlineStr">
        <is>
          <t>-</t>
        </is>
      </c>
      <c r="K23" s="153" t="n"/>
    </row>
    <row r="24" ht="19.2" customHeight="1" s="533">
      <c r="C24" s="157" t="inlineStr">
        <is>
          <t>77.494.542-11</t>
        </is>
      </c>
      <c r="D24" s="138" t="inlineStr">
        <is>
          <t>DB Terra Chile Parent SpA</t>
        </is>
      </c>
      <c r="E24" s="138" t="inlineStr">
        <is>
          <t>Matriz</t>
        </is>
      </c>
      <c r="F24" s="315" t="inlineStr">
        <is>
          <t>Cobro por pago proveedores , etc</t>
        </is>
      </c>
      <c r="G24" s="255" t="inlineStr">
        <is>
          <t>Pesos Chilenos</t>
        </is>
      </c>
      <c r="H24" s="650" t="n">
        <v>0</v>
      </c>
      <c r="I24" s="650" t="n">
        <v>0</v>
      </c>
      <c r="J24" s="706" t="inlineStr">
        <is>
          <t>-</t>
        </is>
      </c>
      <c r="K24" s="153" t="n"/>
    </row>
    <row r="25" ht="19.2" customHeight="1" s="533">
      <c r="C25" s="157" t="inlineStr">
        <is>
          <t>77.494.542-10</t>
        </is>
      </c>
      <c r="D25" s="138" t="inlineStr">
        <is>
          <t>DB Terra Chile Parent SpA</t>
        </is>
      </c>
      <c r="E25" s="138" t="inlineStr">
        <is>
          <t>Matriz</t>
        </is>
      </c>
      <c r="F25" s="315" t="inlineStr">
        <is>
          <t>Cobro por pago proveedores , etc</t>
        </is>
      </c>
      <c r="G25" s="255" t="inlineStr">
        <is>
          <t>Pesos Chilenos</t>
        </is>
      </c>
      <c r="H25" s="650" t="n">
        <v>0</v>
      </c>
      <c r="I25" s="650" t="n">
        <v>0</v>
      </c>
      <c r="J25" s="706" t="inlineStr">
        <is>
          <t>-</t>
        </is>
      </c>
      <c r="K25" s="153" t="n"/>
    </row>
    <row r="26" ht="19.2" customHeight="1" s="533">
      <c r="C26" s="157" t="inlineStr">
        <is>
          <t>77.494.542-9</t>
        </is>
      </c>
      <c r="D26" s="138" t="inlineStr">
        <is>
          <t>DB Terra Chile Parent SpA</t>
        </is>
      </c>
      <c r="E26" s="138" t="inlineStr">
        <is>
          <t>Matriz</t>
        </is>
      </c>
      <c r="F26" s="315" t="inlineStr">
        <is>
          <t>Cobro por pago proveedores , etc</t>
        </is>
      </c>
      <c r="G26" s="255" t="inlineStr">
        <is>
          <t>Pesos Chilenos</t>
        </is>
      </c>
      <c r="H26" s="650" t="n">
        <v>0</v>
      </c>
      <c r="I26" s="650" t="n">
        <v>0</v>
      </c>
      <c r="J26" s="706" t="inlineStr">
        <is>
          <t>-</t>
        </is>
      </c>
      <c r="K26" s="153" t="n"/>
    </row>
    <row r="27" ht="19.2" customHeight="1" s="533">
      <c r="C27" s="157" t="inlineStr">
        <is>
          <t>77.494.542-8</t>
        </is>
      </c>
      <c r="D27" s="138" t="inlineStr">
        <is>
          <t>DB Terra Chile Parent SpA</t>
        </is>
      </c>
      <c r="E27" s="138" t="inlineStr">
        <is>
          <t>Matriz</t>
        </is>
      </c>
      <c r="F27" s="315" t="inlineStr">
        <is>
          <t>Cobro por pago proveedores , etc</t>
        </is>
      </c>
      <c r="G27" s="255" t="inlineStr">
        <is>
          <t>Pesos Chilenos</t>
        </is>
      </c>
      <c r="H27" s="650" t="n">
        <v>0</v>
      </c>
      <c r="I27" s="650" t="n">
        <v>0</v>
      </c>
      <c r="J27" s="706" t="inlineStr">
        <is>
          <t>-</t>
        </is>
      </c>
      <c r="K27" s="153" t="n"/>
    </row>
    <row r="28" ht="19.2" customHeight="1" s="533">
      <c r="C28" s="157" t="inlineStr">
        <is>
          <t>77.494.542-7</t>
        </is>
      </c>
      <c r="D28" s="138" t="inlineStr">
        <is>
          <t>DB Terra Chile Parent SpA</t>
        </is>
      </c>
      <c r="E28" s="138" t="inlineStr">
        <is>
          <t>Matriz</t>
        </is>
      </c>
      <c r="F28" s="315" t="inlineStr">
        <is>
          <t>Cobro por pago proveedores , etc</t>
        </is>
      </c>
      <c r="G28" s="255" t="inlineStr">
        <is>
          <t>Pesos Chilenos</t>
        </is>
      </c>
      <c r="H28" s="650" t="n">
        <v>0</v>
      </c>
      <c r="I28" s="650" t="n">
        <v>0</v>
      </c>
      <c r="J28" s="706" t="inlineStr">
        <is>
          <t>-</t>
        </is>
      </c>
      <c r="K28" s="153" t="n"/>
    </row>
    <row r="29" ht="19.2" customHeight="1" s="533">
      <c r="C29" s="157" t="inlineStr">
        <is>
          <t>77.494.542-6</t>
        </is>
      </c>
      <c r="D29" s="138" t="inlineStr">
        <is>
          <t>DB Terra Chile Parent SpA</t>
        </is>
      </c>
      <c r="E29" s="138" t="inlineStr">
        <is>
          <t>Matriz</t>
        </is>
      </c>
      <c r="F29" s="315" t="inlineStr">
        <is>
          <t>Cobro por pago proveedores , etc</t>
        </is>
      </c>
      <c r="G29" s="255" t="inlineStr">
        <is>
          <t>Pesos Chilenos</t>
        </is>
      </c>
      <c r="H29" s="650" t="n">
        <v>0</v>
      </c>
      <c r="I29" s="650" t="n">
        <v>0</v>
      </c>
      <c r="J29" s="706" t="inlineStr">
        <is>
          <t>-</t>
        </is>
      </c>
      <c r="K29" s="153" t="n"/>
    </row>
    <row r="30" ht="19.2" customHeight="1" s="533">
      <c r="C30" s="157" t="inlineStr">
        <is>
          <t>77.494.542-5</t>
        </is>
      </c>
      <c r="D30" s="138" t="inlineStr">
        <is>
          <t>DB Terra Chile Parent SpA</t>
        </is>
      </c>
      <c r="E30" s="138" t="inlineStr">
        <is>
          <t>Matriz</t>
        </is>
      </c>
      <c r="F30" s="315" t="inlineStr">
        <is>
          <t>Cobro por pago proveedores , etc</t>
        </is>
      </c>
      <c r="G30" s="255" t="inlineStr">
        <is>
          <t>Pesos Chilenos</t>
        </is>
      </c>
      <c r="H30" s="650" t="n">
        <v>0</v>
      </c>
      <c r="I30" s="650" t="n">
        <v>0</v>
      </c>
      <c r="J30" s="706" t="inlineStr">
        <is>
          <t>-</t>
        </is>
      </c>
      <c r="K30" s="153" t="n"/>
    </row>
    <row r="31" ht="19.2" customHeight="1" s="533">
      <c r="C31" s="157" t="inlineStr">
        <is>
          <t>77.494.542-4</t>
        </is>
      </c>
      <c r="D31" s="138" t="inlineStr">
        <is>
          <t>DB Terra Chile Parent SpA</t>
        </is>
      </c>
      <c r="E31" s="138" t="inlineStr">
        <is>
          <t>Matriz</t>
        </is>
      </c>
      <c r="F31" s="315" t="inlineStr">
        <is>
          <t>Cobro por pago proveedores , etc</t>
        </is>
      </c>
      <c r="G31" s="255" t="inlineStr">
        <is>
          <t>Pesos Chilenos</t>
        </is>
      </c>
      <c r="H31" s="650" t="n">
        <v>0</v>
      </c>
      <c r="I31" s="650" t="n">
        <v>0</v>
      </c>
      <c r="J31" s="706" t="inlineStr">
        <is>
          <t>-</t>
        </is>
      </c>
      <c r="K31" s="153" t="n"/>
    </row>
    <row r="32" ht="19.2" customHeight="1" s="533">
      <c r="C32" s="157" t="inlineStr">
        <is>
          <t>77.494.542-3</t>
        </is>
      </c>
      <c r="D32" s="138" t="inlineStr">
        <is>
          <t>DB Terra Chile Parent SpA</t>
        </is>
      </c>
      <c r="E32" s="138" t="inlineStr">
        <is>
          <t>Matriz</t>
        </is>
      </c>
      <c r="F32" s="315" t="inlineStr">
        <is>
          <t>Cobro por pago proveedores , etc</t>
        </is>
      </c>
      <c r="G32" s="255" t="inlineStr">
        <is>
          <t>Pesos Chilenos</t>
        </is>
      </c>
      <c r="H32" s="650" t="n">
        <v>0</v>
      </c>
      <c r="I32" s="650" t="n">
        <v>0</v>
      </c>
      <c r="J32" s="706" t="inlineStr">
        <is>
          <t>-</t>
        </is>
      </c>
      <c r="K32" s="153" t="n"/>
    </row>
    <row r="33" ht="19.2" customHeight="1" s="533">
      <c r="C33" s="157" t="inlineStr">
        <is>
          <t>77.494.542-2</t>
        </is>
      </c>
      <c r="D33" s="138" t="inlineStr">
        <is>
          <t>DB Terra Chile Parent SpA</t>
        </is>
      </c>
      <c r="E33" s="138" t="inlineStr">
        <is>
          <t>Matriz</t>
        </is>
      </c>
      <c r="F33" s="315" t="inlineStr">
        <is>
          <t>Cobro por pago proveedores , etc</t>
        </is>
      </c>
      <c r="G33" s="255" t="inlineStr">
        <is>
          <t>Pesos Chilenos</t>
        </is>
      </c>
      <c r="H33" s="650" t="n">
        <v>0</v>
      </c>
      <c r="I33" s="650" t="n">
        <v>0</v>
      </c>
      <c r="J33" s="706" t="inlineStr">
        <is>
          <t>-</t>
        </is>
      </c>
      <c r="K33" s="153" t="n"/>
    </row>
    <row r="34" ht="19.2" customHeight="1" s="533">
      <c r="C34" s="157" t="inlineStr">
        <is>
          <t>77.494.542-1</t>
        </is>
      </c>
      <c r="D34" s="138" t="inlineStr">
        <is>
          <t>DB Terra Chile Parent SpA</t>
        </is>
      </c>
      <c r="E34" s="138" t="inlineStr">
        <is>
          <t>Matriz</t>
        </is>
      </c>
      <c r="F34" s="315" t="inlineStr">
        <is>
          <t>Cobro por pago proveedores , etc</t>
        </is>
      </c>
      <c r="G34" s="255" t="inlineStr">
        <is>
          <t>Pesos Chilenos</t>
        </is>
      </c>
      <c r="H34" s="650" t="n">
        <v>0</v>
      </c>
      <c r="I34" s="650" t="n">
        <v>0</v>
      </c>
      <c r="J34" s="706" t="inlineStr">
        <is>
          <t>-</t>
        </is>
      </c>
      <c r="K34" s="153" t="n"/>
    </row>
    <row r="35" ht="19.2" customHeight="1" s="533">
      <c r="C35" s="157" t="inlineStr">
        <is>
          <t>77.494.542-0</t>
        </is>
      </c>
      <c r="D35" s="138" t="inlineStr">
        <is>
          <t>DB Terra Chile Parent SpA</t>
        </is>
      </c>
      <c r="E35" s="138" t="inlineStr">
        <is>
          <t>Matriz</t>
        </is>
      </c>
      <c r="F35" s="315" t="inlineStr">
        <is>
          <t>Cobro por pago proveedores , etc</t>
        </is>
      </c>
      <c r="G35" s="255" t="inlineStr">
        <is>
          <t>Pesos Chilenos</t>
        </is>
      </c>
      <c r="H35" s="650" t="n">
        <v>0</v>
      </c>
      <c r="I35" s="650" t="n">
        <v>0</v>
      </c>
      <c r="J35" s="706" t="inlineStr">
        <is>
          <t>-</t>
        </is>
      </c>
      <c r="K35" s="153" t="n"/>
    </row>
    <row r="36" ht="19.2" customHeight="1" s="533">
      <c r="C36" s="157" t="inlineStr">
        <is>
          <t>77.494.542-1</t>
        </is>
      </c>
      <c r="D36" s="138" t="inlineStr">
        <is>
          <t>DB Terra Chile Parent SpA</t>
        </is>
      </c>
      <c r="E36" s="138" t="inlineStr">
        <is>
          <t>Matriz</t>
        </is>
      </c>
      <c r="F36" s="315" t="inlineStr">
        <is>
          <t>Cobro por pago proveedores , etc</t>
        </is>
      </c>
      <c r="G36" s="255" t="inlineStr">
        <is>
          <t>Pesos Chilenos</t>
        </is>
      </c>
      <c r="H36" s="650" t="n">
        <v>0</v>
      </c>
      <c r="I36" s="650" t="n">
        <v>0</v>
      </c>
      <c r="J36" s="706" t="inlineStr">
        <is>
          <t>-</t>
        </is>
      </c>
      <c r="K36" s="153" t="n"/>
    </row>
    <row r="37" ht="19.2" customHeight="1" s="533">
      <c r="C37" s="157" t="inlineStr">
        <is>
          <t>77.494.542-2</t>
        </is>
      </c>
      <c r="D37" s="138" t="inlineStr">
        <is>
          <t>DB Terra Chile Parent SpA</t>
        </is>
      </c>
      <c r="E37" s="138" t="inlineStr">
        <is>
          <t>Matriz</t>
        </is>
      </c>
      <c r="F37" s="315" t="inlineStr">
        <is>
          <t>Cobro por pago proveedores , etc</t>
        </is>
      </c>
      <c r="G37" s="255" t="inlineStr">
        <is>
          <t>Pesos Chilenos</t>
        </is>
      </c>
      <c r="H37" s="650" t="n">
        <v>0</v>
      </c>
      <c r="I37" s="650" t="n">
        <v>0</v>
      </c>
      <c r="J37" s="706" t="inlineStr">
        <is>
          <t>-</t>
        </is>
      </c>
      <c r="K37" s="153" t="n"/>
    </row>
    <row r="38" ht="19.2" customHeight="1" s="533">
      <c r="C38" s="157" t="inlineStr">
        <is>
          <t>77.494.542-3</t>
        </is>
      </c>
      <c r="D38" s="138" t="inlineStr">
        <is>
          <t>DB Terra Chile Parent SpA</t>
        </is>
      </c>
      <c r="E38" s="138" t="inlineStr">
        <is>
          <t>Matriz</t>
        </is>
      </c>
      <c r="F38" s="315" t="inlineStr">
        <is>
          <t>Cobro por pago proveedores , etc</t>
        </is>
      </c>
      <c r="G38" s="255" t="inlineStr">
        <is>
          <t>Pesos Chilenos</t>
        </is>
      </c>
      <c r="H38" s="650" t="n">
        <v>0</v>
      </c>
      <c r="I38" s="650" t="n">
        <v>0</v>
      </c>
      <c r="J38" s="706" t="inlineStr">
        <is>
          <t>-</t>
        </is>
      </c>
    </row>
    <row r="39" ht="15" customHeight="1" s="533" thickBot="1">
      <c r="C39" s="257" t="n"/>
      <c r="D39" s="253" t="n"/>
      <c r="E39" s="253" t="n"/>
      <c r="F39" s="253" t="n"/>
      <c r="G39" s="256" t="n"/>
      <c r="H39" s="152" t="n"/>
      <c r="I39" s="152" t="n"/>
      <c r="J39" s="152" t="n"/>
      <c r="K39" s="152" t="n"/>
    </row>
    <row r="40">
      <c r="C40" s="243" t="n"/>
      <c r="D40" s="242" t="n"/>
      <c r="E40" s="242" t="n"/>
      <c r="F40" s="242" t="n"/>
      <c r="G40" s="554" t="n"/>
      <c r="H40" s="555" t="n"/>
      <c r="I40" s="258" t="n"/>
      <c r="J40" s="556" t="n"/>
      <c r="K40" s="555" t="n"/>
    </row>
    <row r="41">
      <c r="C41" s="241" t="n"/>
      <c r="D41" s="241" t="n"/>
      <c r="E41" s="241" t="n"/>
      <c r="F41" s="241" t="n"/>
      <c r="G41" s="241" t="n"/>
      <c r="H41" s="241" t="n"/>
      <c r="I41" s="241" t="n"/>
      <c r="J41" s="241" t="n"/>
      <c r="K41" s="241" t="n"/>
    </row>
    <row r="42">
      <c r="C42" s="151" t="n"/>
    </row>
    <row r="43">
      <c r="C43" s="151" t="n"/>
    </row>
  </sheetData>
  <mergeCells count="3">
    <mergeCell ref="G40:H40"/>
    <mergeCell ref="C1:J1"/>
    <mergeCell ref="J40:K4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C1:G34"/>
  <sheetViews>
    <sheetView showGridLines="0" workbookViewId="0">
      <selection activeCell="C27" sqref="C27"/>
    </sheetView>
  </sheetViews>
  <sheetFormatPr baseColWidth="10" defaultRowHeight="14.4"/>
  <cols>
    <col width="26.44140625" customWidth="1" style="533" min="3" max="3"/>
    <col width="15.5546875" customWidth="1" style="533" min="4" max="4"/>
    <col width="13.77734375" customWidth="1" style="533" min="5" max="5"/>
    <col width="15" customWidth="1" style="533" min="6" max="6"/>
    <col width="13.88671875" customWidth="1" style="533" min="7" max="7"/>
  </cols>
  <sheetData>
    <row r="1">
      <c r="C1" s="5" t="inlineStr">
        <is>
          <t>Capital suscrito y pagado y número de accionistas</t>
        </is>
      </c>
    </row>
    <row r="2">
      <c r="C2" s="457" t="inlineStr">
        <is>
          <t>#N20.1</t>
        </is>
      </c>
    </row>
    <row r="3">
      <c r="C3" s="358" t="n"/>
      <c r="D3" s="440" t="n">
        <v>46022</v>
      </c>
      <c r="F3" s="363" t="n">
        <v>45657</v>
      </c>
    </row>
    <row r="4">
      <c r="C4" s="364" t="inlineStr">
        <is>
          <t>Nombre del accionista</t>
        </is>
      </c>
      <c r="D4" s="364" t="inlineStr">
        <is>
          <t>N° de acciones</t>
        </is>
      </c>
      <c r="E4" s="364" t="inlineStr">
        <is>
          <t>% participacion</t>
        </is>
      </c>
      <c r="F4" s="364" t="inlineStr">
        <is>
          <t>N° de acciones</t>
        </is>
      </c>
      <c r="G4" s="364" t="inlineStr">
        <is>
          <t>% participacion</t>
        </is>
      </c>
    </row>
    <row r="5">
      <c r="C5" s="360" t="inlineStr">
        <is>
          <t>DB Terra Chile Parent SpA.</t>
        </is>
      </c>
      <c r="D5" s="367" t="n">
        <v>50334500</v>
      </c>
      <c r="E5" s="368" t="n">
        <v>1</v>
      </c>
      <c r="F5" s="367" t="n">
        <v>50334500</v>
      </c>
      <c r="G5" s="368" t="n">
        <v>1</v>
      </c>
    </row>
    <row r="6">
      <c r="C6" s="365" t="inlineStr">
        <is>
          <t>Totales</t>
        </is>
      </c>
      <c r="D6" s="366" t="n">
        <v>50334500</v>
      </c>
      <c r="E6" s="369" t="n">
        <v>1</v>
      </c>
      <c r="F6" s="366" t="n">
        <v>50334500</v>
      </c>
      <c r="G6" s="369" t="n">
        <v>1</v>
      </c>
    </row>
    <row r="7">
      <c r="C7" s="359" t="n"/>
    </row>
    <row r="8">
      <c r="C8" s="457" t="inlineStr">
        <is>
          <t>#N20.2</t>
        </is>
      </c>
    </row>
    <row r="9">
      <c r="C9" s="474" t="inlineStr">
        <is>
          <t>Movimiento de acciones</t>
        </is>
      </c>
    </row>
    <row r="10">
      <c r="D10" s="361" t="n">
        <v>46022</v>
      </c>
      <c r="E10" s="361" t="n">
        <v>45657</v>
      </c>
    </row>
    <row r="11">
      <c r="C11" s="552" t="n"/>
      <c r="D11" s="552" t="n"/>
      <c r="E11" s="552" t="n"/>
    </row>
    <row r="12" ht="20.4" customHeight="1" s="533">
      <c r="C12" s="475" t="inlineStr">
        <is>
          <t>Saldo inicial acciones DB Terra Chile Holdco SpA.</t>
        </is>
      </c>
      <c r="D12" s="362" t="n">
        <v>50334500</v>
      </c>
      <c r="E12" s="362" t="n">
        <v>50334500</v>
      </c>
    </row>
    <row r="13">
      <c r="C13" s="475" t="inlineStr">
        <is>
          <t>Adiciones (bajas)</t>
        </is>
      </c>
      <c r="D13" s="362" t="n">
        <v>0</v>
      </c>
      <c r="E13" s="362" t="n">
        <v>0</v>
      </c>
    </row>
    <row r="14">
      <c r="C14" s="476" t="inlineStr">
        <is>
          <t>Saldo final</t>
        </is>
      </c>
      <c r="D14" s="370" t="n">
        <v>50334500</v>
      </c>
      <c r="E14" s="370" t="n">
        <v>50334500</v>
      </c>
    </row>
    <row r="15">
      <c r="C15" s="528" t="n"/>
      <c r="D15" s="529" t="n"/>
      <c r="E15" s="529" t="n"/>
    </row>
    <row r="16">
      <c r="C16" s="457" t="inlineStr">
        <is>
          <t>#N20.3</t>
        </is>
      </c>
    </row>
    <row r="17">
      <c r="C17" s="5" t="inlineStr">
        <is>
          <t>Utilidad (pérdida) por acción</t>
        </is>
      </c>
    </row>
    <row r="18" ht="15.6" customHeight="1" s="533">
      <c r="C18" s="477" t="n"/>
      <c r="D18" s="478" t="inlineStr">
        <is>
          <t xml:space="preserve"> 31-12-2025</t>
        </is>
      </c>
      <c r="E18" s="478" t="inlineStr">
        <is>
          <t xml:space="preserve"> 31-12-2024 </t>
        </is>
      </c>
    </row>
    <row r="19">
      <c r="C19" s="479" t="n"/>
      <c r="D19" s="480" t="inlineStr">
        <is>
          <t xml:space="preserve"> M$ </t>
        </is>
      </c>
      <c r="E19" s="480" t="inlineStr">
        <is>
          <t xml:space="preserve">M$ </t>
        </is>
      </c>
    </row>
    <row r="20" ht="15.6" customHeight="1" s="533">
      <c r="C20" s="481" t="n"/>
      <c r="D20" s="477" t="n"/>
      <c r="E20" s="477" t="n"/>
    </row>
    <row r="21">
      <c r="C21" s="29" t="inlineStr">
        <is>
          <t>Pérdida del ejercicio M$</t>
        </is>
      </c>
      <c r="D21" s="34" t="n">
        <v>0</v>
      </c>
      <c r="E21" s="34" t="n">
        <v>0</v>
      </c>
    </row>
    <row r="22" ht="15" customHeight="1" s="533" thickBot="1">
      <c r="C22" s="29" t="inlineStr">
        <is>
          <t>Número de acciones</t>
        </is>
      </c>
      <c r="D22" s="34" t="n">
        <v>50334500</v>
      </c>
      <c r="E22" s="34" t="n">
        <v>50334500</v>
      </c>
    </row>
    <row r="23" ht="23.4" customHeight="1" s="533" thickBot="1">
      <c r="C23" s="29" t="inlineStr">
        <is>
          <t>Pérdida básica por acción (pesos por acción)</t>
        </is>
      </c>
      <c r="D23" s="482">
        <f>+D21/D22</f>
        <v/>
      </c>
      <c r="E23" s="482">
        <f>+E21/E22</f>
        <v/>
      </c>
    </row>
    <row r="24" ht="15" customHeight="1" s="533" thickTop="1">
      <c r="C24" s="29" t="n"/>
      <c r="D24" s="480" t="n"/>
      <c r="E24" s="480" t="n"/>
    </row>
    <row r="25">
      <c r="C25" s="451" t="inlineStr">
        <is>
          <t>#N20.4</t>
        </is>
      </c>
    </row>
    <row r="26">
      <c r="C26" s="484" t="inlineStr">
        <is>
          <t>Otras reservas</t>
        </is>
      </c>
    </row>
    <row r="28" ht="15.6" customHeight="1" s="533">
      <c r="C28" s="477" t="n"/>
      <c r="D28" s="485" t="inlineStr">
        <is>
          <t xml:space="preserve"> 31-12-2025</t>
        </is>
      </c>
      <c r="E28" s="485" t="inlineStr">
        <is>
          <t xml:space="preserve"> 31-12-2024 </t>
        </is>
      </c>
    </row>
    <row r="29">
      <c r="C29" s="118" t="n"/>
      <c r="D29" s="486" t="inlineStr">
        <is>
          <t xml:space="preserve"> M$ </t>
        </is>
      </c>
      <c r="E29" s="486" t="inlineStr">
        <is>
          <t xml:space="preserve">M$ </t>
        </is>
      </c>
    </row>
    <row r="30" ht="15.6" customHeight="1" s="533">
      <c r="C30" s="481" t="n"/>
      <c r="D30" s="477" t="n"/>
      <c r="E30" s="477" t="n"/>
    </row>
    <row r="31">
      <c r="C31" s="29" t="inlineStr">
        <is>
          <t>Saldo inicial 01-01</t>
        </is>
      </c>
      <c r="D31" s="34" t="n">
        <v>0</v>
      </c>
      <c r="E31" s="34" t="n">
        <v>0</v>
      </c>
    </row>
    <row r="32">
      <c r="C32" s="29" t="inlineStr">
        <is>
          <t>Revalorización de PPyE</t>
        </is>
      </c>
      <c r="D32" s="64" t="n">
        <v>0</v>
      </c>
      <c r="E32" s="64" t="n">
        <v>0</v>
      </c>
    </row>
    <row r="33" ht="15" customHeight="1" s="533" thickBot="1">
      <c r="C33" s="29" t="inlineStr">
        <is>
          <t>Reservas por coberturas</t>
        </is>
      </c>
      <c r="D33" s="34" t="n">
        <v>0</v>
      </c>
      <c r="E33" s="34" t="n">
        <v>0</v>
      </c>
    </row>
    <row r="34" ht="15" customHeight="1" s="533" thickBot="1">
      <c r="C34" s="29" t="inlineStr">
        <is>
          <t>Saldo 31-12-2025</t>
        </is>
      </c>
      <c r="D34" s="488">
        <f>SUM(D31:D33)</f>
        <v/>
      </c>
      <c r="E34" s="488">
        <f>SUM(E31:E33)</f>
        <v/>
      </c>
    </row>
    <row r="35" ht="15" customHeight="1" s="533" thickTop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C1:E51"/>
  <sheetViews>
    <sheetView showGridLines="0" topLeftCell="C1" zoomScale="80" zoomScaleNormal="80" workbookViewId="0">
      <selection activeCell="C1" sqref="C1"/>
    </sheetView>
  </sheetViews>
  <sheetFormatPr baseColWidth="10" defaultRowHeight="14.4"/>
  <cols>
    <col width="19.44140625" bestFit="1" customWidth="1" style="533" min="1" max="1"/>
    <col width="51" customWidth="1" style="533" min="3" max="3"/>
    <col width="16.44140625" customWidth="1" style="533" min="4" max="4"/>
    <col width="13.88671875" customWidth="1" style="533" min="5" max="5"/>
  </cols>
  <sheetData>
    <row r="1">
      <c r="C1" s="457" t="inlineStr">
        <is>
          <t>#N21.1</t>
        </is>
      </c>
    </row>
    <row r="2">
      <c r="C2" s="386" t="inlineStr">
        <is>
          <t>INGRESOS  DE LA OPERACIÓN</t>
        </is>
      </c>
    </row>
    <row r="4">
      <c r="C4" s="558" t="n"/>
      <c r="D4" s="72" t="inlineStr">
        <is>
          <t>30.06.2026</t>
        </is>
      </c>
      <c r="E4" s="72" t="inlineStr">
        <is>
          <t>31.12.2025</t>
        </is>
      </c>
    </row>
    <row r="5">
      <c r="D5" s="14" t="inlineStr">
        <is>
          <t>M$</t>
        </is>
      </c>
      <c r="E5" s="14" t="inlineStr">
        <is>
          <t>M$</t>
        </is>
      </c>
    </row>
    <row r="6">
      <c r="C6" s="233" t="inlineStr">
        <is>
          <t>Ingresos por servicios de televisión</t>
        </is>
      </c>
      <c r="D6" s="673" t="n"/>
      <c r="E6" s="673" t="n"/>
    </row>
    <row r="7">
      <c r="C7" s="233" t="inlineStr">
        <is>
          <t>Ingresos por servicios de internet</t>
        </is>
      </c>
      <c r="D7" s="673" t="n"/>
      <c r="E7" s="673" t="n"/>
    </row>
    <row r="8">
      <c r="C8" s="233" t="inlineStr">
        <is>
          <t xml:space="preserve">Ingresos por servicios domiciliarios </t>
        </is>
      </c>
      <c r="D8" s="673" t="n"/>
      <c r="E8" s="673" t="n"/>
    </row>
    <row r="9">
      <c r="C9" s="233" t="inlineStr">
        <is>
          <t xml:space="preserve">Ingresos por servicios de telefonía móvil </t>
        </is>
      </c>
      <c r="D9" s="673" t="n"/>
      <c r="E9" s="673" t="n"/>
    </row>
    <row r="10">
      <c r="C10" s="233" t="inlineStr">
        <is>
          <t>Ingresos por servicios a empresas</t>
        </is>
      </c>
      <c r="D10" s="673" t="n"/>
      <c r="E10" s="673" t="n"/>
    </row>
    <row r="11">
      <c r="C11" s="233" t="inlineStr">
        <is>
          <t>Otros ingresos de explotación</t>
        </is>
      </c>
      <c r="D11" s="673" t="n"/>
      <c r="E11" s="673" t="n"/>
    </row>
    <row r="12">
      <c r="C12" s="233" t="inlineStr">
        <is>
          <t>Ingresos por servicios IC</t>
        </is>
      </c>
      <c r="D12" s="673" t="n"/>
      <c r="E12" s="673" t="n"/>
    </row>
    <row r="13">
      <c r="C13" s="233" t="inlineStr">
        <is>
          <t>Ingresos intercompañía</t>
        </is>
      </c>
      <c r="D13" s="675" t="n"/>
      <c r="E13" s="675" t="n"/>
    </row>
    <row r="14" ht="15" customHeight="1" s="533" thickBot="1">
      <c r="C14" s="233" t="inlineStr">
        <is>
          <t>Total ingresos</t>
        </is>
      </c>
      <c r="D14" s="590">
        <f>SUM(D6:D13)</f>
        <v/>
      </c>
      <c r="E14" s="590">
        <f>SUM(E6:E13)</f>
        <v/>
      </c>
    </row>
    <row r="15">
      <c r="D15" s="584" t="n"/>
      <c r="E15" s="584" t="n"/>
    </row>
    <row r="17">
      <c r="C17" s="17" t="n"/>
      <c r="E17" s="17" t="n"/>
    </row>
    <row r="18">
      <c r="C18" s="457" t="inlineStr">
        <is>
          <t>#N21.2</t>
        </is>
      </c>
      <c r="E18" s="17" t="n"/>
    </row>
    <row r="19">
      <c r="C19" s="413" t="inlineStr">
        <is>
          <t>COSTOS DE LA OPERACIÓN</t>
        </is>
      </c>
      <c r="E19" s="17" t="n"/>
    </row>
    <row r="20">
      <c r="C20" s="17" t="n"/>
      <c r="D20" s="72" t="inlineStr">
        <is>
          <t>30.06.2026</t>
        </is>
      </c>
      <c r="E20" s="72" t="inlineStr">
        <is>
          <t>31.12.2025</t>
        </is>
      </c>
    </row>
    <row r="21">
      <c r="C21" s="17" t="n"/>
      <c r="D21" s="14" t="inlineStr">
        <is>
          <t xml:space="preserve">  M$</t>
        </is>
      </c>
      <c r="E21" s="17" t="inlineStr">
        <is>
          <t>M$</t>
        </is>
      </c>
    </row>
    <row r="22">
      <c r="C22" s="17" t="n"/>
      <c r="D22" s="14" t="n"/>
      <c r="E22" s="17" t="n"/>
    </row>
    <row r="23">
      <c r="C23" s="233" t="inlineStr">
        <is>
          <t>Costos por servicios de televisión</t>
        </is>
      </c>
      <c r="D23" s="707" t="n"/>
      <c r="E23" s="708" t="n"/>
    </row>
    <row r="24">
      <c r="C24" s="233" t="inlineStr">
        <is>
          <t>Costos por servicios de internet</t>
        </is>
      </c>
      <c r="D24" s="707" t="n"/>
      <c r="E24" s="708" t="n"/>
    </row>
    <row r="25">
      <c r="C25" s="233" t="inlineStr">
        <is>
          <t>Costos por servicios de telefonía</t>
        </is>
      </c>
      <c r="D25" s="707" t="n"/>
      <c r="E25" s="708" t="n"/>
    </row>
    <row r="26">
      <c r="C26" s="233" t="inlineStr">
        <is>
          <t>Costos por servicios de internet, television y telefonía</t>
        </is>
      </c>
      <c r="D26" s="707" t="n"/>
      <c r="E26" s="709" t="n"/>
    </row>
    <row r="27">
      <c r="C27" s="233" t="inlineStr">
        <is>
          <t>Costos por red de transmisión</t>
        </is>
      </c>
      <c r="D27" s="707" t="n"/>
      <c r="E27" s="709" t="n"/>
    </row>
    <row r="28">
      <c r="C28" s="233" t="inlineStr">
        <is>
          <t>Costos por red domiciliaria</t>
        </is>
      </c>
      <c r="D28" s="707" t="n"/>
      <c r="E28" s="709" t="n"/>
    </row>
    <row r="29">
      <c r="C29" s="233" t="inlineStr">
        <is>
          <t>Costos por remuneraciones</t>
        </is>
      </c>
      <c r="D29" s="707" t="n"/>
      <c r="E29" s="709" t="n"/>
    </row>
    <row r="30">
      <c r="C30" s="233" t="inlineStr">
        <is>
          <t>Costo por indemnizaciones del personal</t>
        </is>
      </c>
      <c r="D30" s="707" t="n"/>
      <c r="E30" s="709" t="n"/>
    </row>
    <row r="31" ht="15" customHeight="1" s="533">
      <c r="C31" s="233" t="inlineStr">
        <is>
          <t>Costos por servicios externos</t>
        </is>
      </c>
      <c r="D31" s="707" t="n"/>
      <c r="E31" s="709" t="n"/>
    </row>
    <row r="32">
      <c r="C32" s="233" t="inlineStr">
        <is>
          <t>Costos flota</t>
        </is>
      </c>
      <c r="D32" s="707" t="n"/>
      <c r="E32" s="709" t="n"/>
    </row>
    <row r="33" ht="15" customHeight="1" s="533">
      <c r="C33" s="233" t="inlineStr">
        <is>
          <t>Costos arriendos</t>
        </is>
      </c>
      <c r="D33" s="707" t="n"/>
      <c r="E33" s="709" t="n"/>
    </row>
    <row r="34" ht="15" customHeight="1" s="533">
      <c r="C34" s="233" t="inlineStr">
        <is>
          <t>Costos venta de materiales IC</t>
        </is>
      </c>
      <c r="D34" s="707" t="n"/>
      <c r="E34" s="709" t="n"/>
    </row>
    <row r="35">
      <c r="C35" s="233" t="inlineStr">
        <is>
          <t>Costos por servicios básicos</t>
        </is>
      </c>
      <c r="D35" s="707" t="n"/>
      <c r="E35" s="709" t="n"/>
    </row>
    <row r="36">
      <c r="C36" s="233" t="inlineStr">
        <is>
          <t>Costo por venta de materiales e inventarios</t>
        </is>
      </c>
      <c r="D36" s="707" t="n"/>
      <c r="E36" s="709" t="n"/>
    </row>
    <row r="37" ht="15" customHeight="1" s="533" thickBot="1">
      <c r="C37" s="233" t="inlineStr">
        <is>
          <t>Otros costos por servicios</t>
        </is>
      </c>
      <c r="D37" s="707" t="n"/>
      <c r="E37" s="710" t="n"/>
    </row>
    <row r="38" ht="15" customHeight="1" s="533" thickBot="1">
      <c r="C38" s="233" t="inlineStr">
        <is>
          <t>Total costos</t>
        </is>
      </c>
      <c r="D38" s="711">
        <f>SUM(D23:D37)</f>
        <v/>
      </c>
      <c r="E38" s="711">
        <f>SUM(E23:E37)</f>
        <v/>
      </c>
    </row>
    <row r="39">
      <c r="D39" s="584" t="n"/>
      <c r="E39" s="584" t="n"/>
    </row>
    <row r="41">
      <c r="C41" s="392" t="inlineStr">
        <is>
          <t>DEPRECIACION OPERACIONAL</t>
        </is>
      </c>
    </row>
    <row r="42">
      <c r="C42" s="558" t="n"/>
    </row>
    <row r="43">
      <c r="C43" s="233" t="inlineStr">
        <is>
          <t>Depreciacion operacional</t>
        </is>
      </c>
      <c r="D43" s="707" t="n"/>
      <c r="E43" s="709" t="n"/>
    </row>
    <row r="44" ht="15" customHeight="1" s="533" thickBot="1">
      <c r="C44" s="233" t="inlineStr">
        <is>
          <t>Amortización derechos de uso</t>
        </is>
      </c>
      <c r="D44" s="712" t="n"/>
      <c r="E44" s="709" t="n"/>
    </row>
    <row r="45" ht="15" customHeight="1" s="533" thickBot="1">
      <c r="C45" s="233" t="inlineStr">
        <is>
          <t>Total Depreciacion</t>
        </is>
      </c>
      <c r="D45" s="711">
        <f>SUM(D43:D44)</f>
        <v/>
      </c>
      <c r="E45" s="711">
        <f>SUM(E43:E44)</f>
        <v/>
      </c>
    </row>
    <row r="46" ht="15" customHeight="1" s="533">
      <c r="C46" s="233" t="n"/>
      <c r="D46" s="713" t="n"/>
      <c r="E46" s="713" t="n"/>
    </row>
    <row r="47">
      <c r="C47" s="457" t="inlineStr">
        <is>
          <t>#N21.3</t>
        </is>
      </c>
      <c r="E47" s="584" t="n"/>
    </row>
    <row r="48">
      <c r="C48" s="413" t="inlineStr">
        <is>
          <t>ARRIENDO DE FIBRA IC</t>
        </is>
      </c>
      <c r="D48" s="584" t="n"/>
      <c r="E48" s="584" t="n"/>
    </row>
    <row r="49">
      <c r="C49" s="233" t="inlineStr">
        <is>
          <t>Costos arriendos IC</t>
        </is>
      </c>
      <c r="D49" s="707" t="n"/>
    </row>
    <row r="50" ht="15" customHeight="1" s="533" thickBot="1">
      <c r="C50" s="386" t="inlineStr">
        <is>
          <t>Ingresos de arriendo fibra optica</t>
        </is>
      </c>
      <c r="D50" s="552" t="n"/>
      <c r="E50" s="675" t="n"/>
    </row>
    <row r="51" ht="15" customHeight="1" s="533" thickBot="1">
      <c r="C51" s="233" t="inlineStr">
        <is>
          <t>Costos uso fibra optica</t>
        </is>
      </c>
      <c r="D51" s="711">
        <f>SUM(D49:D50)</f>
        <v/>
      </c>
      <c r="E51" s="711">
        <f>SUM(E49:E50)</f>
        <v/>
      </c>
    </row>
  </sheetData>
  <mergeCells count="1">
    <mergeCell ref="C4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4:D38"/>
  <sheetViews>
    <sheetView showGridLines="0" workbookViewId="0">
      <selection activeCell="B32" sqref="B32"/>
    </sheetView>
  </sheetViews>
  <sheetFormatPr baseColWidth="10" defaultRowHeight="14.4"/>
  <cols>
    <col width="28.33203125" customWidth="1" style="533" min="1" max="1"/>
    <col width="40.6640625" customWidth="1" style="533" min="2" max="2"/>
    <col outlineLevel="1" width="15.77734375" customWidth="1" style="533" min="3" max="3"/>
    <col outlineLevel="1" width="12.6640625" customWidth="1" style="117" min="4" max="4"/>
  </cols>
  <sheetData>
    <row r="4">
      <c r="B4" s="457" t="inlineStr">
        <is>
          <t>#N22.1</t>
        </is>
      </c>
    </row>
    <row r="5">
      <c r="B5" s="558" t="n"/>
      <c r="C5" s="72" t="inlineStr">
        <is>
          <t>30.06.2026</t>
        </is>
      </c>
      <c r="D5" s="72" t="inlineStr">
        <is>
          <t>31.12.2025</t>
        </is>
      </c>
    </row>
    <row r="6">
      <c r="B6" s="14" t="n"/>
      <c r="C6" s="14" t="inlineStr">
        <is>
          <t>M$</t>
        </is>
      </c>
      <c r="D6" s="14" t="inlineStr">
        <is>
          <t>M$</t>
        </is>
      </c>
    </row>
    <row r="7">
      <c r="B7" s="558" t="n"/>
      <c r="C7" s="64" t="n"/>
      <c r="D7" s="116" t="n"/>
    </row>
    <row r="8">
      <c r="B8" s="233" t="inlineStr">
        <is>
          <t>Sueldos y salarios (1)</t>
        </is>
      </c>
      <c r="C8" s="673" t="n"/>
      <c r="D8" s="673" t="n"/>
    </row>
    <row r="9">
      <c r="B9" s="233" t="inlineStr">
        <is>
          <t>Gasto por indemnizaciónes del personal</t>
        </is>
      </c>
      <c r="C9" s="673" t="n"/>
      <c r="D9" s="673" t="n"/>
    </row>
    <row r="10">
      <c r="B10" s="233" t="inlineStr">
        <is>
          <t>Gastos por facturación</t>
        </is>
      </c>
      <c r="C10" s="673" t="n"/>
      <c r="D10" s="673" t="n"/>
    </row>
    <row r="11">
      <c r="B11" s="233" t="inlineStr">
        <is>
          <t>Arriendos inmuebles</t>
        </is>
      </c>
      <c r="C11" s="673" t="n"/>
      <c r="D11" s="673" t="n"/>
    </row>
    <row r="12">
      <c r="B12" s="233" t="inlineStr">
        <is>
          <t>Honorarios profesionales</t>
        </is>
      </c>
      <c r="C12" s="673" t="n"/>
      <c r="D12" s="673" t="n"/>
    </row>
    <row r="13">
      <c r="B13" s="233" t="inlineStr">
        <is>
          <t>Gastos de recaudación</t>
        </is>
      </c>
      <c r="C13" s="673" t="n"/>
      <c r="D13" s="673" t="n"/>
    </row>
    <row r="14">
      <c r="B14" s="233" t="inlineStr">
        <is>
          <t>Pérdida por deudores incobrables</t>
        </is>
      </c>
      <c r="C14" s="673" t="n"/>
      <c r="D14" s="673" t="n"/>
    </row>
    <row r="15">
      <c r="B15" s="233" t="inlineStr">
        <is>
          <t>Gastos de mantención</t>
        </is>
      </c>
      <c r="C15" s="673" t="n"/>
      <c r="D15" s="673" t="n"/>
    </row>
    <row r="16">
      <c r="B16" s="233" t="inlineStr">
        <is>
          <t>Viáticos y estadía</t>
        </is>
      </c>
      <c r="C16" s="673" t="n"/>
      <c r="D16" s="673" t="n"/>
    </row>
    <row r="17">
      <c r="B17" s="233" t="inlineStr">
        <is>
          <t>Servicios de terceros</t>
        </is>
      </c>
      <c r="C17" s="673" t="n"/>
      <c r="D17" s="673" t="n"/>
    </row>
    <row r="18">
      <c r="B18" s="233" t="inlineStr">
        <is>
          <t>Servicios básicos y gastos comunes</t>
        </is>
      </c>
      <c r="C18" s="673" t="n"/>
      <c r="D18" s="673" t="n"/>
    </row>
    <row r="19">
      <c r="B19" s="233" t="inlineStr">
        <is>
          <t>Servicios de vigilancia</t>
        </is>
      </c>
      <c r="C19" s="673" t="n"/>
      <c r="D19" s="673" t="n"/>
    </row>
    <row r="20">
      <c r="B20" s="233" t="inlineStr">
        <is>
          <t>Gastos de marketing y publicidad</t>
        </is>
      </c>
      <c r="C20" s="673" t="n"/>
      <c r="D20" s="673" t="n"/>
    </row>
    <row r="21">
      <c r="B21" s="233" t="inlineStr">
        <is>
          <t>Gastos de servicios intercompañia</t>
        </is>
      </c>
      <c r="C21" s="673" t="n"/>
      <c r="D21" s="673" t="n"/>
    </row>
    <row r="22">
      <c r="B22" s="233" t="inlineStr">
        <is>
          <t>Gastos por patentes comerciales</t>
        </is>
      </c>
      <c r="C22" s="673" t="n"/>
      <c r="D22" s="673" t="n"/>
    </row>
    <row r="23">
      <c r="B23" s="233" t="inlineStr">
        <is>
          <t>Gastos de seguros</t>
        </is>
      </c>
      <c r="C23" s="673" t="n"/>
      <c r="D23" s="673" t="n"/>
    </row>
    <row r="24">
      <c r="B24" s="233" t="inlineStr">
        <is>
          <t>Gastos legales, correo y oficina</t>
        </is>
      </c>
      <c r="C24" s="673" t="n"/>
      <c r="D24" s="673" t="n"/>
    </row>
    <row r="25" ht="15" customHeight="1" s="533" thickBot="1">
      <c r="B25" s="233" t="inlineStr">
        <is>
          <t>Otros gastos generales</t>
        </is>
      </c>
      <c r="C25" s="673" t="n"/>
      <c r="D25" s="673" t="n"/>
    </row>
    <row r="26" ht="15" customHeight="1" s="533" thickBot="1">
      <c r="B26" s="233" t="inlineStr">
        <is>
          <t>Total gastos de administración</t>
        </is>
      </c>
      <c r="C26" s="714">
        <f>SUM(C8:C25)</f>
        <v/>
      </c>
      <c r="D26" s="714">
        <f>SUM(D8:D25)</f>
        <v/>
      </c>
    </row>
    <row r="27">
      <c r="C27" s="584" t="n"/>
      <c r="D27" s="584" t="n"/>
    </row>
    <row r="28">
      <c r="C28" s="584" t="n"/>
      <c r="D28" s="584" t="n"/>
    </row>
    <row r="31">
      <c r="B31" s="451" t="inlineStr">
        <is>
          <t>#N22.2</t>
        </is>
      </c>
    </row>
    <row r="32">
      <c r="B32" s="386" t="inlineStr">
        <is>
          <t>Depreciacion y amortizaciones</t>
        </is>
      </c>
      <c r="C32" s="72" t="inlineStr">
        <is>
          <t>30.06.2026</t>
        </is>
      </c>
      <c r="D32" s="72" t="inlineStr">
        <is>
          <t>31.12.2025</t>
        </is>
      </c>
    </row>
    <row r="33">
      <c r="C33" s="14" t="inlineStr">
        <is>
          <t>M$</t>
        </is>
      </c>
      <c r="D33" s="14" t="inlineStr">
        <is>
          <t>M$</t>
        </is>
      </c>
    </row>
    <row r="34">
      <c r="C34" s="14" t="n"/>
      <c r="D34" s="14" t="n"/>
    </row>
    <row r="35">
      <c r="B35" s="386" t="inlineStr">
        <is>
          <t>Depreciacion en gtos de adm</t>
        </is>
      </c>
      <c r="C35" s="597" t="n"/>
      <c r="D35" s="597" t="n"/>
    </row>
    <row r="36">
      <c r="B36" s="386" t="inlineStr">
        <is>
          <t>Amortizacion intangibles</t>
        </is>
      </c>
      <c r="C36" s="597" t="n"/>
      <c r="D36" s="597" t="n"/>
    </row>
    <row r="37">
      <c r="B37" s="386" t="inlineStr">
        <is>
          <t>Amortizacion cartera clientes</t>
        </is>
      </c>
      <c r="C37" s="597" t="n"/>
      <c r="D37" s="597" t="n"/>
    </row>
    <row r="38" ht="15" customHeight="1" s="533" thickBot="1">
      <c r="C38" s="715">
        <f>SUM(C35:C37)</f>
        <v/>
      </c>
      <c r="D38" s="715">
        <f>SUM(D35:D37)</f>
        <v/>
      </c>
    </row>
    <row r="39" ht="15" customHeight="1" s="533" thickTop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92D050"/>
    <outlinePr summaryBelow="1" summaryRight="1"/>
    <pageSetUpPr/>
  </sheetPr>
  <dimension ref="C1:G23"/>
  <sheetViews>
    <sheetView showGridLines="0" topLeftCell="B1" zoomScale="90" zoomScaleNormal="90" workbookViewId="0">
      <selection activeCell="C17" sqref="C17"/>
    </sheetView>
  </sheetViews>
  <sheetFormatPr baseColWidth="10" defaultRowHeight="14.4"/>
  <cols>
    <col width="35.44140625" bestFit="1" customWidth="1" style="533" min="3" max="3"/>
    <col width="22.109375" customWidth="1" style="533" min="4" max="4"/>
    <col width="11.5546875" customWidth="1" style="533" min="5" max="5"/>
    <col width="13" customWidth="1" style="533" min="6" max="6"/>
    <col width="11.6640625" bestFit="1" customWidth="1" style="533" min="8" max="8"/>
  </cols>
  <sheetData>
    <row r="1">
      <c r="C1" s="457" t="inlineStr">
        <is>
          <t>#N23.1</t>
        </is>
      </c>
    </row>
    <row r="2">
      <c r="C2" s="387" t="inlineStr">
        <is>
          <t>Diferencia de cambios</t>
        </is>
      </c>
      <c r="E2" s="24" t="n"/>
      <c r="F2" s="24" t="n"/>
    </row>
    <row r="3">
      <c r="E3" s="72" t="inlineStr">
        <is>
          <t>30.06.2026</t>
        </is>
      </c>
      <c r="F3" s="72" t="inlineStr">
        <is>
          <t>31.12.2025</t>
        </is>
      </c>
    </row>
    <row r="4">
      <c r="C4" s="32" t="n"/>
      <c r="D4" s="32" t="n"/>
      <c r="E4" s="14" t="inlineStr">
        <is>
          <t>M$</t>
        </is>
      </c>
      <c r="F4" s="14" t="inlineStr">
        <is>
          <t>M$</t>
        </is>
      </c>
    </row>
    <row r="5">
      <c r="C5" s="32" t="n"/>
      <c r="D5" s="32" t="n"/>
      <c r="E5" s="14" t="n"/>
      <c r="F5" s="14" t="n"/>
    </row>
    <row r="6">
      <c r="C6" s="110" t="inlineStr">
        <is>
          <t>Efectivo y efectivo equivalente</t>
        </is>
      </c>
      <c r="D6" s="110" t="inlineStr">
        <is>
          <t>Dólares estadounidenses</t>
        </is>
      </c>
      <c r="E6" s="673" t="n"/>
      <c r="F6" s="673" t="n"/>
      <c r="G6" s="584" t="n"/>
    </row>
    <row r="7">
      <c r="C7" s="110" t="inlineStr">
        <is>
          <t xml:space="preserve">Cuentas por pagar comerciales </t>
        </is>
      </c>
      <c r="D7" s="110" t="inlineStr">
        <is>
          <t>Dólares estadounidenses</t>
        </is>
      </c>
      <c r="E7" s="673" t="n"/>
      <c r="F7" s="673" t="n"/>
      <c r="G7" s="584" t="n"/>
    </row>
    <row r="8">
      <c r="C8" s="110" t="inlineStr">
        <is>
          <t>Pasivos financieros</t>
        </is>
      </c>
      <c r="D8" s="110" t="inlineStr">
        <is>
          <t>Dólares estadounidenses</t>
        </is>
      </c>
      <c r="E8" s="673" t="n"/>
      <c r="F8" s="673" t="n"/>
      <c r="G8" s="584" t="n"/>
    </row>
    <row r="9">
      <c r="C9" s="110" t="inlineStr">
        <is>
          <t>Derivados de cobertura</t>
        </is>
      </c>
      <c r="D9" s="110" t="inlineStr">
        <is>
          <t>Dólares estadounidenses</t>
        </is>
      </c>
      <c r="E9" s="673" t="n"/>
      <c r="F9" s="673" t="n"/>
      <c r="G9" s="584" t="n"/>
    </row>
    <row r="10">
      <c r="C10" s="233" t="inlineStr">
        <is>
          <t>Cuentas por cobrar con entidades relacionadas</t>
        </is>
      </c>
      <c r="D10" s="110" t="inlineStr">
        <is>
          <t>Dólares estadounidenses</t>
        </is>
      </c>
      <c r="E10" s="673" t="n"/>
      <c r="F10" s="673" t="n"/>
      <c r="G10" s="584" t="n"/>
    </row>
    <row r="11">
      <c r="C11" s="233" t="inlineStr">
        <is>
          <t>Otros activos financieros</t>
        </is>
      </c>
      <c r="D11" s="110" t="inlineStr">
        <is>
          <t>Dólares estadounidenses</t>
        </is>
      </c>
      <c r="E11" s="673" t="n"/>
      <c r="F11" s="673" t="n"/>
      <c r="G11" s="584" t="n"/>
    </row>
    <row r="12" ht="15" customHeight="1" s="533" thickBot="1">
      <c r="C12" s="110" t="inlineStr">
        <is>
          <t>Impuestos</t>
        </is>
      </c>
      <c r="D12" s="110" t="inlineStr">
        <is>
          <t>Dólares estadounidenses</t>
        </is>
      </c>
      <c r="E12" s="590" t="n"/>
      <c r="F12" s="590" t="n"/>
    </row>
    <row r="13" ht="15" customHeight="1" s="533" thickBot="1">
      <c r="C13" s="110" t="inlineStr">
        <is>
          <t>Total diferencia de cambio</t>
        </is>
      </c>
      <c r="D13" s="110" t="n"/>
      <c r="E13" s="590">
        <f>SUM(E6:E12)</f>
        <v/>
      </c>
      <c r="F13" s="590">
        <f>SUM(F6:F12)</f>
        <v/>
      </c>
    </row>
    <row r="14">
      <c r="E14" s="584" t="n"/>
      <c r="F14" s="584" t="n"/>
    </row>
    <row r="16">
      <c r="C16" s="457" t="inlineStr">
        <is>
          <t>#N23.2</t>
        </is>
      </c>
    </row>
    <row r="17">
      <c r="C17" s="387" t="inlineStr">
        <is>
          <t>Resultados por unidad de reajustes</t>
        </is>
      </c>
      <c r="E17" s="24" t="n"/>
      <c r="F17" s="24" t="n"/>
    </row>
    <row r="18">
      <c r="C18" s="559" t="n"/>
      <c r="D18" s="559" t="n"/>
      <c r="E18" s="72" t="inlineStr">
        <is>
          <t>30.06.2026</t>
        </is>
      </c>
      <c r="F18" s="72" t="inlineStr">
        <is>
          <t>31.12.2025</t>
        </is>
      </c>
    </row>
    <row r="19">
      <c r="D19" s="393" t="inlineStr">
        <is>
          <t>Moneda</t>
        </is>
      </c>
      <c r="E19" s="14" t="inlineStr">
        <is>
          <t>M$</t>
        </is>
      </c>
      <c r="F19" s="14" t="inlineStr">
        <is>
          <t>M$</t>
        </is>
      </c>
    </row>
    <row r="20">
      <c r="D20" s="111" t="n"/>
      <c r="E20" s="14" t="n"/>
      <c r="F20" s="14" t="n"/>
    </row>
    <row r="21">
      <c r="C21" s="110" t="inlineStr">
        <is>
          <t>Pasivos financieros.</t>
        </is>
      </c>
      <c r="D21" s="394" t="inlineStr">
        <is>
          <t>UF</t>
        </is>
      </c>
      <c r="E21" s="673" t="n"/>
      <c r="F21" s="673" t="n"/>
    </row>
    <row r="22" ht="15" customHeight="1" s="533" thickBot="1">
      <c r="C22" s="110" t="inlineStr">
        <is>
          <t>Otros</t>
        </is>
      </c>
      <c r="D22" s="394" t="inlineStr">
        <is>
          <t>UF</t>
        </is>
      </c>
      <c r="E22" s="590" t="n"/>
      <c r="F22" s="590" t="n"/>
    </row>
    <row r="23" ht="15" customHeight="1" s="533" thickBot="1">
      <c r="C23" s="110" t="inlineStr">
        <is>
          <t>Total resultado por unidad de reajuste</t>
        </is>
      </c>
      <c r="D23" s="559" t="n"/>
      <c r="E23" s="590">
        <f>SUM(E21:E22)</f>
        <v/>
      </c>
      <c r="F23" s="590">
        <f>SUM(F21:F22)</f>
        <v/>
      </c>
    </row>
  </sheetData>
  <mergeCells count="1">
    <mergeCell ref="C18:C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B1:D26"/>
  <sheetViews>
    <sheetView showGridLines="0" zoomScale="80" zoomScaleNormal="80" workbookViewId="0">
      <selection activeCell="C18" sqref="C18"/>
    </sheetView>
  </sheetViews>
  <sheetFormatPr baseColWidth="10" defaultRowHeight="14.4"/>
  <cols>
    <col width="42.109375" customWidth="1" style="533" min="2" max="2"/>
    <col width="13.109375" customWidth="1" style="533" min="3" max="3"/>
    <col width="12.77734375" customWidth="1" style="533" min="4" max="4"/>
    <col width="3.109375" customWidth="1" style="533" min="5" max="5"/>
  </cols>
  <sheetData>
    <row r="1">
      <c r="B1" s="457" t="inlineStr">
        <is>
          <t>#N24.1</t>
        </is>
      </c>
    </row>
    <row r="2">
      <c r="B2" s="387" t="inlineStr">
        <is>
          <t>Costos financieros</t>
        </is>
      </c>
      <c r="C2" s="24" t="n"/>
      <c r="D2" s="24" t="n"/>
    </row>
    <row r="4">
      <c r="B4" s="17" t="n"/>
      <c r="C4" s="72" t="inlineStr">
        <is>
          <t>30.06.2026</t>
        </is>
      </c>
      <c r="D4" s="72" t="inlineStr">
        <is>
          <t>31.12.2025</t>
        </is>
      </c>
    </row>
    <row r="5">
      <c r="B5" s="17" t="n"/>
      <c r="C5" s="118" t="inlineStr">
        <is>
          <t>M$</t>
        </is>
      </c>
      <c r="D5" s="118" t="inlineStr">
        <is>
          <t>M$</t>
        </is>
      </c>
    </row>
    <row r="6">
      <c r="B6" s="17" t="n"/>
      <c r="C6" s="559" t="n"/>
      <c r="D6" s="559" t="n"/>
    </row>
    <row r="7">
      <c r="B7" s="233" t="inlineStr">
        <is>
          <t>Intereses préstamos bancarios</t>
        </is>
      </c>
      <c r="C7" s="673" t="n"/>
      <c r="D7" s="582" t="n"/>
    </row>
    <row r="8">
      <c r="B8" s="233" t="inlineStr">
        <is>
          <t>Amortizacion costos de emision</t>
        </is>
      </c>
      <c r="C8" s="673" t="n"/>
      <c r="D8" s="582" t="n"/>
    </row>
    <row r="9">
      <c r="B9" s="233" t="inlineStr">
        <is>
          <t>Liquidacion anticipada de coberturas</t>
        </is>
      </c>
      <c r="C9" s="673" t="n"/>
      <c r="D9" s="582" t="n"/>
    </row>
    <row r="10">
      <c r="B10" s="233" t="inlineStr">
        <is>
          <t>Intereses préstamos empresas relacionadas</t>
        </is>
      </c>
      <c r="C10" s="673" t="n"/>
      <c r="D10" s="582" t="n"/>
    </row>
    <row r="11">
      <c r="B11" s="233" t="inlineStr">
        <is>
          <t>Intereses leasing</t>
        </is>
      </c>
      <c r="C11" s="673" t="n"/>
      <c r="D11" s="673" t="n"/>
    </row>
    <row r="12">
      <c r="B12" s="233" t="inlineStr">
        <is>
          <t>Gastos y comisiones bancarias</t>
        </is>
      </c>
      <c r="C12" s="673" t="n"/>
      <c r="D12" s="673" t="n"/>
    </row>
    <row r="13">
      <c r="B13" s="233" t="inlineStr">
        <is>
          <t>Costo financiero por instrumentos de cobertura</t>
        </is>
      </c>
      <c r="C13" s="673" t="n"/>
      <c r="D13" s="673" t="n"/>
    </row>
    <row r="14">
      <c r="B14" s="233" t="inlineStr">
        <is>
          <t xml:space="preserve">Otros costos financieros </t>
        </is>
      </c>
      <c r="C14" s="582" t="n"/>
      <c r="D14" s="582" t="n"/>
    </row>
    <row r="15" ht="15" customHeight="1" s="533" thickBot="1">
      <c r="B15" s="233" t="inlineStr">
        <is>
          <t>Gastos financieros derecho de uso (2)</t>
        </is>
      </c>
      <c r="C15" s="585" t="n"/>
      <c r="D15" s="585" t="n"/>
    </row>
    <row r="16" ht="15" customHeight="1" s="533" thickBot="1">
      <c r="B16" s="233" t="inlineStr">
        <is>
          <t>Total, costos financieros</t>
        </is>
      </c>
      <c r="C16" s="585">
        <f>SUM(C7:C15)</f>
        <v/>
      </c>
      <c r="D16" s="585">
        <f>SUM(D7:D15)</f>
        <v/>
      </c>
    </row>
    <row r="17" ht="20.1" customHeight="1" s="533">
      <c r="C17" s="584" t="n"/>
      <c r="D17" s="584" t="n"/>
    </row>
    <row r="18">
      <c r="D18" s="584" t="n"/>
    </row>
    <row r="19">
      <c r="B19" s="457" t="inlineStr">
        <is>
          <t>#N24.2</t>
        </is>
      </c>
    </row>
    <row r="20">
      <c r="B20" s="387" t="inlineStr">
        <is>
          <t>Ingresos financieros</t>
        </is>
      </c>
      <c r="C20" s="24" t="n"/>
      <c r="D20" s="24" t="n"/>
    </row>
    <row r="21">
      <c r="B21" s="558" t="n"/>
      <c r="C21" s="72" t="inlineStr">
        <is>
          <t>30.06.2026</t>
        </is>
      </c>
      <c r="D21" s="72" t="inlineStr">
        <is>
          <t>31.12.2025</t>
        </is>
      </c>
    </row>
    <row r="22">
      <c r="C22" s="559" t="inlineStr">
        <is>
          <t>M$</t>
        </is>
      </c>
      <c r="D22" s="559" t="inlineStr">
        <is>
          <t>M$</t>
        </is>
      </c>
    </row>
    <row r="23">
      <c r="B23" s="233" t="inlineStr">
        <is>
          <t>Ganancia en instrumentos de cobertura*</t>
        </is>
      </c>
      <c r="C23" s="673" t="n">
        <v>0</v>
      </c>
      <c r="D23" s="673" t="n">
        <v>0</v>
      </c>
    </row>
    <row r="24" ht="23.4" customHeight="1" s="533" thickBot="1">
      <c r="B24" s="233" t="inlineStr">
        <is>
          <t>Ganancia sobre inversiones en instrumentos financieros</t>
        </is>
      </c>
      <c r="C24" s="673" t="n"/>
      <c r="D24" s="673" t="n"/>
    </row>
    <row r="25" ht="15" customHeight="1" s="533" thickBot="1">
      <c r="B25" s="233" t="inlineStr">
        <is>
          <t>Total</t>
        </is>
      </c>
      <c r="C25" s="714">
        <f>SUM(C23:C24)</f>
        <v/>
      </c>
      <c r="D25" s="714">
        <f>SUM(D23:D24)</f>
        <v/>
      </c>
    </row>
    <row r="26">
      <c r="B26" s="54" t="n"/>
    </row>
  </sheetData>
  <mergeCells count="1">
    <mergeCell ref="B21:B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1:AN12"/>
  <sheetViews>
    <sheetView showGridLines="0" workbookViewId="0">
      <selection activeCell="C1" sqref="C1:E1048576"/>
    </sheetView>
  </sheetViews>
  <sheetFormatPr baseColWidth="10" defaultRowHeight="14.4"/>
  <cols>
    <col width="36" customWidth="1" style="533" min="2" max="2"/>
    <col width="13.5546875" customWidth="1" style="533" min="3" max="3"/>
    <col width="13.6640625" customWidth="1" style="533" min="4" max="5"/>
    <col width="11.5546875" customWidth="1" style="533" min="6" max="13"/>
    <col width="14.77734375" customWidth="1" style="533" min="14" max="14"/>
    <col hidden="1" width="13" customWidth="1" style="533" min="15" max="38"/>
    <col width="12" customWidth="1" style="533" min="39" max="39"/>
  </cols>
  <sheetData>
    <row r="1">
      <c r="B1" s="5" t="inlineStr">
        <is>
          <t>Otros gastos por función</t>
        </is>
      </c>
    </row>
    <row r="2">
      <c r="B2" s="457" t="inlineStr">
        <is>
          <t>#N25.1</t>
        </is>
      </c>
    </row>
    <row r="3">
      <c r="C3" s="72" t="inlineStr">
        <is>
          <t>30.06.2026</t>
        </is>
      </c>
      <c r="D3" s="72" t="inlineStr">
        <is>
          <t>31.12.2025</t>
        </is>
      </c>
    </row>
    <row r="4">
      <c r="C4" s="14" t="inlineStr">
        <is>
          <t>M$</t>
        </is>
      </c>
      <c r="D4" s="14" t="inlineStr">
        <is>
          <t>M$</t>
        </is>
      </c>
    </row>
    <row r="5">
      <c r="C5" s="14" t="n"/>
      <c r="D5" s="559" t="n"/>
    </row>
    <row r="6">
      <c r="B6" s="233" t="inlineStr">
        <is>
          <t xml:space="preserve">Indemnizaciones y  multas </t>
        </is>
      </c>
      <c r="C6" s="673" t="n"/>
      <c r="D6" s="673" t="n"/>
    </row>
    <row r="7">
      <c r="B7" s="233" t="inlineStr">
        <is>
          <t>Castigo de inventarios</t>
        </is>
      </c>
      <c r="C7" s="673" t="n"/>
      <c r="D7" s="673" t="n"/>
    </row>
    <row r="8">
      <c r="B8" s="233" t="inlineStr">
        <is>
          <t>Castigo de proyectos</t>
        </is>
      </c>
      <c r="C8" s="673" t="n"/>
      <c r="D8" s="673" t="n"/>
    </row>
    <row r="9">
      <c r="B9" s="233" t="inlineStr">
        <is>
          <t>Castigo de otros deudores</t>
        </is>
      </c>
      <c r="C9" s="673" t="n"/>
      <c r="D9" s="673" t="n"/>
    </row>
    <row r="10">
      <c r="B10" s="233" t="inlineStr">
        <is>
          <t>Provision obsolescencia</t>
        </is>
      </c>
      <c r="C10" s="673" t="n"/>
      <c r="D10" s="673" t="n"/>
    </row>
    <row r="11" ht="15" customHeight="1" s="533" thickBot="1">
      <c r="B11" s="233" t="inlineStr">
        <is>
          <t>Otros  (cta 3106104)</t>
        </is>
      </c>
      <c r="C11" s="590" t="n"/>
      <c r="D11" s="590" t="n"/>
      <c r="AN11" s="166" t="n"/>
    </row>
    <row r="12" ht="15" customHeight="1" s="533" thickBot="1">
      <c r="B12" s="233" t="inlineStr">
        <is>
          <t>Total</t>
        </is>
      </c>
      <c r="C12" s="588">
        <f>SUM(C6:C12)</f>
        <v/>
      </c>
      <c r="D12" s="588">
        <f>SUM(D6:D12)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92D050"/>
    <outlinePr summaryBelow="1" summaryRight="1"/>
    <pageSetUpPr/>
  </sheetPr>
  <dimension ref="B3:D13"/>
  <sheetViews>
    <sheetView showGridLines="0" workbookViewId="0">
      <selection activeCell="B4" sqref="B4"/>
    </sheetView>
  </sheetViews>
  <sheetFormatPr baseColWidth="10" defaultRowHeight="14.4"/>
  <cols>
    <col width="40.33203125" customWidth="1" style="533" min="2" max="2"/>
    <col width="13.77734375" customWidth="1" style="533" min="3" max="3"/>
    <col width="12.21875" customWidth="1" style="533" min="4" max="4"/>
  </cols>
  <sheetData>
    <row r="3">
      <c r="B3" s="5" t="inlineStr">
        <is>
          <t>Otros ingresos por función</t>
        </is>
      </c>
    </row>
    <row r="4">
      <c r="B4" s="457" t="inlineStr">
        <is>
          <t>#N25.2</t>
        </is>
      </c>
    </row>
    <row r="5">
      <c r="B5" s="558" t="n"/>
      <c r="C5" s="72" t="inlineStr">
        <is>
          <t>31.12.2025</t>
        </is>
      </c>
      <c r="D5" s="72" t="inlineStr">
        <is>
          <t>31.12.2025</t>
        </is>
      </c>
    </row>
    <row r="6">
      <c r="C6" s="14" t="inlineStr">
        <is>
          <t>M$</t>
        </is>
      </c>
      <c r="D6" s="559" t="inlineStr">
        <is>
          <t>M$</t>
        </is>
      </c>
    </row>
    <row r="7">
      <c r="B7" s="558" t="n"/>
      <c r="C7" s="14" t="n"/>
      <c r="D7" s="559" t="n"/>
    </row>
    <row r="8">
      <c r="B8" s="233" t="inlineStr">
        <is>
          <t>Venta de activos fijos</t>
        </is>
      </c>
      <c r="C8" s="673" t="n"/>
      <c r="D8" s="673" t="n"/>
    </row>
    <row r="9">
      <c r="B9" s="233" t="inlineStr">
        <is>
          <t>Venta de materiales</t>
        </is>
      </c>
      <c r="C9" s="673" t="n"/>
      <c r="D9" s="673" t="n"/>
    </row>
    <row r="10">
      <c r="B10" s="233" t="inlineStr">
        <is>
          <t>Diferencia de inventarios</t>
        </is>
      </c>
      <c r="C10" s="673" t="n"/>
      <c r="D10" s="673" t="n"/>
    </row>
    <row r="11">
      <c r="B11" s="233" t="inlineStr">
        <is>
          <t>Indemnizaciones de seguros</t>
        </is>
      </c>
      <c r="C11" s="673" t="n"/>
      <c r="D11" s="673" t="n"/>
    </row>
    <row r="12" ht="15" customHeight="1" s="533" thickBot="1">
      <c r="B12" s="233" t="inlineStr">
        <is>
          <t>Otros (cta 3103110)</t>
        </is>
      </c>
      <c r="C12" s="590" t="n"/>
      <c r="D12" s="590" t="n"/>
    </row>
    <row r="13" ht="15" customHeight="1" s="533" thickBot="1">
      <c r="B13" s="233" t="inlineStr">
        <is>
          <t>Total</t>
        </is>
      </c>
      <c r="C13" s="588">
        <f>SUM(C8:C12)</f>
        <v/>
      </c>
      <c r="D13" s="588">
        <f>SUM(D8:D12)</f>
        <v/>
      </c>
    </row>
  </sheetData>
  <mergeCells count="1">
    <mergeCell ref="B5:B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J43"/>
  <sheetViews>
    <sheetView showGridLines="0" workbookViewId="0">
      <selection activeCell="H26" sqref="H26"/>
    </sheetView>
  </sheetViews>
  <sheetFormatPr baseColWidth="10" defaultColWidth="8.88671875" defaultRowHeight="14.4"/>
  <cols>
    <col width="11.5546875" customWidth="1" style="533" min="1" max="1"/>
    <col width="27.6640625" customWidth="1" style="533" min="2" max="2"/>
    <col width="10" customWidth="1" style="533" min="3" max="3"/>
    <col width="10.77734375" customWidth="1" style="533" min="4" max="4"/>
    <col width="10" customWidth="1" style="533" min="5" max="5"/>
    <col width="9.77734375" bestFit="1" customWidth="1" style="533" min="6" max="6"/>
    <col width="11.5546875" customWidth="1" style="533" min="7" max="7"/>
  </cols>
  <sheetData>
    <row r="2">
      <c r="B2" s="457" t="inlineStr">
        <is>
          <t>#N26.1</t>
        </is>
      </c>
    </row>
    <row r="3">
      <c r="B3" s="442" t="inlineStr">
        <is>
          <t>Activos y pasivos por segmento</t>
        </is>
      </c>
    </row>
    <row r="5">
      <c r="B5" s="316" t="n"/>
      <c r="C5" s="317" t="n"/>
      <c r="D5" s="317" t="n">
        <v>2026</v>
      </c>
      <c r="E5" s="317" t="n"/>
      <c r="F5" s="317" t="n"/>
      <c r="G5" s="317" t="n"/>
      <c r="H5" s="317" t="n">
        <v>2025</v>
      </c>
      <c r="I5" s="317" t="n"/>
      <c r="J5" s="317" t="n"/>
    </row>
    <row r="6">
      <c r="B6" s="316" t="n"/>
      <c r="C6" s="443" t="inlineStr">
        <is>
          <t>Residencial</t>
        </is>
      </c>
      <c r="D6" s="443" t="inlineStr">
        <is>
          <t>Mayorista</t>
        </is>
      </c>
      <c r="E6" s="443" t="inlineStr">
        <is>
          <t>Eliminaciones</t>
        </is>
      </c>
      <c r="F6" s="318" t="inlineStr">
        <is>
          <t>Total</t>
        </is>
      </c>
      <c r="G6" s="443" t="inlineStr">
        <is>
          <t>Residencial</t>
        </is>
      </c>
      <c r="H6" s="443" t="inlineStr">
        <is>
          <t>Mayorista</t>
        </is>
      </c>
      <c r="I6" s="443" t="inlineStr">
        <is>
          <t>Eliminaciones</t>
        </is>
      </c>
      <c r="J6" s="318" t="inlineStr">
        <is>
          <t>Total</t>
        </is>
      </c>
    </row>
    <row r="7">
      <c r="B7" s="316" t="n"/>
      <c r="C7" s="319" t="inlineStr">
        <is>
          <t>M$</t>
        </is>
      </c>
      <c r="D7" s="319" t="inlineStr">
        <is>
          <t>M$</t>
        </is>
      </c>
      <c r="E7" s="319" t="inlineStr">
        <is>
          <t>M$</t>
        </is>
      </c>
      <c r="F7" s="319" t="inlineStr">
        <is>
          <t>M$</t>
        </is>
      </c>
      <c r="G7" s="319" t="inlineStr">
        <is>
          <t>M$</t>
        </is>
      </c>
      <c r="H7" s="319" t="inlineStr">
        <is>
          <t>M$</t>
        </is>
      </c>
      <c r="I7" s="319" t="inlineStr">
        <is>
          <t>M$</t>
        </is>
      </c>
      <c r="J7" s="319" t="inlineStr">
        <is>
          <t>M$</t>
        </is>
      </c>
    </row>
    <row r="8">
      <c r="B8" s="316" t="n"/>
      <c r="C8" s="316" t="n"/>
      <c r="D8" s="316" t="n"/>
      <c r="E8" s="316" t="n"/>
      <c r="F8" s="316" t="n"/>
      <c r="G8" s="316" t="n"/>
      <c r="H8" s="316" t="n"/>
      <c r="I8" s="316" t="n"/>
      <c r="J8" s="316" t="n"/>
    </row>
    <row r="9">
      <c r="B9" s="444" t="inlineStr">
        <is>
          <t>Efectivo y efectivo equivalente</t>
        </is>
      </c>
      <c r="C9" s="716" t="n">
        <v>0</v>
      </c>
      <c r="D9" s="716" t="n">
        <v>0</v>
      </c>
      <c r="E9" s="716" t="n">
        <v>0</v>
      </c>
      <c r="F9" s="716">
        <f>+C9+D9+E9</f>
        <v/>
      </c>
      <c r="G9" s="716" t="n">
        <v>0</v>
      </c>
      <c r="H9" s="716" t="n">
        <v>0</v>
      </c>
      <c r="I9" s="716" t="n">
        <v>0</v>
      </c>
      <c r="J9" s="716">
        <f>+G9+H9+I9</f>
        <v/>
      </c>
    </row>
    <row r="10" ht="19.2" customHeight="1" s="533">
      <c r="B10" s="444" t="inlineStr">
        <is>
          <t>Deudores comerciales  y otras cuentas por cobrar (1)</t>
        </is>
      </c>
      <c r="C10" s="716" t="n">
        <v>0</v>
      </c>
      <c r="D10" s="716" t="n">
        <v>0</v>
      </c>
      <c r="E10" s="716" t="n">
        <v>0</v>
      </c>
      <c r="F10" s="716">
        <f>+C10+D10+E10</f>
        <v/>
      </c>
      <c r="G10" s="716" t="n">
        <v>0</v>
      </c>
      <c r="H10" s="716" t="n">
        <v>0</v>
      </c>
      <c r="I10" s="716" t="n">
        <v>0</v>
      </c>
      <c r="J10" s="716">
        <f>+G10+H10+I10</f>
        <v/>
      </c>
    </row>
    <row r="11">
      <c r="B11" s="444" t="inlineStr">
        <is>
          <t>Propiedades planta y equipo</t>
        </is>
      </c>
      <c r="C11" s="716" t="n">
        <v>0</v>
      </c>
      <c r="D11" s="716" t="n">
        <v>0</v>
      </c>
      <c r="E11" s="716" t="n">
        <v>0</v>
      </c>
      <c r="F11" s="716">
        <f>+C11+D11+E11</f>
        <v/>
      </c>
      <c r="G11" s="716" t="n">
        <v>0</v>
      </c>
      <c r="H11" s="716" t="n">
        <v>0</v>
      </c>
      <c r="I11" s="716" t="n">
        <v>0</v>
      </c>
      <c r="J11" s="716">
        <f>+G11+H11+I11</f>
        <v/>
      </c>
    </row>
    <row r="12">
      <c r="B12" s="444" t="inlineStr">
        <is>
          <t>Pasivos financieros (2)</t>
        </is>
      </c>
      <c r="C12" s="716" t="n">
        <v>0</v>
      </c>
      <c r="D12" s="716" t="n">
        <v>0</v>
      </c>
      <c r="E12" s="716" t="n">
        <v>0</v>
      </c>
      <c r="F12" s="716">
        <f>+C12+D12+E12</f>
        <v/>
      </c>
      <c r="G12" s="716" t="n">
        <v>0</v>
      </c>
      <c r="H12" s="716" t="n">
        <v>0</v>
      </c>
      <c r="I12" s="716" t="n">
        <v>0</v>
      </c>
      <c r="J12" s="716">
        <f>+G12+H12+I12</f>
        <v/>
      </c>
    </row>
    <row r="13" ht="19.2" customHeight="1" s="533">
      <c r="B13" s="444" t="inlineStr">
        <is>
          <t>Cuentas por pagar comerciales y otras cuentas por pagar (3)</t>
        </is>
      </c>
      <c r="C13" s="716" t="n">
        <v>0</v>
      </c>
      <c r="D13" s="716" t="n">
        <v>0</v>
      </c>
      <c r="E13" s="716" t="n">
        <v>0</v>
      </c>
      <c r="F13" s="716">
        <f>+C13+D13+E13</f>
        <v/>
      </c>
      <c r="G13" s="716" t="n">
        <v>0</v>
      </c>
      <c r="H13" s="716" t="n">
        <v>0</v>
      </c>
      <c r="I13" s="716" t="n">
        <v>0</v>
      </c>
      <c r="J13" s="716">
        <f>+G13+H13+I13</f>
        <v/>
      </c>
    </row>
    <row r="14">
      <c r="B14" s="320" t="n"/>
      <c r="C14" s="716" t="n">
        <v>0</v>
      </c>
      <c r="D14" s="716" t="n">
        <v>0</v>
      </c>
      <c r="E14" s="716" t="n">
        <v>0</v>
      </c>
      <c r="F14" s="716">
        <f>+C14+D14+E14</f>
        <v/>
      </c>
      <c r="G14" s="716" t="n">
        <v>0</v>
      </c>
      <c r="H14" s="716" t="n">
        <v>0</v>
      </c>
      <c r="I14" s="716" t="n">
        <v>0</v>
      </c>
      <c r="J14" s="716">
        <f>+G14+H14+I14</f>
        <v/>
      </c>
    </row>
    <row r="15">
      <c r="B15" s="444" t="inlineStr">
        <is>
          <t>Total activos corrientes por segmento</t>
        </is>
      </c>
      <c r="C15" s="716" t="n">
        <v>0</v>
      </c>
      <c r="D15" s="716" t="n">
        <v>0</v>
      </c>
      <c r="E15" s="716" t="n">
        <v>0</v>
      </c>
      <c r="F15" s="716">
        <f>+C15+D15+E15</f>
        <v/>
      </c>
      <c r="G15" s="716" t="n">
        <v>0</v>
      </c>
      <c r="H15" s="716" t="n">
        <v>0</v>
      </c>
      <c r="I15" s="716" t="n">
        <v>0</v>
      </c>
      <c r="J15" s="716">
        <f>+G15+H15+I15</f>
        <v/>
      </c>
    </row>
    <row r="16">
      <c r="B16" s="444" t="inlineStr">
        <is>
          <t>Total activos no corrientes por segmento</t>
        </is>
      </c>
      <c r="C16" s="716" t="n">
        <v>0</v>
      </c>
      <c r="D16" s="716" t="n">
        <v>0</v>
      </c>
      <c r="E16" s="716" t="n">
        <v>0</v>
      </c>
      <c r="F16" s="716">
        <f>+C16+D16+E16</f>
        <v/>
      </c>
      <c r="G16" s="716" t="n">
        <v>0</v>
      </c>
      <c r="H16" s="716" t="n">
        <v>0</v>
      </c>
      <c r="I16" s="716" t="n">
        <v>0</v>
      </c>
      <c r="J16" s="716">
        <f>+G16+H16+I16</f>
        <v/>
      </c>
    </row>
    <row r="17">
      <c r="B17" s="320" t="n"/>
      <c r="C17" s="716" t="n">
        <v>0</v>
      </c>
      <c r="D17" s="716" t="n">
        <v>0</v>
      </c>
      <c r="E17" s="716" t="n">
        <v>0</v>
      </c>
      <c r="F17" s="716">
        <f>+C17+D17+E17</f>
        <v/>
      </c>
      <c r="G17" s="716" t="n">
        <v>0</v>
      </c>
      <c r="H17" s="716" t="n">
        <v>0</v>
      </c>
      <c r="I17" s="716" t="n">
        <v>0</v>
      </c>
      <c r="J17" s="716">
        <f>+G17+H17+I17</f>
        <v/>
      </c>
    </row>
    <row r="18">
      <c r="B18" s="444" t="inlineStr">
        <is>
          <t>Total pasivos corrientes por segmento</t>
        </is>
      </c>
      <c r="C18" s="716" t="n">
        <v>0</v>
      </c>
      <c r="D18" s="716" t="n">
        <v>0</v>
      </c>
      <c r="E18" s="716" t="n">
        <v>0</v>
      </c>
      <c r="F18" s="716">
        <f>+C18+D18+E18</f>
        <v/>
      </c>
      <c r="G18" s="716" t="n">
        <v>0</v>
      </c>
      <c r="H18" s="716" t="n">
        <v>0</v>
      </c>
      <c r="I18" s="716" t="n">
        <v>0</v>
      </c>
      <c r="J18" s="716">
        <f>+G18+H18+I18</f>
        <v/>
      </c>
    </row>
    <row r="19">
      <c r="B19" s="444" t="inlineStr">
        <is>
          <t>Total pasivos no corrientes por segmento</t>
        </is>
      </c>
      <c r="C19" s="716" t="n">
        <v>0</v>
      </c>
      <c r="D19" s="716" t="n">
        <v>0</v>
      </c>
      <c r="E19" s="716" t="n">
        <v>0</v>
      </c>
      <c r="F19" s="716">
        <f>+C19+D19+E19</f>
        <v/>
      </c>
      <c r="G19" s="716" t="n">
        <v>0</v>
      </c>
      <c r="H19" s="716" t="n">
        <v>0</v>
      </c>
      <c r="I19" s="716" t="n">
        <v>0</v>
      </c>
      <c r="J19" s="716">
        <f>+G19+H19+I19</f>
        <v/>
      </c>
    </row>
    <row r="20">
      <c r="B20" s="320" t="n"/>
      <c r="C20" s="717" t="n"/>
      <c r="D20" s="717" t="n"/>
      <c r="E20" s="717" t="n"/>
      <c r="F20" s="717" t="n"/>
      <c r="G20" s="717" t="n"/>
      <c r="H20" s="717" t="n"/>
      <c r="I20" s="717" t="n"/>
      <c r="J20" s="717" t="n"/>
    </row>
    <row r="23">
      <c r="B23" s="457" t="inlineStr">
        <is>
          <t>#N26.2</t>
        </is>
      </c>
    </row>
    <row r="24">
      <c r="B24" s="442" t="inlineStr">
        <is>
          <t>Ingresos, costos e inversiones de capital por segmento</t>
        </is>
      </c>
    </row>
    <row r="25">
      <c r="B25" s="316" t="n"/>
      <c r="C25" s="317" t="n"/>
      <c r="D25" s="317" t="n">
        <v>2026</v>
      </c>
      <c r="E25" s="317" t="n"/>
      <c r="F25" s="317" t="n"/>
      <c r="G25" s="317" t="n"/>
      <c r="H25" s="317" t="n">
        <v>2025</v>
      </c>
      <c r="I25" s="317" t="n"/>
      <c r="J25" s="317" t="n"/>
    </row>
    <row r="26">
      <c r="B26" s="316" t="n"/>
      <c r="C26" s="443" t="inlineStr">
        <is>
          <t>Residencial</t>
        </is>
      </c>
      <c r="D26" s="443" t="inlineStr">
        <is>
          <t>Mayorista</t>
        </is>
      </c>
      <c r="E26" s="443" t="inlineStr">
        <is>
          <t>Eliminaciones</t>
        </is>
      </c>
      <c r="F26" s="318" t="inlineStr">
        <is>
          <t>Total</t>
        </is>
      </c>
      <c r="G26" s="443" t="inlineStr">
        <is>
          <t>Residencial</t>
        </is>
      </c>
      <c r="H26" s="443" t="inlineStr">
        <is>
          <t>Mayorista</t>
        </is>
      </c>
      <c r="I26" s="443" t="inlineStr">
        <is>
          <t>Eliminaciones</t>
        </is>
      </c>
      <c r="J26" s="318" t="inlineStr">
        <is>
          <t>Total</t>
        </is>
      </c>
    </row>
    <row r="27">
      <c r="B27" s="316" t="n"/>
      <c r="C27" s="319" t="inlineStr">
        <is>
          <t>M$</t>
        </is>
      </c>
      <c r="D27" s="319" t="inlineStr">
        <is>
          <t>M$</t>
        </is>
      </c>
      <c r="E27" s="319" t="inlineStr">
        <is>
          <t>M$</t>
        </is>
      </c>
      <c r="F27" s="319" t="inlineStr">
        <is>
          <t>M$</t>
        </is>
      </c>
      <c r="G27" s="319" t="inlineStr">
        <is>
          <t>M$</t>
        </is>
      </c>
      <c r="H27" s="319" t="inlineStr">
        <is>
          <t>M$</t>
        </is>
      </c>
      <c r="I27" s="319" t="inlineStr">
        <is>
          <t>M$</t>
        </is>
      </c>
      <c r="J27" s="319" t="inlineStr">
        <is>
          <t>M$</t>
        </is>
      </c>
    </row>
    <row r="28">
      <c r="B28" s="445" t="inlineStr">
        <is>
          <t>Resultados:</t>
        </is>
      </c>
      <c r="C28" s="316" t="n"/>
      <c r="D28" s="316" t="n"/>
      <c r="E28" s="316" t="n"/>
      <c r="F28" s="316" t="n"/>
      <c r="G28" s="316" t="n"/>
      <c r="H28" s="316" t="n"/>
      <c r="I28" s="316" t="n"/>
      <c r="J28" s="316" t="n"/>
    </row>
    <row r="29">
      <c r="B29" s="444" t="inlineStr">
        <is>
          <t>Ingresos de actividades ordinarias</t>
        </is>
      </c>
      <c r="C29" s="716" t="n">
        <v>0</v>
      </c>
      <c r="D29" s="716" t="n">
        <v>0</v>
      </c>
      <c r="E29" s="716" t="n">
        <v>0</v>
      </c>
      <c r="F29" s="716">
        <f>+C29+D29+E29</f>
        <v/>
      </c>
      <c r="G29" s="716" t="n">
        <v>0</v>
      </c>
      <c r="H29" s="716" t="n">
        <v>0</v>
      </c>
      <c r="I29" s="716" t="n">
        <v>0</v>
      </c>
      <c r="J29" s="716">
        <f>+G29+H29+I29</f>
        <v/>
      </c>
    </row>
    <row r="30">
      <c r="B30" s="444" t="inlineStr">
        <is>
          <t>Costo de ventas</t>
        </is>
      </c>
      <c r="C30" s="716" t="n">
        <v>0</v>
      </c>
      <c r="D30" s="716" t="n">
        <v>0</v>
      </c>
      <c r="E30" s="716" t="n">
        <v>0</v>
      </c>
      <c r="F30" s="716">
        <f>+C30+D30+E30</f>
        <v/>
      </c>
      <c r="G30" s="716" t="n">
        <v>0</v>
      </c>
      <c r="H30" s="716" t="n">
        <v>0</v>
      </c>
      <c r="I30" s="716" t="n">
        <v>0</v>
      </c>
      <c r="J30" s="716">
        <f>+G30+H30+I30</f>
        <v/>
      </c>
    </row>
    <row r="31">
      <c r="B31" s="444" t="inlineStr">
        <is>
          <t>Margen bruto</t>
        </is>
      </c>
      <c r="C31" s="718">
        <f>SUM(C29:C30)</f>
        <v/>
      </c>
      <c r="D31" s="718">
        <f>SUM(D29:D30)</f>
        <v/>
      </c>
      <c r="E31" s="718">
        <f>SUM(E29:E30)</f>
        <v/>
      </c>
      <c r="F31" s="718">
        <f>SUM(F29:F30)</f>
        <v/>
      </c>
      <c r="G31" s="718">
        <f>SUM(G29:G30)</f>
        <v/>
      </c>
      <c r="H31" s="718">
        <f>SUM(H29:H30)</f>
        <v/>
      </c>
      <c r="I31" s="718">
        <f>SUM(I29:I30)</f>
        <v/>
      </c>
      <c r="J31" s="718">
        <f>SUM(J29:J30)</f>
        <v/>
      </c>
    </row>
    <row r="32">
      <c r="B32" s="320" t="n"/>
      <c r="C32" s="716" t="n"/>
      <c r="D32" s="316" t="n"/>
      <c r="E32" s="316" t="n"/>
      <c r="F32" s="316" t="n"/>
      <c r="G32" s="716" t="n"/>
      <c r="H32" s="316" t="n"/>
      <c r="I32" s="316" t="n"/>
      <c r="J32" s="316" t="n"/>
    </row>
    <row r="33">
      <c r="B33" s="444" t="inlineStr">
        <is>
          <t>Ganancia (Pérdida) antes de impuestos</t>
        </is>
      </c>
      <c r="C33" s="716" t="n">
        <v>0</v>
      </c>
      <c r="D33" s="716" t="n">
        <v>0</v>
      </c>
      <c r="E33" s="716" t="n">
        <v>0</v>
      </c>
      <c r="F33" s="716">
        <f>+C33+D33+E33</f>
        <v/>
      </c>
      <c r="G33" s="716" t="n">
        <v>0</v>
      </c>
      <c r="H33" s="716" t="n">
        <v>0</v>
      </c>
      <c r="I33" s="716" t="n">
        <v>0</v>
      </c>
      <c r="J33" s="716">
        <f>+G33+H33+I33</f>
        <v/>
      </c>
    </row>
    <row r="34">
      <c r="B34" s="444" t="inlineStr">
        <is>
          <t>Ganancia (Pérdida) neta del ejercicio</t>
        </is>
      </c>
      <c r="C34" s="716" t="n">
        <v>0</v>
      </c>
      <c r="D34" s="716" t="n">
        <v>0</v>
      </c>
      <c r="E34" s="716" t="n">
        <v>0</v>
      </c>
      <c r="F34" s="716">
        <f>+C34+D34+E34</f>
        <v/>
      </c>
      <c r="G34" s="716" t="n">
        <v>0</v>
      </c>
      <c r="H34" s="716" t="n">
        <v>0</v>
      </c>
      <c r="I34" s="716" t="n">
        <v>0</v>
      </c>
      <c r="J34" s="716">
        <f>+G34+H34+I34</f>
        <v/>
      </c>
    </row>
    <row r="35">
      <c r="B35" s="446" t="inlineStr">
        <is>
          <t>EBITDA</t>
        </is>
      </c>
      <c r="C35" s="716" t="n">
        <v>0</v>
      </c>
      <c r="D35" s="716" t="n">
        <v>0</v>
      </c>
      <c r="E35" s="716" t="n">
        <v>0</v>
      </c>
      <c r="F35" s="716">
        <f>+C35+D35+E35</f>
        <v/>
      </c>
      <c r="G35" s="716" t="n">
        <v>0</v>
      </c>
      <c r="H35" s="716" t="n">
        <v>0</v>
      </c>
      <c r="I35" s="716" t="n">
        <v>0</v>
      </c>
      <c r="J35" s="716">
        <f>+G35+H35+I35</f>
        <v/>
      </c>
    </row>
    <row r="36">
      <c r="B36" s="444" t="inlineStr">
        <is>
          <t>Ingresos financieros</t>
        </is>
      </c>
      <c r="C36" s="716" t="n">
        <v>0</v>
      </c>
      <c r="D36" s="716" t="n">
        <v>0</v>
      </c>
      <c r="E36" s="716" t="n">
        <v>0</v>
      </c>
      <c r="F36" s="716">
        <f>+C36+D36+E36</f>
        <v/>
      </c>
      <c r="G36" s="716" t="n">
        <v>0</v>
      </c>
      <c r="H36" s="716" t="n">
        <v>0</v>
      </c>
      <c r="I36" s="716" t="n">
        <v>0</v>
      </c>
      <c r="J36" s="716">
        <f>+G36+H36+I36</f>
        <v/>
      </c>
    </row>
    <row r="37">
      <c r="B37" s="444" t="inlineStr">
        <is>
          <t>Costos financieros</t>
        </is>
      </c>
      <c r="C37" s="716" t="n">
        <v>0</v>
      </c>
      <c r="D37" s="716" t="n">
        <v>0</v>
      </c>
      <c r="E37" s="716" t="n">
        <v>0</v>
      </c>
      <c r="F37" s="716">
        <f>+C37+D37+E37</f>
        <v/>
      </c>
      <c r="G37" s="716" t="n">
        <v>0</v>
      </c>
      <c r="H37" s="716" t="n">
        <v>0</v>
      </c>
      <c r="I37" s="716" t="n">
        <v>0</v>
      </c>
      <c r="J37" s="716">
        <f>+G37+H37+I37</f>
        <v/>
      </c>
    </row>
    <row r="38">
      <c r="B38" s="444" t="inlineStr">
        <is>
          <t>Depreciación y amortización del ejercicio</t>
        </is>
      </c>
      <c r="C38" s="716" t="n">
        <v>0</v>
      </c>
      <c r="D38" s="716" t="n">
        <v>0</v>
      </c>
      <c r="E38" s="716" t="n">
        <v>0</v>
      </c>
      <c r="F38" s="716">
        <f>+C38+D38+E38</f>
        <v/>
      </c>
      <c r="G38" s="716" t="n">
        <v>0</v>
      </c>
      <c r="H38" s="716" t="n">
        <v>0</v>
      </c>
      <c r="I38" s="716" t="n">
        <v>0</v>
      </c>
      <c r="J38" s="716">
        <f>+G38+H38+I38</f>
        <v/>
      </c>
    </row>
    <row r="39">
      <c r="B39" s="316" t="n"/>
      <c r="C39" s="316" t="n"/>
      <c r="D39" s="316" t="n"/>
      <c r="E39" s="316" t="n"/>
      <c r="F39" s="716" t="n"/>
      <c r="G39" s="316" t="n"/>
      <c r="H39" s="316" t="n"/>
      <c r="I39" s="316" t="n"/>
      <c r="J39" s="716" t="n"/>
    </row>
    <row r="40">
      <c r="B40" s="324" t="n"/>
      <c r="C40" s="716" t="n"/>
      <c r="D40" s="716" t="n"/>
      <c r="E40" s="716" t="n"/>
      <c r="F40" s="716" t="n"/>
      <c r="G40" s="716" t="n"/>
      <c r="H40" s="716" t="n"/>
      <c r="I40" s="716" t="n"/>
      <c r="J40" s="716" t="n"/>
    </row>
    <row r="41">
      <c r="B41" s="441" t="inlineStr">
        <is>
          <t>Inversiones de capital (adiciones)</t>
        </is>
      </c>
      <c r="C41" s="716" t="n">
        <v>0</v>
      </c>
      <c r="D41" s="716" t="n">
        <v>0</v>
      </c>
      <c r="E41" s="716" t="n">
        <v>0</v>
      </c>
      <c r="F41" s="716">
        <f>+C41+D41+E41</f>
        <v/>
      </c>
      <c r="G41" s="716" t="n">
        <v>0</v>
      </c>
      <c r="H41" s="716" t="n">
        <v>0</v>
      </c>
      <c r="I41" s="716" t="n">
        <v>0</v>
      </c>
      <c r="J41" s="716">
        <f>+G41+H41+I41</f>
        <v/>
      </c>
    </row>
    <row r="42">
      <c r="C42" s="325" t="n"/>
      <c r="D42" s="325" t="n"/>
      <c r="E42" s="325" t="n"/>
      <c r="F42" s="325" t="n"/>
      <c r="G42" s="325" t="n"/>
      <c r="H42" s="325" t="n"/>
      <c r="I42" s="325" t="n"/>
      <c r="J42" s="325" t="n"/>
    </row>
    <row r="43">
      <c r="B43" s="32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E3:J33"/>
  <sheetViews>
    <sheetView showGridLines="0" topLeftCell="D12" workbookViewId="0">
      <selection activeCell="I28" sqref="I28"/>
    </sheetView>
  </sheetViews>
  <sheetFormatPr baseColWidth="10" defaultRowHeight="14.4"/>
  <cols>
    <col width="32.6640625" customWidth="1" style="533" min="5" max="5"/>
    <col width="15.21875" customWidth="1" style="533" min="6" max="6"/>
    <col width="15.109375" customWidth="1" style="533" min="7" max="8"/>
  </cols>
  <sheetData>
    <row r="3">
      <c r="E3" s="457" t="inlineStr">
        <is>
          <t>#N27.1</t>
        </is>
      </c>
    </row>
    <row r="4">
      <c r="E4" s="386" t="inlineStr">
        <is>
          <t>RIESGO DE TIPO DE CAMBIO</t>
        </is>
      </c>
    </row>
    <row r="6">
      <c r="E6" s="719" t="n"/>
      <c r="F6" s="14" t="n"/>
      <c r="G6" s="14" t="inlineStr">
        <is>
          <t>Aumento</t>
        </is>
      </c>
      <c r="H6" s="14" t="inlineStr">
        <is>
          <t>Baja</t>
        </is>
      </c>
    </row>
    <row r="7">
      <c r="F7" s="14" t="inlineStr">
        <is>
          <t>31.12.2025</t>
        </is>
      </c>
      <c r="G7" s="14" t="inlineStr">
        <is>
          <t>10% T/C</t>
        </is>
      </c>
      <c r="H7" s="14" t="inlineStr">
        <is>
          <t>10% de T/C</t>
        </is>
      </c>
    </row>
    <row r="8">
      <c r="E8" s="552" t="n"/>
      <c r="F8" s="503" t="inlineStr">
        <is>
          <t>M$</t>
        </is>
      </c>
      <c r="G8" s="503" t="inlineStr">
        <is>
          <t>M$</t>
        </is>
      </c>
      <c r="H8" s="503" t="inlineStr">
        <is>
          <t>M$</t>
        </is>
      </c>
    </row>
    <row r="9">
      <c r="E9" s="82" t="inlineStr">
        <is>
          <t>Saldos de pasivos en USD</t>
        </is>
      </c>
      <c r="F9" s="720" t="n"/>
      <c r="G9" s="720">
        <f>+F9*-0.1</f>
        <v/>
      </c>
      <c r="H9" s="720">
        <f>+F9*0.1</f>
        <v/>
      </c>
    </row>
    <row r="10">
      <c r="E10" s="82" t="inlineStr">
        <is>
          <t>Saldos de pasivos en Euros</t>
        </is>
      </c>
      <c r="F10" s="720" t="n"/>
      <c r="G10" s="720">
        <f>+F10*-0.1</f>
        <v/>
      </c>
      <c r="H10" s="720">
        <f>+F10*0.1</f>
        <v/>
      </c>
    </row>
    <row r="11">
      <c r="E11" s="306" t="inlineStr">
        <is>
          <t>Saldos de pasivos en Yuan</t>
        </is>
      </c>
      <c r="F11" s="721" t="n"/>
      <c r="G11" s="721">
        <f>+F11*-0.1</f>
        <v/>
      </c>
      <c r="H11" s="721">
        <f>+F11*0.1</f>
        <v/>
      </c>
    </row>
    <row r="12" ht="22.8" customHeight="1" s="533">
      <c r="E12" s="512" t="inlineStr">
        <is>
          <t>Utilidad (pérdida) por variación de tipo de cambio</t>
        </is>
      </c>
      <c r="F12" s="721">
        <f>SUM(F9:F11)</f>
        <v/>
      </c>
      <c r="G12" s="721">
        <f>SUM(G9:G11)</f>
        <v/>
      </c>
      <c r="H12" s="721">
        <f>SUM(H9:H11)</f>
        <v/>
      </c>
    </row>
    <row r="15">
      <c r="E15" s="457" t="inlineStr">
        <is>
          <t>#N27.2</t>
        </is>
      </c>
    </row>
    <row r="16">
      <c r="E16" s="386" t="inlineStr">
        <is>
          <t>RIESGO DE TASAS DE INTERES</t>
        </is>
      </c>
    </row>
    <row r="18">
      <c r="E18" s="722" t="n"/>
      <c r="F18" s="723" t="inlineStr">
        <is>
          <t>Valor al cierre 
M$</t>
        </is>
      </c>
      <c r="G18" s="13" t="inlineStr">
        <is>
          <t>Aumento 10% ICP</t>
        </is>
      </c>
      <c r="H18" s="505" t="inlineStr">
        <is>
          <t>Baja 10% de ICP</t>
        </is>
      </c>
    </row>
    <row r="19">
      <c r="E19" s="552" t="n"/>
      <c r="F19" s="552" t="n"/>
      <c r="G19" s="506" t="inlineStr">
        <is>
          <t>M$</t>
        </is>
      </c>
      <c r="H19" s="506" t="inlineStr">
        <is>
          <t>M$</t>
        </is>
      </c>
    </row>
    <row r="20">
      <c r="E20" s="508" t="inlineStr">
        <is>
          <t>Saldos de desembolsos en CLP</t>
        </is>
      </c>
      <c r="F20" s="724" t="n">
        <v>0</v>
      </c>
      <c r="G20" s="725">
        <f>+F20*0.1</f>
        <v/>
      </c>
      <c r="H20" s="725">
        <f>+F20*-0.1</f>
        <v/>
      </c>
    </row>
    <row r="21" ht="22.8" customHeight="1" s="533">
      <c r="E21" s="511" t="inlineStr">
        <is>
          <t>Utilidad (pérdida) por variación de tipo de cambio</t>
        </is>
      </c>
      <c r="F21" s="726" t="n"/>
      <c r="G21" s="721">
        <f>+G20</f>
        <v/>
      </c>
      <c r="H21" s="721">
        <f>+H20</f>
        <v/>
      </c>
    </row>
    <row r="24">
      <c r="E24" s="513" t="inlineStr">
        <is>
          <t>GARANTIAS OBTENIDAS Y OTORGADAS</t>
        </is>
      </c>
    </row>
    <row r="25">
      <c r="E25" s="451" t="inlineStr">
        <is>
          <t>#N27.3</t>
        </is>
      </c>
    </row>
    <row r="27" ht="15" customHeight="1" s="533" thickBot="1">
      <c r="E27" s="483" t="n"/>
    </row>
    <row r="28" ht="21" customHeight="1" s="533" thickBot="1">
      <c r="E28" s="515" t="inlineStr">
        <is>
          <t xml:space="preserve">Banco </t>
        </is>
      </c>
      <c r="F28" s="525" t="inlineStr">
        <is>
          <t>Moneda</t>
        </is>
      </c>
      <c r="G28" s="526" t="inlineStr">
        <is>
          <t>Monto en Moneda Origen</t>
        </is>
      </c>
      <c r="H28" s="526" t="inlineStr">
        <is>
          <t>Monto CLP</t>
        </is>
      </c>
      <c r="I28" s="514" t="inlineStr">
        <is>
          <t xml:space="preserve">Inicio </t>
        </is>
      </c>
      <c r="J28" s="514" t="inlineStr">
        <is>
          <t>Termino</t>
        </is>
      </c>
    </row>
    <row r="29">
      <c r="E29" s="520" t="inlineStr">
        <is>
          <t>Banco de Crédito e Inversiones</t>
        </is>
      </c>
      <c r="F29" s="516" t="inlineStr">
        <is>
          <t>CLP</t>
        </is>
      </c>
      <c r="G29" s="521" t="n">
        <v>0</v>
      </c>
      <c r="H29" t="n">
        <v>0</v>
      </c>
      <c r="I29" s="517" t="n">
        <v>44971</v>
      </c>
      <c r="J29" s="517" t="n">
        <v>47569</v>
      </c>
    </row>
    <row r="30">
      <c r="E30" s="89" t="inlineStr">
        <is>
          <t>Banco de Crédito e Inversiones</t>
        </is>
      </c>
      <c r="F30" s="516" t="inlineStr">
        <is>
          <t>UF</t>
        </is>
      </c>
      <c r="G30" s="522" t="n">
        <v>0</v>
      </c>
      <c r="H30" t="n">
        <v>0</v>
      </c>
      <c r="I30" s="517" t="n">
        <v>44949</v>
      </c>
      <c r="J30" s="517" t="n">
        <v>47908</v>
      </c>
    </row>
    <row r="31">
      <c r="E31" s="291" t="inlineStr">
        <is>
          <t>Banco del Estado de Chile</t>
        </is>
      </c>
      <c r="F31" s="516" t="inlineStr">
        <is>
          <t>CLP</t>
        </is>
      </c>
      <c r="G31" s="522" t="n">
        <v>0</v>
      </c>
      <c r="H31" t="n">
        <v>0</v>
      </c>
      <c r="I31" s="517" t="n">
        <v>45826</v>
      </c>
      <c r="J31" s="517" t="n">
        <v>46696</v>
      </c>
    </row>
    <row r="32" ht="15" customHeight="1" s="533" thickBot="1">
      <c r="E32" s="518" t="inlineStr">
        <is>
          <t>Banco Scotiabank</t>
        </is>
      </c>
      <c r="F32" s="375" t="inlineStr">
        <is>
          <t>UF</t>
        </is>
      </c>
      <c r="G32" s="523" t="n">
        <v>0</v>
      </c>
      <c r="H32" t="n">
        <v>0</v>
      </c>
      <c r="I32" s="519" t="n">
        <v>45264</v>
      </c>
      <c r="J32" s="519" t="n">
        <v>46179</v>
      </c>
    </row>
    <row r="33" ht="16.2" customHeight="1" s="533" thickBot="1">
      <c r="E33" s="487" t="n"/>
      <c r="F33" s="524" t="n"/>
      <c r="G33" s="358" t="inlineStr">
        <is>
          <t>Total</t>
        </is>
      </c>
      <c r="H33" s="526">
        <f>SUM(H29:H32)</f>
        <v/>
      </c>
    </row>
  </sheetData>
  <mergeCells count="3">
    <mergeCell ref="E18:E19"/>
    <mergeCell ref="F18:F19"/>
    <mergeCell ref="E6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Constanza Loreto Garrido Coloma</dc:creator>
  <dcterms:created xmlns:dcterms="http://purl.org/dc/terms/" xmlns:xsi="http://www.w3.org/2001/XMLSchema-instance" xsi:type="dcterms:W3CDTF">2023-05-10T14:20:27Z</dcterms:created>
  <dcterms:modified xmlns:dcterms="http://purl.org/dc/terms/" xmlns:xsi="http://www.w3.org/2001/XMLSchema-instance" xsi:type="dcterms:W3CDTF">2026-10-07T22:52:59Z</dcterms:modified>
  <cp:lastModifiedBy>Cristiàn Saavedra</cp:lastModifiedBy>
  <cp:lastPrinted>2024-01-30T17:49:35Z</cp:lastPrinted>
</cp:coreProperties>
</file>