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ndo\Programa de informes\Notas\"/>
    </mc:Choice>
  </mc:AlternateContent>
  <xr:revisionPtr revIDLastSave="0" documentId="8_{5BD3B6A7-4653-47CB-9012-5CB7F88BFE02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Efectivo" sheetId="3" r:id="rId1"/>
    <sheet name="Deudores" sheetId="5" r:id="rId2"/>
    <sheet name="Inventarios" sheetId="6" r:id="rId3"/>
    <sheet name="Activo Fijo" sheetId="8" r:id="rId4"/>
    <sheet name="Activo por derechos de uso" sheetId="9" r:id="rId5"/>
    <sheet name="Pasivos derechos de  uso" sheetId="13" r:id="rId6"/>
    <sheet name="Pasivos financieros " sheetId="14" r:id="rId7"/>
    <sheet name="Cuentas por pagar" sheetId="15" r:id="rId8"/>
    <sheet name="Impuestos Diferidos" sheetId="17" r:id="rId9"/>
    <sheet name="Inversion en relacionadas" sheetId="18" r:id="rId10"/>
    <sheet name="Empresas relacionadas" sheetId="19" r:id="rId11"/>
    <sheet name="Patrimonio" sheetId="20" r:id="rId12"/>
    <sheet name="Otros gastos por funcion" sheetId="27" r:id="rId13"/>
    <sheet name="Otros ingresos por funcion" sheetId="28" r:id="rId14"/>
    <sheet name="Cuadros adicionales" sheetId="29" r:id="rId15"/>
  </sheets>
  <definedNames>
    <definedName name="_1PAR">#REF!</definedName>
    <definedName name="_2C">#REF!</definedName>
    <definedName name="_3C">#REF!</definedName>
    <definedName name="_4C">#REF!</definedName>
    <definedName name="_9C">#REF!</definedName>
    <definedName name="_BAS1">#REF!</definedName>
    <definedName name="_om2">#REF!</definedName>
    <definedName name="_om3">#REF!</definedName>
    <definedName name="_om9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_impresión_IM">#REF!</definedName>
    <definedName name="ANEXO3A">#REF!</definedName>
    <definedName name="Area">#REF!</definedName>
    <definedName name="AUDBASISCLPFC">#REF!</definedName>
    <definedName name="AUDBASISCLPFD">#REF!</definedName>
    <definedName name="AUDBASISNCLPFC">#REF!</definedName>
    <definedName name="AUDBASISNCLPFD">#REF!</definedName>
    <definedName name="AUDBASISUSDFC">#REF!</definedName>
    <definedName name="AUDBASISUSDFD">#REF!</definedName>
    <definedName name="ayu">#REF!</definedName>
    <definedName name="BAS">#REF!</definedName>
    <definedName name="_xlnm.Database">#REF!</definedName>
    <definedName name="Bins__aisi304_steel_lining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RLBASISCLPFC">#REF!</definedName>
    <definedName name="BRLBASISCLPFD">#REF!</definedName>
    <definedName name="BRLBASISNCLPFC">#REF!</definedName>
    <definedName name="BRLBASISNCLPFD">#REF!</definedName>
    <definedName name="BRLBASISUSDFC">#REF!</definedName>
    <definedName name="BRLBASISUSDFD">#REF!</definedName>
    <definedName name="CADBASISCLPFC">#REF!</definedName>
    <definedName name="CADBASISCLPFD">#REF!</definedName>
    <definedName name="CADBASISNCLPFC">#REF!</definedName>
    <definedName name="CADBASISNCLPFD">#REF!</definedName>
    <definedName name="CADBASISUSDFC">#REF!</definedName>
    <definedName name="CADBASISUSDFD">#REF!</definedName>
    <definedName name="CADEYREG">#REF!</definedName>
    <definedName name="cap">#REF!</definedName>
    <definedName name="car">#REF!</definedName>
    <definedName name="cat">#REF!</definedName>
    <definedName name="CATEG">#REF!</definedName>
    <definedName name="CEDEYREG">#REF!</definedName>
    <definedName name="CHFBASISCLPFC">#REF!</definedName>
    <definedName name="CHFBASISCLPFD">#REF!</definedName>
    <definedName name="CHFBASISNCLPFC">#REF!</definedName>
    <definedName name="CHFBASISNCLPFD">#REF!</definedName>
    <definedName name="CHFBASISUSDFC">#REF!</definedName>
    <definedName name="CHFBASISUSDFD">#REF!</definedName>
    <definedName name="Ciwil_work">#REF!</definedName>
    <definedName name="CNYBASISCLPFC">#REF!</definedName>
    <definedName name="CNYBASISCLPFD">#REF!</definedName>
    <definedName name="CNYBASISNCLPFC">#REF!</definedName>
    <definedName name="CNYBASISNCLPFD">#REF!</definedName>
    <definedName name="CNYBASISUSDFC">#REF!</definedName>
    <definedName name="CNYBASISUSDFD">#REF!</definedName>
    <definedName name="conv_t">#REF!</definedName>
    <definedName name="COPBASISCLPFC">#REF!</definedName>
    <definedName name="COPBASISCLPFD">#REF!</definedName>
    <definedName name="COPBASISNCLPFC">#REF!</definedName>
    <definedName name="COPBASISNCLPFD">#REF!</definedName>
    <definedName name="COPBASISUSDFC">#REF!</definedName>
    <definedName name="COPBASISUSDFD">#REF!</definedName>
    <definedName name="cuentas">#REF!</definedName>
    <definedName name="CURVA_COLL">#REF!</definedName>
    <definedName name="curva_fra">#REF!</definedName>
    <definedName name="Database">#REF!</definedName>
    <definedName name="deltah">#REF!</definedName>
    <definedName name="DKKBASISCLPFC">#REF!</definedName>
    <definedName name="DKKBASISCLPFD">#REF!</definedName>
    <definedName name="DKKBASISNCLPFC">#REF!</definedName>
    <definedName name="DKKBASISNCLPFD">#REF!</definedName>
    <definedName name="DKKBASISUSDFC">#REF!</definedName>
    <definedName name="DKKBASISUSDFD">#REF!</definedName>
    <definedName name="dsf">#REF!</definedName>
    <definedName name="EE">#REF!</definedName>
    <definedName name="effactor260">#REF!</definedName>
    <definedName name="FCD">#REF!</definedName>
    <definedName name="FECHAUF">#REF!</definedName>
    <definedName name="FX">#REF!</definedName>
    <definedName name="gbp">#REF!</definedName>
    <definedName name="GBPBASISCLPFC">#REF!</definedName>
    <definedName name="GBPBASISCLPFD">#REF!</definedName>
    <definedName name="GBPBASISNCLPFC">#REF!</definedName>
    <definedName name="GBPBASISNCLPFD">#REF!</definedName>
    <definedName name="GBPBASISUSDFC">#REF!</definedName>
    <definedName name="GBPBASISUSDFD">#REF!</definedName>
    <definedName name="grafos">#REF!</definedName>
    <definedName name="H">#REF!</definedName>
    <definedName name="hc">#REF!</definedName>
    <definedName name="HH__Kg_Fe">#REF!</definedName>
    <definedName name="HH__m3_Ho__NO_Incl_Fe">#REF!</definedName>
    <definedName name="HH_Kg_fe">#REF!</definedName>
    <definedName name="HH_m3_Ho_sFe">#REF!</definedName>
    <definedName name="HKDBASISCLPFC">#REF!</definedName>
    <definedName name="HKDBASISCLPFD">#REF!</definedName>
    <definedName name="HKDBASISNCLPFC">#REF!</definedName>
    <definedName name="HKDBASISNCLPFD">#REF!</definedName>
    <definedName name="HKDBASISUSDFC">#REF!</definedName>
    <definedName name="HKDBASISUSDFD">#REF!</definedName>
    <definedName name="hn">#REF!</definedName>
    <definedName name="Imprimir_área_IM">#REF!</definedName>
    <definedName name="Impuesto">#REF!</definedName>
    <definedName name="index_2">#REF!</definedName>
    <definedName name="INDICE_INI">#REF!</definedName>
    <definedName name="Installation">#REF!</definedName>
    <definedName name="Installation___Electrical">#REF!</definedName>
    <definedName name="Installation___Instr">#REF!</definedName>
    <definedName name="installationA">#REF!</definedName>
    <definedName name="installationpiping">#REF!</definedName>
    <definedName name="InstallationTele">#REF!</definedName>
    <definedName name="Interés">#REF!</definedName>
    <definedName name="Itemizado_EE">#REF!</definedName>
    <definedName name="Itemizado_IN">#REF!</definedName>
    <definedName name="Itemizado_Me">#REF!</definedName>
    <definedName name="Itemizado_Me1">#REF!</definedName>
    <definedName name="J1927.">#REF!</definedName>
    <definedName name="JPYBASISCLPFC">#REF!</definedName>
    <definedName name="JPYBASISCLPFD">#REF!</definedName>
    <definedName name="JPYBASISNCLPFC">#REF!</definedName>
    <definedName name="JPYBASISNCLPFD">#REF!</definedName>
    <definedName name="JPYBASISUSDFC">#REF!</definedName>
    <definedName name="JPYBASISUSDFD">#REF!</definedName>
    <definedName name="llave">#REF!</definedName>
    <definedName name="LLAVE2">#REF!</definedName>
    <definedName name="MAG">#REF!</definedName>
    <definedName name="MR">#REF!</definedName>
    <definedName name="MXNBASISCLPFC">#REF!</definedName>
    <definedName name="MXNBASISCLPFD">#REF!</definedName>
    <definedName name="MXNBASISNCLPFC">#REF!</definedName>
    <definedName name="MXNBASISNCLPFD">#REF!</definedName>
    <definedName name="MXNBASISUSDFC">#REF!</definedName>
    <definedName name="MXNBASISUSDFD">#REF!</definedName>
    <definedName name="NOKBASISCLPFC">#REF!</definedName>
    <definedName name="NOKBASISCLPFD">#REF!</definedName>
    <definedName name="NOKBASISNCLPFC">#REF!</definedName>
    <definedName name="NOKBASISNCLPFD">#REF!</definedName>
    <definedName name="NOKBASISUSDFC">#REF!</definedName>
    <definedName name="NOKBASISUSDFD">#REF!</definedName>
    <definedName name="PED">#REF!</definedName>
    <definedName name="PENBASISCLPFC">#REF!</definedName>
    <definedName name="PENBASISCLPFD">#REF!</definedName>
    <definedName name="PENBASISNCLPFC">#REF!</definedName>
    <definedName name="PENBASISNCLPFD">#REF!</definedName>
    <definedName name="PENBASISUSDFC">#REF!</definedName>
    <definedName name="PENBASISUSDFD">#REF!</definedName>
    <definedName name="periodo_fecha">#REF!</definedName>
    <definedName name="PREC">#REF!</definedName>
    <definedName name="Print_Area_MI">#REF!</definedName>
    <definedName name="PRINT_TITLES_MI">#REF!</definedName>
    <definedName name="PROV">#REF!</definedName>
    <definedName name="RESERVA">#REF!</definedName>
    <definedName name="RESERVA1">#REF!</definedName>
    <definedName name="Rt">#REF!</definedName>
    <definedName name="SEKBASISCLPFC">#REF!</definedName>
    <definedName name="SEKBASISCLPFD">#REF!</definedName>
    <definedName name="SEKBASISNCLPFC">#REF!</definedName>
    <definedName name="SEKBASISNCLPFD">#REF!</definedName>
    <definedName name="SEKBASISUSDFC">#REF!</definedName>
    <definedName name="SEKBASISUSDFD">#REF!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T">#REF!</definedName>
    <definedName name="tanks_AISI316">#REF!</definedName>
    <definedName name="TIT">#REF!</definedName>
    <definedName name="Títulos_a_imprimir_IM">#REF!</definedName>
    <definedName name="totalarea">#REF!</definedName>
    <definedName name="usd">#REF!</definedName>
    <definedName name="USD__Kg_Fe">#REF!</definedName>
    <definedName name="USD__m3_Ho__NO_Incl_Fe">#REF!</definedName>
    <definedName name="USD_hh_Erect">#REF!</definedName>
    <definedName name="USD_Ho_sFe">#REF!</definedName>
    <definedName name="USD_Kg_fe">#REF!</definedName>
    <definedName name="usd_peso">#REF!</definedName>
    <definedName name="WA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1" i="14" l="1"/>
  <c r="J81" i="14"/>
  <c r="H33" i="29"/>
  <c r="D34" i="20"/>
  <c r="D23" i="20"/>
  <c r="D33" i="9"/>
  <c r="E33" i="9"/>
  <c r="C33" i="9"/>
  <c r="H20" i="29"/>
  <c r="H21" i="29" s="1"/>
  <c r="G20" i="29"/>
  <c r="G21" i="29" s="1"/>
  <c r="F12" i="29"/>
  <c r="H11" i="29"/>
  <c r="G11" i="29"/>
  <c r="H10" i="29"/>
  <c r="G10" i="29"/>
  <c r="H9" i="29"/>
  <c r="H12" i="29" s="1"/>
  <c r="G9" i="29"/>
  <c r="C11" i="28"/>
  <c r="F7" i="19"/>
  <c r="D87" i="17"/>
  <c r="D89" i="17" s="1"/>
  <c r="D65" i="17"/>
  <c r="D55" i="17"/>
  <c r="D51" i="17"/>
  <c r="D32" i="17"/>
  <c r="D37" i="17"/>
  <c r="D41" i="17" s="1"/>
  <c r="E22" i="17"/>
  <c r="E24" i="17" s="1"/>
  <c r="D22" i="17"/>
  <c r="D24" i="17" s="1"/>
  <c r="C13" i="15"/>
  <c r="L103" i="14"/>
  <c r="K103" i="14"/>
  <c r="I71" i="14"/>
  <c r="H71" i="14"/>
  <c r="H38" i="14"/>
  <c r="G38" i="14"/>
  <c r="H36" i="14"/>
  <c r="G36" i="14"/>
  <c r="K25" i="14"/>
  <c r="J25" i="14"/>
  <c r="I25" i="14"/>
  <c r="H25" i="14"/>
  <c r="G25" i="14"/>
  <c r="F25" i="14"/>
  <c r="E25" i="14"/>
  <c r="D25" i="14"/>
  <c r="C25" i="14"/>
  <c r="K24" i="14"/>
  <c r="K23" i="14"/>
  <c r="K22" i="14"/>
  <c r="K21" i="14"/>
  <c r="H11" i="14"/>
  <c r="G11" i="14"/>
  <c r="F11" i="14"/>
  <c r="E11" i="14"/>
  <c r="D11" i="14"/>
  <c r="C11" i="14"/>
  <c r="H10" i="14"/>
  <c r="E10" i="14"/>
  <c r="H9" i="14"/>
  <c r="E9" i="14"/>
  <c r="H8" i="14"/>
  <c r="E8" i="14"/>
  <c r="H7" i="14"/>
  <c r="E7" i="14"/>
  <c r="J36" i="13"/>
  <c r="I36" i="13"/>
  <c r="H36" i="13"/>
  <c r="G36" i="13"/>
  <c r="F36" i="13"/>
  <c r="E36" i="13"/>
  <c r="D36" i="13"/>
  <c r="C36" i="13"/>
  <c r="K35" i="13"/>
  <c r="K36" i="13" s="1"/>
  <c r="H23" i="13"/>
  <c r="G23" i="13"/>
  <c r="F23" i="13"/>
  <c r="E23" i="13"/>
  <c r="D23" i="13"/>
  <c r="C23" i="13"/>
  <c r="H22" i="13"/>
  <c r="E22" i="13"/>
  <c r="D13" i="13"/>
  <c r="C13" i="13"/>
  <c r="C23" i="9"/>
  <c r="C11" i="9"/>
  <c r="C57" i="6"/>
  <c r="C39" i="6"/>
  <c r="C25" i="6"/>
  <c r="D13" i="3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P38" i="8"/>
  <c r="P37" i="8"/>
  <c r="P36" i="8"/>
  <c r="P35" i="8"/>
  <c r="P34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D25" i="8"/>
  <c r="C25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25" i="8" s="1"/>
  <c r="E8" i="8"/>
  <c r="G12" i="29" l="1"/>
  <c r="I69" i="14" l="1"/>
  <c r="H69" i="14"/>
  <c r="C12" i="27"/>
</calcChain>
</file>

<file path=xl/sharedStrings.xml><?xml version="1.0" encoding="utf-8"?>
<sst xmlns="http://schemas.openxmlformats.org/spreadsheetml/2006/main" count="891" uniqueCount="439">
  <si>
    <t>30.06.2026</t>
  </si>
  <si>
    <t>Concepto</t>
  </si>
  <si>
    <t>Activo fijo bruto</t>
  </si>
  <si>
    <t>Depreciación acumulada</t>
  </si>
  <si>
    <t>Activo fijo neto</t>
  </si>
  <si>
    <t>M$</t>
  </si>
  <si>
    <t>Terrenos</t>
  </si>
  <si>
    <t>Edificios y construcciones</t>
  </si>
  <si>
    <t>Redes de transmisión</t>
  </si>
  <si>
    <t>Plantas transmisoras</t>
  </si>
  <si>
    <t>Equipos portátiles</t>
  </si>
  <si>
    <t>Equipos de computación</t>
  </si>
  <si>
    <t>Equipos seriados</t>
  </si>
  <si>
    <t>Vehículos</t>
  </si>
  <si>
    <t>Muebles y útiles</t>
  </si>
  <si>
    <t>Otros activos</t>
  </si>
  <si>
    <t>Activos en leasing</t>
  </si>
  <si>
    <t>Obras en curso</t>
  </si>
  <si>
    <t>Instalaciones domiciliarias</t>
  </si>
  <si>
    <t>Deterioro PPE</t>
  </si>
  <si>
    <t>Asignacion de compra</t>
  </si>
  <si>
    <t>Amortizacion PPA</t>
  </si>
  <si>
    <t>Totales</t>
  </si>
  <si>
    <t xml:space="preserve"> Edificios y</t>
  </si>
  <si>
    <t xml:space="preserve"> Redes de</t>
  </si>
  <si>
    <t xml:space="preserve"> Plantas</t>
  </si>
  <si>
    <t xml:space="preserve"> Equipos</t>
  </si>
  <si>
    <t xml:space="preserve"> Equipo</t>
  </si>
  <si>
    <t xml:space="preserve"> Vehículos</t>
  </si>
  <si>
    <t xml:space="preserve"> Muebles</t>
  </si>
  <si>
    <t xml:space="preserve"> Instalación</t>
  </si>
  <si>
    <t xml:space="preserve"> Otros</t>
  </si>
  <si>
    <t xml:space="preserve"> Activos</t>
  </si>
  <si>
    <t xml:space="preserve"> Obras</t>
  </si>
  <si>
    <t>Construcciones</t>
  </si>
  <si>
    <t>Transmisión</t>
  </si>
  <si>
    <t>Transmisoras</t>
  </si>
  <si>
    <t>Computación</t>
  </si>
  <si>
    <t>Portátil</t>
  </si>
  <si>
    <t xml:space="preserve">M$ </t>
  </si>
  <si>
    <t>Seriados</t>
  </si>
  <si>
    <t>y Útiles</t>
  </si>
  <si>
    <t>Domiciliaria</t>
  </si>
  <si>
    <t>Activos</t>
  </si>
  <si>
    <t>en Leasing</t>
  </si>
  <si>
    <t>en Curso</t>
  </si>
  <si>
    <t xml:space="preserve"> Total</t>
  </si>
  <si>
    <t>Saldo inicial al 01/01/2026</t>
  </si>
  <si>
    <t>Adiciones</t>
  </si>
  <si>
    <t>Desapropiaciones</t>
  </si>
  <si>
    <t>Gasto por depreciación</t>
  </si>
  <si>
    <t>Deterioro</t>
  </si>
  <si>
    <t>Transferencias</t>
  </si>
  <si>
    <t>Saldo final al 31/12/2026</t>
  </si>
  <si>
    <t>31-06-2026</t>
  </si>
  <si>
    <t>Detalle</t>
  </si>
  <si>
    <t>Fondos mutuos</t>
  </si>
  <si>
    <t>Total</t>
  </si>
  <si>
    <t>DETALLE DE FONDOS MUTUOS</t>
  </si>
  <si>
    <t>Banco</t>
  </si>
  <si>
    <t>Moneda</t>
  </si>
  <si>
    <t xml:space="preserve">Cuentas comerciales netas vencidas según plazo </t>
  </si>
  <si>
    <t>No vencido</t>
  </si>
  <si>
    <t>De 0 a 30 días</t>
  </si>
  <si>
    <t>De 31 a 60 días</t>
  </si>
  <si>
    <t>De 61 a 90 días</t>
  </si>
  <si>
    <t>De 91 a 120 días</t>
  </si>
  <si>
    <t>De 121 a 180 días</t>
  </si>
  <si>
    <t>Mayor a 180 días</t>
  </si>
  <si>
    <t xml:space="preserve">Total </t>
  </si>
  <si>
    <t>Saldo inicial</t>
  </si>
  <si>
    <t>La composición de este rubro es la siguiente:</t>
  </si>
  <si>
    <t>Bodega central (*)</t>
  </si>
  <si>
    <t>Otras bodegas (**)</t>
  </si>
  <si>
    <t>Bodega tecnica</t>
  </si>
  <si>
    <t>Bodega en transito</t>
  </si>
  <si>
    <t>Bodega de contratistas</t>
  </si>
  <si>
    <t>Bodega de operaciones</t>
  </si>
  <si>
    <t>Deterioro por obsolescencia de materiales</t>
  </si>
  <si>
    <t>El movimiento de la provisión de obsolescencia al cierre de cada ejercicio es el siguiente:</t>
  </si>
  <si>
    <t xml:space="preserve">     M$</t>
  </si>
  <si>
    <t>Disminución por obsolescencia</t>
  </si>
  <si>
    <t>Utilización por castigo</t>
  </si>
  <si>
    <t>Aumento por obsolescencia</t>
  </si>
  <si>
    <t>Saldo final</t>
  </si>
  <si>
    <t xml:space="preserve"> Los movimientos de los inventarios son los siguientes:</t>
  </si>
  <si>
    <t>Movimiento</t>
  </si>
  <si>
    <t>Compras</t>
  </si>
  <si>
    <t xml:space="preserve">Traspaso a PPE </t>
  </si>
  <si>
    <t>Consumos (1)</t>
  </si>
  <si>
    <t>Provisión de  obsolescencia</t>
  </si>
  <si>
    <t>Otros movimientos</t>
  </si>
  <si>
    <t>Traspasos</t>
  </si>
  <si>
    <t>Durante el ejercicio 2025 y 2024, se efectuaron traspasos desde inventarios a propiedades, planta y equipo, por los siguientes conceptos:</t>
  </si>
  <si>
    <t>Licencias</t>
  </si>
  <si>
    <t>Equipos computacionales</t>
  </si>
  <si>
    <t>Equipos portatiles</t>
  </si>
  <si>
    <t>Muebles y utiles</t>
  </si>
  <si>
    <t>Materiales domiciliarios</t>
  </si>
  <si>
    <t>Vehiculos</t>
  </si>
  <si>
    <t>Equipos Seriados</t>
  </si>
  <si>
    <t>31.12.2025</t>
  </si>
  <si>
    <t>Movimientos de amortizacion acumulada</t>
  </si>
  <si>
    <t>Gasto por amortización</t>
  </si>
  <si>
    <t>Saldo final al 31/12/2025</t>
  </si>
  <si>
    <t>A continuación, se detallan los valores registrados en el estado de resultados de contratos de arrendamientos no considerados derechos de uso:</t>
  </si>
  <si>
    <t>Tipo de contrato</t>
  </si>
  <si>
    <t>Arriendos de corto plazo</t>
  </si>
  <si>
    <t>Arriendos de bajo valor</t>
  </si>
  <si>
    <t>Arriendos que no transfieren control (1)</t>
  </si>
  <si>
    <t>Los pagos mínimos no descontados por compromisos futuros de los arriendos no considerados como derechos de uso son los siguientes:</t>
  </si>
  <si>
    <t>Menos de 1 año</t>
  </si>
  <si>
    <t>Entre 1 y 5 años</t>
  </si>
  <si>
    <t>Mas de 5 años</t>
  </si>
  <si>
    <t>Arriendos que no transfieren control</t>
  </si>
  <si>
    <t>31.12.2026</t>
  </si>
  <si>
    <t>Corriente</t>
  </si>
  <si>
    <t>No corriente</t>
  </si>
  <si>
    <t xml:space="preserve">Arriendo Bodegas </t>
  </si>
  <si>
    <t xml:space="preserve">Arriendo casa matriz </t>
  </si>
  <si>
    <t>Hub´s</t>
  </si>
  <si>
    <t xml:space="preserve">Otros espacios </t>
  </si>
  <si>
    <t>Sucursales</t>
  </si>
  <si>
    <t>Arriendo postes</t>
  </si>
  <si>
    <t>Arriendo vehículos</t>
  </si>
  <si>
    <t xml:space="preserve">VENCIMIENTO DE PASIVOS SIN DESCONTAR </t>
  </si>
  <si>
    <t>Detalle al 30/06/2026</t>
  </si>
  <si>
    <t>90 días</t>
  </si>
  <si>
    <t>90 días a 1 años</t>
  </si>
  <si>
    <t>Total Corriente</t>
  </si>
  <si>
    <t>2 a 3 años</t>
  </si>
  <si>
    <t>4 a 7 años</t>
  </si>
  <si>
    <t>Total No Corriente</t>
  </si>
  <si>
    <t>Pasivos por derecho de uso</t>
  </si>
  <si>
    <t xml:space="preserve">CAMBIOS EN PASIVO POR DERECHO DE USO </t>
  </si>
  <si>
    <t xml:space="preserve">                 Pagos</t>
  </si>
  <si>
    <t>Tipo</t>
  </si>
  <si>
    <t>Nuevos Contratos</t>
  </si>
  <si>
    <t>Baja de contratos</t>
  </si>
  <si>
    <t>Interés Devengado</t>
  </si>
  <si>
    <t>Otros</t>
  </si>
  <si>
    <t>Reajuste</t>
  </si>
  <si>
    <t>Capital</t>
  </si>
  <si>
    <t>Intereses (1)</t>
  </si>
  <si>
    <t>Saldo final al 30/06/2026</t>
  </si>
  <si>
    <t xml:space="preserve">Préstamos bancarios </t>
  </si>
  <si>
    <t>Leasings financieros</t>
  </si>
  <si>
    <t xml:space="preserve">VENCIMIENTO DE PASIVOS SIN DESCONTAR (NIC 32) </t>
  </si>
  <si>
    <t>Otros acreedores financieros</t>
  </si>
  <si>
    <t>Instrumentos de cobertura</t>
  </si>
  <si>
    <t>Nuevos Créditos</t>
  </si>
  <si>
    <t>Mark to Market</t>
  </si>
  <si>
    <t>Préstamos bancarios</t>
  </si>
  <si>
    <t>Total Otros Pasivos Financieros</t>
  </si>
  <si>
    <t>DETALLE LEASING FINANCIERO 2026</t>
  </si>
  <si>
    <t>Institución</t>
  </si>
  <si>
    <t>Vencimiento</t>
  </si>
  <si>
    <t>Número de operación</t>
  </si>
  <si>
    <t>Tasa interés anual</t>
  </si>
  <si>
    <t>No Corriente</t>
  </si>
  <si>
    <t>Banco Crédito e Inversiones</t>
  </si>
  <si>
    <t>UF</t>
  </si>
  <si>
    <t>15/5/2025</t>
  </si>
  <si>
    <t>5,92%</t>
  </si>
  <si>
    <t>CLP$</t>
  </si>
  <si>
    <t>Intereses diferidos arriendos financieros</t>
  </si>
  <si>
    <t>Totales arriendos financieros</t>
  </si>
  <si>
    <t>DETALLE PRESTAMOS BANCARIOS 2025</t>
  </si>
  <si>
    <t>Tipo de operación</t>
  </si>
  <si>
    <t>Banco de crédito e Inversiones</t>
  </si>
  <si>
    <t>CLP</t>
  </si>
  <si>
    <t>Préstamo</t>
  </si>
  <si>
    <t>Banco Internacional</t>
  </si>
  <si>
    <t>4,35%+ICP</t>
  </si>
  <si>
    <t>Banco Scotiabank Chile</t>
  </si>
  <si>
    <t>Banco de Crédito e Inversiones</t>
  </si>
  <si>
    <t>Banco BTG Pactual Chile</t>
  </si>
  <si>
    <t>Banco Goldman Sachs</t>
  </si>
  <si>
    <t>3,95%+TERM SOFR</t>
  </si>
  <si>
    <t>Banco Latinoamericano de Comercio Exterior, S.A.</t>
  </si>
  <si>
    <t>Banco ING Capital LLC</t>
  </si>
  <si>
    <t>US$</t>
  </si>
  <si>
    <t>Prival Bank</t>
  </si>
  <si>
    <t>PCOF SPV I LLC</t>
  </si>
  <si>
    <t>Metrobank</t>
  </si>
  <si>
    <t>Banco Santander</t>
  </si>
  <si>
    <t>Gastos de Crédito</t>
  </si>
  <si>
    <t>Sub- Total préstamos bancarios</t>
  </si>
  <si>
    <t>Intereses devengados préstamos bancarios</t>
  </si>
  <si>
    <t>Totales préstamos bancarios</t>
  </si>
  <si>
    <t>Detalle de instrumentos de cobertura</t>
  </si>
  <si>
    <t xml:space="preserve"> Entidad                </t>
  </si>
  <si>
    <t xml:space="preserve"> Cobertura       </t>
  </si>
  <si>
    <t xml:space="preserve"> Partida cubierta USD </t>
  </si>
  <si>
    <t xml:space="preserve"> Partida cubierta M$ </t>
  </si>
  <si>
    <t xml:space="preserve"> Tipo de instrumento </t>
  </si>
  <si>
    <t xml:space="preserve"> Riesgo cubierto           </t>
  </si>
  <si>
    <t xml:space="preserve"> Moneda </t>
  </si>
  <si>
    <t xml:space="preserve"> Liquidación </t>
  </si>
  <si>
    <t xml:space="preserve"> Vencimiento </t>
  </si>
  <si>
    <t xml:space="preserve"> Activo M$ </t>
  </si>
  <si>
    <t xml:space="preserve"> Pasivo M$ </t>
  </si>
  <si>
    <t xml:space="preserve"> DB Terra Chile Holdco SpA </t>
  </si>
  <si>
    <t xml:space="preserve"> Préstamo USD    </t>
  </si>
  <si>
    <t xml:space="preserve">                    </t>
  </si>
  <si>
    <t xml:space="preserve"> CCS                 </t>
  </si>
  <si>
    <t xml:space="preserve"> Moneda y tasa            </t>
  </si>
  <si>
    <t xml:space="preserve"> USD    </t>
  </si>
  <si>
    <t xml:space="preserve"> Trimestral  </t>
  </si>
  <si>
    <t xml:space="preserve"> 16-03-27    </t>
  </si>
  <si>
    <t xml:space="preserve"> Préstamo $      </t>
  </si>
  <si>
    <t xml:space="preserve">                     </t>
  </si>
  <si>
    <t xml:space="preserve"> IRS                 </t>
  </si>
  <si>
    <t xml:space="preserve"> Tasa                     </t>
  </si>
  <si>
    <t xml:space="preserve"> $      </t>
  </si>
  <si>
    <t xml:space="preserve">                 </t>
  </si>
  <si>
    <t xml:space="preserve">                          </t>
  </si>
  <si>
    <t xml:space="preserve">        </t>
  </si>
  <si>
    <t xml:space="preserve">             </t>
  </si>
  <si>
    <t>VENCIMIENTOS</t>
  </si>
  <si>
    <t xml:space="preserve"> Cuentas comerciales según plazo </t>
  </si>
  <si>
    <t xml:space="preserve">No vencidas y de 0 a 30 días </t>
  </si>
  <si>
    <t>Ingresos percibidos por adelantado</t>
  </si>
  <si>
    <t> NOTA DE IMPUESTOS DIFERIDOS</t>
  </si>
  <si>
    <t>1)</t>
  </si>
  <si>
    <t>Los saldos acumulados netos de las diferencias temporarias originaron activos y pasivos por impuestos diferidos, cuyo detalle es el siguiente:</t>
  </si>
  <si>
    <t>Pasivos</t>
  </si>
  <si>
    <t>Provisión vacaciones</t>
  </si>
  <si>
    <t>Activos en leasing netos</t>
  </si>
  <si>
    <t>Provisión de incobrables</t>
  </si>
  <si>
    <t xml:space="preserve">Propiedades, planta y equipos (1) </t>
  </si>
  <si>
    <t>Intangibles (2)</t>
  </si>
  <si>
    <t>Provisión obsolescencia</t>
  </si>
  <si>
    <t>Instrumento de cobertura</t>
  </si>
  <si>
    <t xml:space="preserve"> </t>
  </si>
  <si>
    <t>Arrendamiento (IFRS 16)</t>
  </si>
  <si>
    <t>Costos financieros créditos</t>
  </si>
  <si>
    <t>Provisiones y anticipos</t>
  </si>
  <si>
    <t xml:space="preserve">Perdida tributaria </t>
  </si>
  <si>
    <t>reclasificación</t>
  </si>
  <si>
    <t xml:space="preserve">Total neto </t>
  </si>
  <si>
    <t>2)</t>
  </si>
  <si>
    <t>Conciliación del saldo inicial y final de impuestos diferidos al 31 de diciembre de 2025 y 2024</t>
  </si>
  <si>
    <t xml:space="preserve">Saldo inicial impuestos diferidos al 1 de enero </t>
  </si>
  <si>
    <t>(cargos)/abonos que no afectaron resultado:</t>
  </si>
  <si>
    <t xml:space="preserve">   Variaciones por revalorización de propiedad, planta y equipos con efecto en     reservas</t>
  </si>
  <si>
    <t>-</t>
  </si>
  <si>
    <t xml:space="preserve">   Variaciones por instrumento de cobertura con efecto en reservas</t>
  </si>
  <si>
    <t>Sub total (cargos)/abonos que no afectaron el resultado</t>
  </si>
  <si>
    <t>(cargos)/abonos que afectaron resultado:</t>
  </si>
  <si>
    <t>Saldo final impuestos diferidos al 31 de diciembre</t>
  </si>
  <si>
    <t>3)</t>
  </si>
  <si>
    <t>Los efectos de impuestos por los ejercicios 2025 y 2024 se detallan a continuación:</t>
  </si>
  <si>
    <t xml:space="preserve"> M$ </t>
  </si>
  <si>
    <t>Efectos en reservas de patrimonio</t>
  </si>
  <si>
    <t>Efecto por impuestos diferidos</t>
  </si>
  <si>
    <t>Efectos en resultado</t>
  </si>
  <si>
    <t xml:space="preserve">Efecto de impuestos diferidos </t>
  </si>
  <si>
    <t xml:space="preserve">Efecto por impuestos a la renta </t>
  </si>
  <si>
    <t>4)</t>
  </si>
  <si>
    <t xml:space="preserve"> La composición del gasto por impuesto a la renta es la siguiente:</t>
  </si>
  <si>
    <t>Movimientos en activos por impuestos diferidos</t>
  </si>
  <si>
    <t>Gasto por impuesto a las ganancias:</t>
  </si>
  <si>
    <t>Gasto por impuestos corrientes (Impuesto único)</t>
  </si>
  <si>
    <t>Gasto por impuestos relativo a la creación y reversión de diferencias temporarias</t>
  </si>
  <si>
    <t>(Gasto) ingreso por impuesto a las ganancias</t>
  </si>
  <si>
    <t>5)</t>
  </si>
  <si>
    <t>Reconciliación de tasa efectiva:</t>
  </si>
  <si>
    <t>Resultado antes de impuesto a la renta</t>
  </si>
  <si>
    <t>Gasto por impuesto utilizando la tasa legal</t>
  </si>
  <si>
    <t>Efecto corrección monetaria patrimonio tributario</t>
  </si>
  <si>
    <t>Efecto corrección monetaria pérdida tributaria arrastre</t>
  </si>
  <si>
    <t>Efecto corrección monetaria inversión tributaria</t>
  </si>
  <si>
    <t>Efecto amortización ppa</t>
  </si>
  <si>
    <t>Efecto goodwill no asignado</t>
  </si>
  <si>
    <t>Efecto Instrumento de cobertura</t>
  </si>
  <si>
    <t>Efecto impositivo por cambio de regimen</t>
  </si>
  <si>
    <t xml:space="preserve">Efecto impositivo por fusión </t>
  </si>
  <si>
    <t>Efecto impositivo castigo de incobrables</t>
  </si>
  <si>
    <t>Efecto impositivo de otras diferencias permanentes</t>
  </si>
  <si>
    <t>Ajuste por reliquidación de impuesto a la renta</t>
  </si>
  <si>
    <t>Efecto impositivo de anticipo clientes</t>
  </si>
  <si>
    <t>Gasto por impuesto utilizando la tasa efectiva</t>
  </si>
  <si>
    <t>Tasa efectiva</t>
  </si>
  <si>
    <t>RUT</t>
  </si>
  <si>
    <t>Nombre</t>
  </si>
  <si>
    <t>Participación</t>
  </si>
  <si>
    <t>78.079.629-4</t>
  </si>
  <si>
    <t>Neoconex Fibra SpA</t>
  </si>
  <si>
    <t xml:space="preserve">                 - </t>
  </si>
  <si>
    <t>La composición del rubro de cuentas por cobrar corrientes con empresas relacionadas por los años 2026 y 2025 es el siguiente:</t>
  </si>
  <si>
    <t>Tipo de</t>
  </si>
  <si>
    <t>Nombre entidad</t>
  </si>
  <si>
    <t>relación</t>
  </si>
  <si>
    <t xml:space="preserve">DB Terra Chile Parent SpA </t>
  </si>
  <si>
    <t>Accionista</t>
  </si>
  <si>
    <t>a)           Transacciones significativas con empresas relacionadas</t>
  </si>
  <si>
    <t>Naturaleza de la relación</t>
  </si>
  <si>
    <t xml:space="preserve">Descripción de la </t>
  </si>
  <si>
    <t>R.U.T.</t>
  </si>
  <si>
    <t>Transacción</t>
  </si>
  <si>
    <t>Efecto en resultado cargo/(abono)</t>
  </si>
  <si>
    <t>77.494.542-17</t>
  </si>
  <si>
    <t>DB Terra Chile Parent SpA</t>
  </si>
  <si>
    <t>Matriz</t>
  </si>
  <si>
    <t>Cobro por pago proveedores , etc</t>
  </si>
  <si>
    <t>Pesos Chilenos</t>
  </si>
  <si>
    <t>77.494.542-18</t>
  </si>
  <si>
    <t>77.494.542-16</t>
  </si>
  <si>
    <t>77.494.542-15</t>
  </si>
  <si>
    <t>77.494.542-14</t>
  </si>
  <si>
    <t>77.494.542-13</t>
  </si>
  <si>
    <t>77.494.542-12</t>
  </si>
  <si>
    <t>77.494.542-11</t>
  </si>
  <si>
    <t>77.494.542-10</t>
  </si>
  <si>
    <t>77.494.542-9</t>
  </si>
  <si>
    <t>77.494.542-8</t>
  </si>
  <si>
    <t>77.494.542-7</t>
  </si>
  <si>
    <t>77.494.542-6</t>
  </si>
  <si>
    <t>77.494.542-5</t>
  </si>
  <si>
    <t>77.494.542-4</t>
  </si>
  <si>
    <t>77.494.542-3</t>
  </si>
  <si>
    <t>77.494.542-2</t>
  </si>
  <si>
    <t>77.494.542-1</t>
  </si>
  <si>
    <t>77.494.542-0</t>
  </si>
  <si>
    <t>Nombre del accionista</t>
  </si>
  <si>
    <t>N° de acciones</t>
  </si>
  <si>
    <t>% participacion</t>
  </si>
  <si>
    <t>DB Terra Chile Parent SpA.</t>
  </si>
  <si>
    <t>Movimiento de acciones</t>
  </si>
  <si>
    <t>Saldo inicial acciones DB Terra Chile Holdco SpA.</t>
  </si>
  <si>
    <t>Adiciones (bajas)</t>
  </si>
  <si>
    <t>Otras reservas</t>
  </si>
  <si>
    <t>Otros ingresos por función</t>
  </si>
  <si>
    <t xml:space="preserve">Indemnizaciones y  multas </t>
  </si>
  <si>
    <t>Castigo de inventarios</t>
  </si>
  <si>
    <t>Castigo de proyectos</t>
  </si>
  <si>
    <t>Castigo de otros deudores</t>
  </si>
  <si>
    <t>Provision obsolescencia</t>
  </si>
  <si>
    <t>Otros  (cta 3106104)</t>
  </si>
  <si>
    <t>Venta de activos fijos</t>
  </si>
  <si>
    <t>Venta de materiales</t>
  </si>
  <si>
    <t>Diferencia de inventarios</t>
  </si>
  <si>
    <t>Indemnizaciones de seguros</t>
  </si>
  <si>
    <t>Otros (cta 3103110)</t>
  </si>
  <si>
    <t>RIESGO DE TIPO DE CAMBIO</t>
  </si>
  <si>
    <t>Aumento</t>
  </si>
  <si>
    <t>Baja</t>
  </si>
  <si>
    <t>10% T/C</t>
  </si>
  <si>
    <t>10% de T/C</t>
  </si>
  <si>
    <t>Saldos de pasivos en USD</t>
  </si>
  <si>
    <t>Saldos de pasivos en Euros</t>
  </si>
  <si>
    <t>Saldos de pasivos en Yuan</t>
  </si>
  <si>
    <t>Utilidad (pérdida) por variación de tipo de cambio</t>
  </si>
  <si>
    <t>RIESGO DE TASAS DE INTERES</t>
  </si>
  <si>
    <t>Valor al cierre 
M$</t>
  </si>
  <si>
    <t>Aumento 10% ICP</t>
  </si>
  <si>
    <t>Baja 10% de ICP</t>
  </si>
  <si>
    <t>Saldos de desembolsos en CLP</t>
  </si>
  <si>
    <t>DB Terra Chile Holdco SpA</t>
  </si>
  <si>
    <t>CAMBIOS EN PASIVO FINANCIERO 2026</t>
  </si>
  <si>
    <t>#N06.2</t>
  </si>
  <si>
    <t>#N07.1</t>
  </si>
  <si>
    <t>#N07.2</t>
  </si>
  <si>
    <t>#N07.3</t>
  </si>
  <si>
    <t>#N07.4</t>
  </si>
  <si>
    <t>#N09.1</t>
  </si>
  <si>
    <t>#N09.2[COMPARATIVO]</t>
  </si>
  <si>
    <t>#N10.2</t>
  </si>
  <si>
    <t>#N10.3</t>
  </si>
  <si>
    <t>#N16.1</t>
  </si>
  <si>
    <t>#N16.2[COMPARATIVO]</t>
  </si>
  <si>
    <t xml:space="preserve">#N15.3[COMPARATIVO] </t>
  </si>
  <si>
    <t>#N15.5</t>
  </si>
  <si>
    <t>Instrument type</t>
  </si>
  <si>
    <t>Description</t>
  </si>
  <si>
    <t>Issuer</t>
  </si>
  <si>
    <t>Currency</t>
  </si>
  <si>
    <t>Issue date</t>
  </si>
  <si>
    <t>Maturity date</t>
  </si>
  <si>
    <t>Transaction type</t>
  </si>
  <si>
    <t>Annual nominal interest rate</t>
  </si>
  <si>
    <t>USD</t>
  </si>
  <si>
    <t>7.95%</t>
  </si>
  <si>
    <t>Subtotal bonds</t>
  </si>
  <si>
    <t>Accrued interest</t>
  </si>
  <si>
    <t xml:space="preserve">            - </t>
  </si>
  <si>
    <t>Total bonds</t>
  </si>
  <si>
    <t>BONOS EMITIDOS</t>
  </si>
  <si>
    <t>#N15.6</t>
  </si>
  <si>
    <t>#N15.7</t>
  </si>
  <si>
    <t>Bono corporativo</t>
  </si>
  <si>
    <t xml:space="preserve">Bono 144A </t>
  </si>
  <si>
    <t>Bono</t>
  </si>
  <si>
    <t>#N14.1</t>
  </si>
  <si>
    <t>#N14.3</t>
  </si>
  <si>
    <t>#N13.1</t>
  </si>
  <si>
    <t>#N13.2</t>
  </si>
  <si>
    <t>#N13.3</t>
  </si>
  <si>
    <t>#N13.4</t>
  </si>
  <si>
    <t>#N13.5</t>
  </si>
  <si>
    <t>#N20.1</t>
  </si>
  <si>
    <t>#N20.2</t>
  </si>
  <si>
    <t>Capital suscrito y pagado y número de accionistas</t>
  </si>
  <si>
    <t>Utilidad (pérdida) por acción</t>
  </si>
  <si>
    <t>#N20.3</t>
  </si>
  <si>
    <t xml:space="preserve"> 31-12-2025</t>
  </si>
  <si>
    <t>Pérdida del ejercicio M$</t>
  </si>
  <si>
    <t>Número de acciones</t>
  </si>
  <si>
    <t>Pérdida básica por acción (pesos por acción)</t>
  </si>
  <si>
    <t>Saldo inicial 01-01</t>
  </si>
  <si>
    <t>Revalorización de PPyE</t>
  </si>
  <si>
    <t>Reservas por coberturas</t>
  </si>
  <si>
    <t>Saldo 31-12-2025</t>
  </si>
  <si>
    <t xml:space="preserve">#N15.4[COMPARATIVO] </t>
  </si>
  <si>
    <t>#N15.8</t>
  </si>
  <si>
    <t xml:space="preserve">#N14.2[COMPARATIVO] </t>
  </si>
  <si>
    <t>#N25.1</t>
  </si>
  <si>
    <t>#N25.2</t>
  </si>
  <si>
    <t>Otros gastos por función</t>
  </si>
  <si>
    <t>#N27.1</t>
  </si>
  <si>
    <t>#N27.2</t>
  </si>
  <si>
    <t>GARANTIAS OBTENIDAS Y OTORGADAS</t>
  </si>
  <si>
    <t xml:space="preserve">Banco </t>
  </si>
  <si>
    <t>Monto en Moneda Origen</t>
  </si>
  <si>
    <t>Monto CLP</t>
  </si>
  <si>
    <t xml:space="preserve">Inicio </t>
  </si>
  <si>
    <t>Termino</t>
  </si>
  <si>
    <t>Banco del Estado de Chile</t>
  </si>
  <si>
    <t>Banco Scotiabank</t>
  </si>
  <si>
    <t>#N10.4</t>
  </si>
  <si>
    <t>#N04.3</t>
  </si>
  <si>
    <t>#N17.4</t>
  </si>
  <si>
    <t>#N16.3[COMPARATIVO]</t>
  </si>
  <si>
    <t>#N20.4</t>
  </si>
  <si>
    <t>#N27.3</t>
  </si>
  <si>
    <t>Scotiabank</t>
  </si>
  <si>
    <t>Estado</t>
  </si>
  <si>
    <t>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</si>
</sst>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 * #,##0_ ;_ * \-#,##0_ ;_ * &quot;-&quot;_ ;_ @_ "/>
    <numFmt numFmtId="43" formatCode="_ * #,##0.00_ ;_ * \-#,##0.00_ ;_ * &quot;-&quot;??_ ;_ @_ "/>
    <numFmt numFmtId="164" formatCode="_ * #,##0_ ;_ * \-#,##0_ ;_ * &quot;-&quot;??_ ;_ @_ "/>
    <numFmt numFmtId="165" formatCode="_(#,##0_);_(\ \(#,##0\);_(&quot;-&quot;??_);_(@_)"/>
    <numFmt numFmtId="166" formatCode="_(* #,##0_);_(* \(#,##0\);_(* &quot;-&quot;??_);_(@_)"/>
    <numFmt numFmtId="167" formatCode="_-* #,##0_-;\-* #,##0_-;_-* &quot;-&quot;_-;_-@_-"/>
    <numFmt numFmtId="168" formatCode="0.0%"/>
    <numFmt numFmtId="169" formatCode="_-* #,##0.00_-;\-* #,##0.00_-;_-* &quot;-&quot;??_-;_-@_-"/>
  </numFmts>
  <fonts count="6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9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9"/>
      <color theme="1"/>
      <name val="Arial"/>
      <family val="2"/>
    </font>
    <font>
      <u/>
      <sz val="9"/>
      <color theme="1"/>
      <name val="Arial"/>
      <family val="2"/>
    </font>
    <font>
      <u/>
      <sz val="9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Georgia"/>
      <family val="1"/>
    </font>
    <font>
      <sz val="8"/>
      <color theme="1"/>
      <name val="Georgia"/>
      <family val="1"/>
    </font>
    <font>
      <sz val="10"/>
      <color rgb="FF000000"/>
      <name val="Georgia"/>
      <family val="1"/>
    </font>
    <font>
      <u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6"/>
      <color theme="1"/>
      <name val="Arial"/>
      <family val="2"/>
    </font>
    <font>
      <b/>
      <sz val="6"/>
      <color rgb="FF000000"/>
      <name val="Arial"/>
      <family val="2"/>
    </font>
    <font>
      <b/>
      <u/>
      <sz val="9"/>
      <color rgb="FF000000"/>
      <name val="Arial"/>
      <family val="2"/>
    </font>
    <font>
      <u/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7"/>
      <color rgb="FF000000"/>
      <name val="Arial"/>
      <family val="2"/>
    </font>
    <font>
      <u/>
      <sz val="8"/>
      <color theme="1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sz val="7"/>
      <color theme="1"/>
      <name val="Arial"/>
      <family val="2"/>
    </font>
    <font>
      <b/>
      <sz val="7"/>
      <color rgb="FF000000"/>
      <name val="Arial"/>
      <family val="2"/>
    </font>
    <font>
      <b/>
      <sz val="7"/>
      <color theme="1"/>
      <name val="Arial"/>
      <family val="2"/>
    </font>
    <font>
      <u/>
      <sz val="10"/>
      <color theme="1"/>
      <name val="Calibri"/>
      <family val="2"/>
      <scheme val="minor"/>
    </font>
    <font>
      <u/>
      <sz val="7"/>
      <color rgb="FF000000"/>
      <name val="Arial"/>
      <family val="2"/>
    </font>
    <font>
      <sz val="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rgb="FF000000"/>
      <name val="Times New Roman"/>
      <family val="1"/>
    </font>
    <font>
      <sz val="7"/>
      <color rgb="FFFF0000"/>
      <name val="Arial"/>
      <family val="2"/>
    </font>
    <font>
      <sz val="9"/>
      <color theme="1"/>
      <name val="Times New Roman"/>
      <family val="1"/>
    </font>
    <font>
      <b/>
      <sz val="11"/>
      <name val="Calibri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sz val="8"/>
      <color theme="1"/>
      <name val="Arial"/>
      <family val="2"/>
    </font>
    <font>
      <sz val="10"/>
      <color rgb="FFFF0000"/>
      <name val="Consolas"/>
      <family val="3"/>
    </font>
    <font>
      <u/>
      <sz val="11"/>
      <name val="Arial"/>
      <family val="2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8.25"/>
      <color rgb="FFFF0000"/>
      <name val="Source Code Pro"/>
      <family val="3"/>
    </font>
    <font>
      <sz val="8.25"/>
      <color rgb="FFFF0000"/>
      <name val="Source Code Pro"/>
      <family val="3"/>
    </font>
    <font>
      <sz val="7"/>
      <color rgb="FF111827"/>
      <name val="Calibri"/>
      <family val="2"/>
    </font>
    <font>
      <sz val="7"/>
      <color rgb="FF000000"/>
      <name val="Calibri"/>
      <family val="2"/>
    </font>
    <font>
      <sz val="7"/>
      <color rgb="FF000000"/>
      <name val="Aptos Narrow"/>
      <family val="2"/>
    </font>
    <font>
      <sz val="7"/>
      <color rgb="FF374151"/>
      <name val="Calibri"/>
      <family val="2"/>
    </font>
    <font>
      <sz val="12"/>
      <color theme="1"/>
      <name val="Aptos"/>
      <family val="2"/>
    </font>
    <font>
      <b/>
      <sz val="9"/>
      <color theme="1"/>
      <name val="Arial"/>
      <family val="2"/>
    </font>
    <font>
      <sz val="11"/>
      <color theme="1"/>
      <name val="Georgia"/>
      <family val="1"/>
    </font>
    <font>
      <b/>
      <sz val="11"/>
      <color theme="1"/>
      <name val="Georgia"/>
      <family val="1"/>
    </font>
    <font>
      <b/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">
    <xf numFmtId="0" fontId="0" fillId="0" borderId="0"/>
    <xf numFmtId="43" fontId="1" fillId="0" borderId="0"/>
    <xf numFmtId="41" fontId="1" fillId="0" borderId="0"/>
    <xf numFmtId="9" fontId="1" fillId="0" borderId="0"/>
    <xf numFmtId="0" fontId="7" fillId="0" borderId="0"/>
    <xf numFmtId="0" fontId="9" fillId="0" borderId="0"/>
    <xf numFmtId="41" fontId="52" fillId="0" borderId="0"/>
    <xf numFmtId="0" fontId="9" fillId="0" borderId="0"/>
    <xf numFmtId="0" fontId="1" fillId="0" borderId="0"/>
    <xf numFmtId="10" fontId="9" fillId="0" borderId="0"/>
    <xf numFmtId="167" fontId="1" fillId="0" borderId="0"/>
    <xf numFmtId="43" fontId="9" fillId="0" borderId="0"/>
    <xf numFmtId="169" fontId="9" fillId="0" borderId="0"/>
    <xf numFmtId="0" fontId="9" fillId="0" borderId="0"/>
    <xf numFmtId="0" fontId="1" fillId="0" borderId="0"/>
    <xf numFmtId="0" fontId="9" fillId="0" borderId="0"/>
    <xf numFmtId="0" fontId="35" fillId="0" borderId="0"/>
    <xf numFmtId="9" fontId="35" fillId="0" borderId="0"/>
    <xf numFmtId="41" fontId="1" fillId="0" borderId="0"/>
    <xf numFmtId="41" fontId="1" fillId="0" borderId="0"/>
    <xf numFmtId="41" fontId="1" fillId="0" borderId="0"/>
  </cellStyleXfs>
  <cellXfs count="425">
    <xf numFmtId="0" fontId="0" fillId="0" borderId="0" xfId="0"/>
    <xf numFmtId="0" fontId="5" fillId="0" borderId="0" xfId="0" applyFont="1" applyAlignment="1">
      <alignment horizontal="justify" vertical="center" wrapText="1"/>
    </xf>
    <xf numFmtId="3" fontId="0" fillId="0" borderId="0" xfId="0" applyNumberFormat="1"/>
    <xf numFmtId="41" fontId="0" fillId="0" borderId="0" xfId="0" applyNumberFormat="1"/>
    <xf numFmtId="41" fontId="0" fillId="0" borderId="0" xfId="2" applyFont="1"/>
    <xf numFmtId="0" fontId="6" fillId="0" borderId="0" xfId="0" applyFont="1"/>
    <xf numFmtId="0" fontId="12" fillId="0" borderId="0" xfId="0" applyFont="1"/>
    <xf numFmtId="0" fontId="0" fillId="0" borderId="0" xfId="0" applyAlignment="1">
      <alignment horizontal="center"/>
    </xf>
    <xf numFmtId="0" fontId="13" fillId="0" borderId="0" xfId="0" applyFont="1"/>
    <xf numFmtId="0" fontId="1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164" fontId="5" fillId="0" borderId="0" xfId="1" applyNumberFormat="1" applyFont="1" applyAlignment="1">
      <alignment horizontal="right" vertical="center" wrapText="1"/>
    </xf>
    <xf numFmtId="164" fontId="5" fillId="0" borderId="7" xfId="1" applyNumberFormat="1" applyFont="1" applyBorder="1" applyAlignment="1">
      <alignment vertical="center" wrapText="1"/>
    </xf>
    <xf numFmtId="164" fontId="0" fillId="0" borderId="0" xfId="1" applyNumberFormat="1" applyFont="1"/>
    <xf numFmtId="165" fontId="0" fillId="0" borderId="0" xfId="2" applyNumberFormat="1" applyFont="1"/>
    <xf numFmtId="165" fontId="0" fillId="0" borderId="0" xfId="0" applyNumberFormat="1"/>
    <xf numFmtId="0" fontId="5" fillId="4" borderId="0" xfId="0" applyFont="1" applyFill="1" applyAlignment="1">
      <alignment vertical="center" wrapText="1"/>
    </xf>
    <xf numFmtId="0" fontId="15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justify" vertical="center" wrapText="1"/>
    </xf>
    <xf numFmtId="0" fontId="5" fillId="4" borderId="0" xfId="0" applyFont="1" applyFill="1" applyAlignment="1">
      <alignment horizontal="center" vertical="center" wrapText="1"/>
    </xf>
    <xf numFmtId="3" fontId="5" fillId="4" borderId="0" xfId="0" applyNumberFormat="1" applyFont="1" applyFill="1" applyAlignment="1">
      <alignment horizontal="right" vertical="center" wrapText="1"/>
    </xf>
    <xf numFmtId="0" fontId="0" fillId="0" borderId="1" xfId="0" applyBorder="1"/>
    <xf numFmtId="0" fontId="20" fillId="0" borderId="0" xfId="0" applyFont="1" applyAlignment="1">
      <alignment horizontal="justify" vertical="center"/>
    </xf>
    <xf numFmtId="0" fontId="21" fillId="0" borderId="0" xfId="0" applyFont="1" applyAlignment="1">
      <alignment horizontal="justify" vertical="center"/>
    </xf>
    <xf numFmtId="0" fontId="15" fillId="4" borderId="0" xfId="0" applyFont="1" applyFill="1" applyAlignment="1">
      <alignment horizontal="justify" vertical="center" wrapText="1"/>
    </xf>
    <xf numFmtId="165" fontId="5" fillId="4" borderId="0" xfId="0" applyNumberFormat="1" applyFont="1" applyFill="1" applyAlignment="1">
      <alignment horizontal="right" vertical="center" wrapText="1"/>
    </xf>
    <xf numFmtId="165" fontId="5" fillId="4" borderId="6" xfId="0" applyNumberFormat="1" applyFont="1" applyFill="1" applyBorder="1" applyAlignment="1">
      <alignment horizontal="right" vertical="center" wrapText="1"/>
    </xf>
    <xf numFmtId="14" fontId="16" fillId="0" borderId="0" xfId="0" applyNumberFormat="1" applyFont="1" applyAlignment="1">
      <alignment vertical="center" wrapText="1"/>
    </xf>
    <xf numFmtId="0" fontId="15" fillId="0" borderId="0" xfId="0" applyFont="1" applyAlignment="1">
      <alignment vertical="center" wrapText="1"/>
    </xf>
    <xf numFmtId="165" fontId="15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justify" vertical="center" wrapText="1"/>
    </xf>
    <xf numFmtId="165" fontId="15" fillId="0" borderId="6" xfId="0" applyNumberFormat="1" applyFont="1" applyBorder="1" applyAlignment="1">
      <alignment horizontal="right" vertical="center" wrapText="1"/>
    </xf>
    <xf numFmtId="165" fontId="5" fillId="0" borderId="6" xfId="0" applyNumberFormat="1" applyFont="1" applyBorder="1" applyAlignment="1">
      <alignment horizontal="right" vertical="center" wrapText="1"/>
    </xf>
    <xf numFmtId="165" fontId="5" fillId="0" borderId="0" xfId="0" applyNumberFormat="1" applyFont="1" applyAlignment="1">
      <alignment horizontal="right" vertical="center" wrapText="1"/>
    </xf>
    <xf numFmtId="0" fontId="19" fillId="0" borderId="0" xfId="0" applyFont="1" applyAlignment="1">
      <alignment horizontal="justify" vertical="center"/>
    </xf>
    <xf numFmtId="0" fontId="23" fillId="0" borderId="0" xfId="0" applyFont="1"/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5" fontId="23" fillId="0" borderId="0" xfId="0" applyNumberFormat="1" applyFont="1"/>
    <xf numFmtId="165" fontId="11" fillId="0" borderId="3" xfId="0" applyNumberFormat="1" applyFont="1" applyBorder="1" applyAlignment="1">
      <alignment horizontal="right" vertical="center" wrapText="1"/>
    </xf>
    <xf numFmtId="165" fontId="25" fillId="0" borderId="3" xfId="0" applyNumberFormat="1" applyFont="1" applyBorder="1" applyAlignment="1">
      <alignment horizontal="right" vertical="center" wrapText="1"/>
    </xf>
    <xf numFmtId="164" fontId="27" fillId="0" borderId="0" xfId="1" applyNumberFormat="1" applyFont="1" applyAlignment="1">
      <alignment horizontal="right" vertical="center" wrapText="1"/>
    </xf>
    <xf numFmtId="0" fontId="5" fillId="4" borderId="0" xfId="0" applyFont="1" applyFill="1" applyAlignment="1">
      <alignment horizontal="right" vertical="center" wrapText="1"/>
    </xf>
    <xf numFmtId="0" fontId="0" fillId="0" borderId="6" xfId="0" applyBorder="1"/>
    <xf numFmtId="0" fontId="17" fillId="0" borderId="0" xfId="0" applyFont="1" applyAlignment="1">
      <alignment horizontal="center" vertical="center" wrapText="1"/>
    </xf>
    <xf numFmtId="14" fontId="1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5" fontId="15" fillId="0" borderId="7" xfId="0" applyNumberFormat="1" applyFont="1" applyBorder="1" applyAlignment="1">
      <alignment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vertical="center" wrapText="1"/>
    </xf>
    <xf numFmtId="0" fontId="3" fillId="4" borderId="0" xfId="0" applyFont="1" applyFill="1" applyAlignment="1">
      <alignment horizontal="justify" vertical="center" wrapText="1"/>
    </xf>
    <xf numFmtId="0" fontId="18" fillId="4" borderId="0" xfId="0" applyFont="1" applyFill="1" applyAlignment="1">
      <alignment horizontal="justify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8" fillId="4" borderId="0" xfId="0" applyFont="1" applyFill="1" applyAlignment="1">
      <alignment horizontal="left" vertical="center" wrapText="1"/>
    </xf>
    <xf numFmtId="165" fontId="18" fillId="4" borderId="0" xfId="0" applyNumberFormat="1" applyFont="1" applyFill="1" applyAlignment="1">
      <alignment horizontal="right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7" fillId="4" borderId="0" xfId="0" applyFont="1" applyFill="1" applyAlignment="1">
      <alignment horizontal="center" vertical="center" wrapText="1"/>
    </xf>
    <xf numFmtId="0" fontId="18" fillId="4" borderId="1" xfId="0" applyFont="1" applyFill="1" applyBorder="1" applyAlignment="1">
      <alignment horizontal="justify" vertical="center" wrapText="1"/>
    </xf>
    <xf numFmtId="164" fontId="5" fillId="0" borderId="0" xfId="0" applyNumberFormat="1" applyFont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164" fontId="5" fillId="0" borderId="6" xfId="0" applyNumberFormat="1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 wrapText="1"/>
    </xf>
    <xf numFmtId="0" fontId="29" fillId="0" borderId="0" xfId="0" applyFont="1" applyAlignment="1">
      <alignment horizontal="center" vertical="center" wrapText="1"/>
    </xf>
    <xf numFmtId="0" fontId="18" fillId="4" borderId="0" xfId="0" applyFont="1" applyFill="1" applyAlignment="1">
      <alignment horizontal="right" vertical="center" wrapText="1"/>
    </xf>
    <xf numFmtId="165" fontId="18" fillId="4" borderId="0" xfId="1" applyNumberFormat="1" applyFont="1" applyFill="1" applyAlignment="1">
      <alignment horizontal="right" vertical="center" wrapText="1"/>
    </xf>
    <xf numFmtId="165" fontId="18" fillId="4" borderId="6" xfId="1" applyNumberFormat="1" applyFont="1" applyFill="1" applyBorder="1" applyAlignment="1">
      <alignment horizontal="right" vertical="center" wrapText="1"/>
    </xf>
    <xf numFmtId="0" fontId="0" fillId="4" borderId="0" xfId="0" applyFill="1" applyAlignment="1">
      <alignment wrapText="1"/>
    </xf>
    <xf numFmtId="164" fontId="5" fillId="4" borderId="6" xfId="1" applyNumberFormat="1" applyFont="1" applyFill="1" applyBorder="1" applyAlignment="1">
      <alignment horizontal="right" vertical="center" wrapText="1"/>
    </xf>
    <xf numFmtId="0" fontId="31" fillId="4" borderId="0" xfId="0" applyFont="1" applyFill="1" applyAlignment="1">
      <alignment horizontal="center" vertical="center" wrapText="1"/>
    </xf>
    <xf numFmtId="0" fontId="32" fillId="0" borderId="0" xfId="0" applyFont="1"/>
    <xf numFmtId="0" fontId="15" fillId="0" borderId="0" xfId="0" applyFont="1"/>
    <xf numFmtId="164" fontId="0" fillId="0" borderId="0" xfId="0" applyNumberFormat="1"/>
    <xf numFmtId="0" fontId="15" fillId="0" borderId="0" xfId="0" applyFont="1" applyAlignment="1">
      <alignment horizontal="justify" vertical="center"/>
    </xf>
    <xf numFmtId="164" fontId="0" fillId="0" borderId="3" xfId="0" applyNumberFormat="1" applyBorder="1"/>
    <xf numFmtId="165" fontId="5" fillId="0" borderId="1" xfId="0" applyNumberFormat="1" applyFont="1" applyBorder="1" applyAlignment="1">
      <alignment horizontal="right" vertical="center" wrapText="1"/>
    </xf>
    <xf numFmtId="166" fontId="5" fillId="0" borderId="0" xfId="1" applyNumberFormat="1" applyFont="1" applyAlignment="1">
      <alignment horizontal="right" vertical="center" wrapText="1"/>
    </xf>
    <xf numFmtId="166" fontId="5" fillId="0" borderId="6" xfId="0" applyNumberFormat="1" applyFont="1" applyBorder="1" applyAlignment="1">
      <alignment horizontal="right" vertical="center" wrapText="1"/>
    </xf>
    <xf numFmtId="164" fontId="5" fillId="0" borderId="7" xfId="0" applyNumberFormat="1" applyFont="1" applyBorder="1" applyAlignment="1">
      <alignment horizontal="left" vertical="center" wrapText="1"/>
    </xf>
    <xf numFmtId="0" fontId="37" fillId="0" borderId="0" xfId="0" applyFont="1" applyAlignment="1">
      <alignment horizontal="left" vertical="center" wrapText="1"/>
    </xf>
    <xf numFmtId="0" fontId="37" fillId="0" borderId="0" xfId="0" applyFont="1" applyAlignment="1">
      <alignment horizontal="right" vertical="center" wrapText="1"/>
    </xf>
    <xf numFmtId="0" fontId="33" fillId="0" borderId="0" xfId="0" applyFont="1" applyAlignment="1">
      <alignment horizontal="left" vertical="center" wrapText="1"/>
    </xf>
    <xf numFmtId="0" fontId="37" fillId="0" borderId="7" xfId="0" applyFont="1" applyBorder="1" applyAlignment="1">
      <alignment horizontal="right" vertical="center" wrapText="1"/>
    </xf>
    <xf numFmtId="164" fontId="33" fillId="0" borderId="0" xfId="1" applyNumberFormat="1" applyFont="1" applyAlignment="1">
      <alignment horizontal="right" vertical="center" wrapText="1"/>
    </xf>
    <xf numFmtId="164" fontId="37" fillId="0" borderId="7" xfId="1" applyNumberFormat="1" applyFont="1" applyBorder="1" applyAlignment="1">
      <alignment horizontal="right" vertical="center" wrapText="1"/>
    </xf>
    <xf numFmtId="0" fontId="38" fillId="0" borderId="0" xfId="0" applyFont="1" applyAlignment="1">
      <alignment horizontal="center" vertical="center" wrapText="1"/>
    </xf>
    <xf numFmtId="165" fontId="33" fillId="0" borderId="0" xfId="1" applyNumberFormat="1" applyFont="1" applyAlignment="1">
      <alignment horizontal="right" vertical="center" wrapText="1"/>
    </xf>
    <xf numFmtId="165" fontId="37" fillId="0" borderId="7" xfId="1" applyNumberFormat="1" applyFont="1" applyBorder="1" applyAlignment="1">
      <alignment horizontal="right" vertical="center" wrapText="1"/>
    </xf>
    <xf numFmtId="0" fontId="0" fillId="3" borderId="0" xfId="0" applyFill="1"/>
    <xf numFmtId="0" fontId="37" fillId="0" borderId="0" xfId="0" applyFont="1" applyAlignment="1">
      <alignment horizontal="center" vertical="center" wrapText="1"/>
    </xf>
    <xf numFmtId="0" fontId="10" fillId="0" borderId="0" xfId="0" applyFont="1" applyAlignment="1">
      <alignment horizontal="justify" vertical="center"/>
    </xf>
    <xf numFmtId="0" fontId="37" fillId="0" borderId="6" xfId="0" applyFont="1" applyBorder="1" applyAlignment="1">
      <alignment vertical="center" wrapText="1"/>
    </xf>
    <xf numFmtId="0" fontId="37" fillId="0" borderId="0" xfId="0" applyFont="1" applyAlignment="1">
      <alignment vertical="center" wrapText="1"/>
    </xf>
    <xf numFmtId="0" fontId="40" fillId="0" borderId="0" xfId="0" applyFont="1"/>
    <xf numFmtId="165" fontId="38" fillId="0" borderId="0" xfId="1" applyNumberFormat="1" applyFont="1" applyAlignment="1">
      <alignment horizontal="right" vertical="center" wrapText="1"/>
    </xf>
    <xf numFmtId="165" fontId="19" fillId="0" borderId="0" xfId="1" applyNumberFormat="1" applyFont="1" applyAlignment="1">
      <alignment vertical="center" wrapText="1"/>
    </xf>
    <xf numFmtId="0" fontId="33" fillId="0" borderId="0" xfId="0" applyFont="1" applyAlignment="1">
      <alignment horizontal="justify" vertical="center" wrapText="1"/>
    </xf>
    <xf numFmtId="0" fontId="41" fillId="4" borderId="0" xfId="0" applyFont="1" applyFill="1" applyAlignment="1">
      <alignment horizontal="left" vertical="center" wrapText="1"/>
    </xf>
    <xf numFmtId="0" fontId="41" fillId="4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center" vertical="center" wrapText="1"/>
    </xf>
    <xf numFmtId="0" fontId="37" fillId="4" borderId="0" xfId="0" applyFont="1" applyFill="1" applyAlignment="1">
      <alignment horizontal="center" vertical="center" wrapText="1"/>
    </xf>
    <xf numFmtId="0" fontId="33" fillId="4" borderId="0" xfId="0" applyFont="1" applyFill="1" applyAlignment="1">
      <alignment horizontal="justify" vertical="center" wrapText="1"/>
    </xf>
    <xf numFmtId="0" fontId="33" fillId="4" borderId="0" xfId="0" applyFont="1" applyFill="1" applyAlignment="1">
      <alignment horizontal="right" vertical="center" wrapText="1"/>
    </xf>
    <xf numFmtId="0" fontId="42" fillId="0" borderId="0" xfId="0" applyFont="1"/>
    <xf numFmtId="0" fontId="43" fillId="0" borderId="0" xfId="0" applyFont="1"/>
    <xf numFmtId="165" fontId="0" fillId="3" borderId="0" xfId="2" applyNumberFormat="1" applyFont="1" applyFill="1"/>
    <xf numFmtId="0" fontId="24" fillId="3" borderId="0" xfId="0" applyFont="1" applyFill="1" applyAlignment="1">
      <alignment horizontal="center" vertical="center" wrapText="1"/>
    </xf>
    <xf numFmtId="165" fontId="24" fillId="3" borderId="0" xfId="0" applyNumberFormat="1" applyFont="1" applyFill="1" applyAlignment="1">
      <alignment vertical="center" wrapText="1"/>
    </xf>
    <xf numFmtId="0" fontId="23" fillId="3" borderId="0" xfId="0" applyFont="1" applyFill="1"/>
    <xf numFmtId="0" fontId="24" fillId="3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vertical="center" wrapText="1"/>
    </xf>
    <xf numFmtId="14" fontId="22" fillId="3" borderId="0" xfId="0" applyNumberFormat="1" applyFont="1" applyFill="1" applyAlignment="1">
      <alignment vertical="center" wrapText="1"/>
    </xf>
    <xf numFmtId="0" fontId="24" fillId="3" borderId="1" xfId="0" applyFont="1" applyFill="1" applyBorder="1" applyAlignment="1">
      <alignment horizontal="center" vertical="center" wrapText="1"/>
    </xf>
    <xf numFmtId="165" fontId="24" fillId="3" borderId="3" xfId="0" applyNumberFormat="1" applyFont="1" applyFill="1" applyBorder="1" applyAlignment="1">
      <alignment horizontal="right" vertical="center" wrapText="1"/>
    </xf>
    <xf numFmtId="0" fontId="44" fillId="0" borderId="0" xfId="0" applyFont="1"/>
    <xf numFmtId="0" fontId="18" fillId="3" borderId="0" xfId="0" applyFont="1" applyFill="1" applyAlignment="1">
      <alignment horizontal="right" vertical="center" wrapText="1"/>
    </xf>
    <xf numFmtId="0" fontId="18" fillId="3" borderId="6" xfId="0" applyFont="1" applyFill="1" applyBorder="1" applyAlignment="1">
      <alignment horizontal="right" vertical="center" wrapText="1"/>
    </xf>
    <xf numFmtId="10" fontId="18" fillId="3" borderId="6" xfId="0" applyNumberFormat="1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164" fontId="2" fillId="0" borderId="0" xfId="0" applyNumberFormat="1" applyFont="1"/>
    <xf numFmtId="165" fontId="4" fillId="0" borderId="0" xfId="0" applyNumberFormat="1" applyFont="1"/>
    <xf numFmtId="41" fontId="5" fillId="4" borderId="0" xfId="2" applyFont="1" applyFill="1" applyAlignment="1">
      <alignment horizontal="right" vertical="center" wrapText="1"/>
    </xf>
    <xf numFmtId="0" fontId="23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164" fontId="24" fillId="0" borderId="0" xfId="1" applyNumberFormat="1" applyFont="1" applyAlignment="1">
      <alignment horizontal="right" vertical="center" wrapText="1"/>
    </xf>
    <xf numFmtId="0" fontId="33" fillId="4" borderId="0" xfId="0" applyFont="1" applyFill="1" applyAlignment="1">
      <alignment horizontal="left" vertical="center" wrapText="1"/>
    </xf>
    <xf numFmtId="165" fontId="10" fillId="0" borderId="0" xfId="0" applyNumberFormat="1" applyFont="1" applyAlignment="1">
      <alignment horizontal="right" vertical="center" wrapText="1"/>
    </xf>
    <xf numFmtId="3" fontId="26" fillId="0" borderId="0" xfId="0" applyNumberFormat="1" applyFont="1" applyAlignment="1">
      <alignment horizontal="right" vertical="center" wrapText="1"/>
    </xf>
    <xf numFmtId="3" fontId="27" fillId="0" borderId="0" xfId="0" applyNumberFormat="1" applyFont="1" applyAlignment="1">
      <alignment horizontal="right" vertical="center" wrapText="1"/>
    </xf>
    <xf numFmtId="3" fontId="23" fillId="0" borderId="0" xfId="0" applyNumberFormat="1" applyFont="1"/>
    <xf numFmtId="0" fontId="24" fillId="3" borderId="2" xfId="0" applyFont="1" applyFill="1" applyBorder="1" applyAlignment="1">
      <alignment horizontal="center" vertical="center" wrapText="1"/>
    </xf>
    <xf numFmtId="0" fontId="24" fillId="3" borderId="16" xfId="0" applyFont="1" applyFill="1" applyBorder="1" applyAlignment="1">
      <alignment horizontal="left" vertical="center" wrapText="1"/>
    </xf>
    <xf numFmtId="165" fontId="24" fillId="3" borderId="17" xfId="0" applyNumberFormat="1" applyFont="1" applyFill="1" applyBorder="1" applyAlignment="1">
      <alignment vertical="center" wrapText="1"/>
    </xf>
    <xf numFmtId="0" fontId="24" fillId="3" borderId="12" xfId="0" applyFont="1" applyFill="1" applyBorder="1" applyAlignment="1">
      <alignment horizontal="center" vertical="center" wrapText="1"/>
    </xf>
    <xf numFmtId="165" fontId="0" fillId="3" borderId="16" xfId="2" applyNumberFormat="1" applyFont="1" applyFill="1" applyBorder="1"/>
    <xf numFmtId="0" fontId="15" fillId="3" borderId="0" xfId="0" applyFont="1" applyFill="1"/>
    <xf numFmtId="0" fontId="33" fillId="3" borderId="0" xfId="0" applyFont="1" applyFill="1" applyAlignment="1">
      <alignment horizontal="left" vertical="center" wrapText="1"/>
    </xf>
    <xf numFmtId="0" fontId="24" fillId="3" borderId="14" xfId="0" applyFont="1" applyFill="1" applyBorder="1" applyAlignment="1">
      <alignment horizontal="left" vertical="center" wrapText="1"/>
    </xf>
    <xf numFmtId="165" fontId="0" fillId="3" borderId="14" xfId="2" applyNumberFormat="1" applyFont="1" applyFill="1" applyBorder="1"/>
    <xf numFmtId="165" fontId="0" fillId="3" borderId="1" xfId="2" applyNumberFormat="1" applyFont="1" applyFill="1" applyBorder="1"/>
    <xf numFmtId="165" fontId="24" fillId="3" borderId="15" xfId="0" applyNumberFormat="1" applyFont="1" applyFill="1" applyBorder="1" applyAlignment="1">
      <alignment vertical="center" wrapText="1"/>
    </xf>
    <xf numFmtId="0" fontId="24" fillId="3" borderId="16" xfId="0" applyFont="1" applyFill="1" applyBorder="1" applyAlignment="1">
      <alignment horizontal="center" vertical="center" wrapText="1"/>
    </xf>
    <xf numFmtId="0" fontId="24" fillId="3" borderId="17" xfId="0" applyFont="1" applyFill="1" applyBorder="1" applyAlignment="1">
      <alignment vertical="center" wrapText="1"/>
    </xf>
    <xf numFmtId="0" fontId="24" fillId="3" borderId="17" xfId="0" applyFont="1" applyFill="1" applyBorder="1" applyAlignment="1">
      <alignment horizontal="center" vertical="center" wrapText="1"/>
    </xf>
    <xf numFmtId="0" fontId="24" fillId="3" borderId="14" xfId="0" applyFont="1" applyFill="1" applyBorder="1" applyAlignment="1">
      <alignment horizontal="center" vertical="center" wrapText="1"/>
    </xf>
    <xf numFmtId="0" fontId="24" fillId="3" borderId="15" xfId="0" applyFont="1" applyFill="1" applyBorder="1" applyAlignment="1">
      <alignment horizontal="center" vertical="center" wrapText="1"/>
    </xf>
    <xf numFmtId="14" fontId="22" fillId="3" borderId="2" xfId="0" applyNumberFormat="1" applyFont="1" applyFill="1" applyBorder="1" applyAlignment="1">
      <alignment vertical="center" wrapText="1"/>
    </xf>
    <xf numFmtId="0" fontId="23" fillId="3" borderId="12" xfId="0" applyFont="1" applyFill="1" applyBorder="1"/>
    <xf numFmtId="14" fontId="22" fillId="3" borderId="13" xfId="0" applyNumberFormat="1" applyFont="1" applyFill="1" applyBorder="1" applyAlignment="1">
      <alignment vertical="center" wrapText="1"/>
    </xf>
    <xf numFmtId="0" fontId="23" fillId="0" borderId="1" xfId="0" applyFont="1" applyBorder="1" applyAlignment="1">
      <alignment wrapText="1"/>
    </xf>
    <xf numFmtId="165" fontId="10" fillId="0" borderId="1" xfId="0" applyNumberFormat="1" applyFont="1" applyBorder="1" applyAlignment="1">
      <alignment horizontal="right" vertical="center" wrapText="1"/>
    </xf>
    <xf numFmtId="165" fontId="24" fillId="0" borderId="1" xfId="0" applyNumberFormat="1" applyFont="1" applyBorder="1" applyAlignment="1">
      <alignment horizontal="right" vertical="center" wrapText="1"/>
    </xf>
    <xf numFmtId="41" fontId="18" fillId="4" borderId="0" xfId="0" applyNumberFormat="1" applyFont="1" applyFill="1" applyAlignment="1">
      <alignment horizontal="right" vertical="center" wrapText="1"/>
    </xf>
    <xf numFmtId="41" fontId="18" fillId="4" borderId="7" xfId="0" applyNumberFormat="1" applyFont="1" applyFill="1" applyBorder="1" applyAlignment="1">
      <alignment horizontal="right" vertical="center" wrapText="1"/>
    </xf>
    <xf numFmtId="41" fontId="18" fillId="0" borderId="4" xfId="0" applyNumberFormat="1" applyFont="1" applyBorder="1" applyAlignment="1">
      <alignment horizontal="right" vertical="center"/>
    </xf>
    <xf numFmtId="41" fontId="18" fillId="4" borderId="6" xfId="0" applyNumberFormat="1" applyFont="1" applyFill="1" applyBorder="1" applyAlignment="1">
      <alignment horizontal="right" vertical="center" wrapText="1"/>
    </xf>
    <xf numFmtId="41" fontId="18" fillId="4" borderId="0" xfId="0" applyNumberFormat="1" applyFont="1" applyFill="1" applyAlignment="1">
      <alignment vertical="center" wrapText="1"/>
    </xf>
    <xf numFmtId="41" fontId="18" fillId="4" borderId="6" xfId="0" applyNumberFormat="1" applyFont="1" applyFill="1" applyBorder="1" applyAlignment="1">
      <alignment vertical="center" wrapText="1"/>
    </xf>
    <xf numFmtId="41" fontId="18" fillId="4" borderId="7" xfId="0" applyNumberFormat="1" applyFont="1" applyFill="1" applyBorder="1" applyAlignment="1">
      <alignment vertical="center" wrapText="1"/>
    </xf>
    <xf numFmtId="14" fontId="17" fillId="4" borderId="0" xfId="0" applyNumberFormat="1" applyFont="1" applyFill="1" applyAlignment="1">
      <alignment vertical="center" wrapText="1"/>
    </xf>
    <xf numFmtId="0" fontId="24" fillId="0" borderId="0" xfId="0" applyFont="1" applyAlignment="1">
      <alignment horizontal="justify" vertical="center"/>
    </xf>
    <xf numFmtId="0" fontId="17" fillId="4" borderId="0" xfId="0" applyFont="1" applyFill="1" applyAlignment="1">
      <alignment horizontal="left" vertical="center" wrapText="1"/>
    </xf>
    <xf numFmtId="41" fontId="3" fillId="4" borderId="0" xfId="0" applyNumberFormat="1" applyFont="1" applyFill="1" applyAlignment="1">
      <alignment horizontal="right" vertical="center" wrapText="1"/>
    </xf>
    <xf numFmtId="41" fontId="3" fillId="4" borderId="6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1" fillId="0" borderId="0" xfId="0" applyFont="1" applyAlignment="1">
      <alignment horizontal="left" vertical="center"/>
    </xf>
    <xf numFmtId="41" fontId="5" fillId="0" borderId="6" xfId="0" applyNumberFormat="1" applyFont="1" applyBorder="1" applyAlignment="1">
      <alignment horizontal="right" vertical="center"/>
    </xf>
    <xf numFmtId="41" fontId="5" fillId="0" borderId="4" xfId="0" applyNumberFormat="1" applyFont="1" applyBorder="1" applyAlignment="1">
      <alignment horizontal="right" vertical="center"/>
    </xf>
    <xf numFmtId="41" fontId="31" fillId="0" borderId="0" xfId="0" applyNumberFormat="1" applyFont="1" applyAlignment="1">
      <alignment horizontal="left" vertical="center"/>
    </xf>
    <xf numFmtId="41" fontId="5" fillId="0" borderId="0" xfId="0" applyNumberFormat="1" applyFont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 wrapText="1"/>
    </xf>
    <xf numFmtId="0" fontId="18" fillId="0" borderId="0" xfId="0" applyFont="1" applyAlignment="1">
      <alignment horizontal="justify" vertical="center"/>
    </xf>
    <xf numFmtId="0" fontId="0" fillId="0" borderId="0" xfId="0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justify" vertical="center" wrapText="1"/>
    </xf>
    <xf numFmtId="41" fontId="30" fillId="0" borderId="0" xfId="0" applyNumberFormat="1" applyFont="1" applyAlignment="1">
      <alignment horizontal="right" vertical="center" wrapText="1"/>
    </xf>
    <xf numFmtId="41" fontId="3" fillId="0" borderId="0" xfId="0" applyNumberFormat="1" applyFont="1" applyAlignment="1">
      <alignment horizontal="justify" vertical="center" wrapText="1"/>
    </xf>
    <xf numFmtId="41" fontId="3" fillId="0" borderId="0" xfId="0" applyNumberFormat="1" applyFont="1" applyAlignment="1">
      <alignment horizontal="right" vertical="center" wrapText="1"/>
    </xf>
    <xf numFmtId="41" fontId="18" fillId="4" borderId="0" xfId="0" applyNumberFormat="1" applyFont="1" applyFill="1" applyAlignment="1">
      <alignment horizontal="left" vertical="center"/>
    </xf>
    <xf numFmtId="41" fontId="18" fillId="4" borderId="9" xfId="0" applyNumberFormat="1" applyFont="1" applyFill="1" applyBorder="1" applyAlignment="1">
      <alignment horizontal="right" vertical="center" wrapText="1"/>
    </xf>
    <xf numFmtId="0" fontId="36" fillId="0" borderId="0" xfId="0" applyFont="1" applyAlignment="1">
      <alignment horizontal="right"/>
    </xf>
    <xf numFmtId="0" fontId="45" fillId="0" borderId="0" xfId="0" applyFont="1"/>
    <xf numFmtId="168" fontId="30" fillId="4" borderId="0" xfId="3" applyNumberFormat="1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 wrapText="1"/>
    </xf>
    <xf numFmtId="0" fontId="33" fillId="0" borderId="6" xfId="0" applyFont="1" applyBorder="1" applyAlignment="1">
      <alignment horizontal="left" vertical="center" wrapText="1"/>
    </xf>
    <xf numFmtId="0" fontId="0" fillId="0" borderId="6" xfId="0" applyBorder="1" applyAlignment="1">
      <alignment vertical="top" wrapText="1"/>
    </xf>
    <xf numFmtId="0" fontId="33" fillId="0" borderId="0" xfId="0" applyFont="1" applyAlignment="1">
      <alignment horizontal="center" vertical="center" wrapText="1"/>
    </xf>
    <xf numFmtId="0" fontId="33" fillId="0" borderId="6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0" fontId="3" fillId="4" borderId="0" xfId="0" applyFont="1" applyFill="1" applyAlignment="1">
      <alignment vertical="center" wrapText="1"/>
    </xf>
    <xf numFmtId="14" fontId="29" fillId="4" borderId="0" xfId="0" applyNumberFormat="1" applyFont="1" applyFill="1" applyAlignment="1">
      <alignment vertical="center" wrapText="1"/>
    </xf>
    <xf numFmtId="0" fontId="29" fillId="4" borderId="0" xfId="0" applyFont="1" applyFill="1" applyAlignment="1">
      <alignment vertical="center" wrapText="1"/>
    </xf>
    <xf numFmtId="0" fontId="18" fillId="4" borderId="0" xfId="0" applyFont="1" applyFill="1" applyAlignment="1">
      <alignment vertical="center" wrapText="1"/>
    </xf>
    <xf numFmtId="14" fontId="18" fillId="4" borderId="1" xfId="0" applyNumberFormat="1" applyFont="1" applyFill="1" applyBorder="1" applyAlignment="1">
      <alignment horizontal="center" vertical="center" wrapText="1"/>
    </xf>
    <xf numFmtId="3" fontId="18" fillId="4" borderId="0" xfId="0" applyNumberFormat="1" applyFont="1" applyFill="1" applyAlignment="1">
      <alignment vertical="center" wrapText="1"/>
    </xf>
    <xf numFmtId="0" fontId="37" fillId="0" borderId="5" xfId="0" applyFont="1" applyBorder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0" fontId="33" fillId="0" borderId="6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6" xfId="0" applyFont="1" applyBorder="1" applyAlignment="1">
      <alignment vertical="center"/>
    </xf>
    <xf numFmtId="4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right" vertical="center"/>
    </xf>
    <xf numFmtId="3" fontId="5" fillId="0" borderId="6" xfId="0" applyNumberFormat="1" applyFont="1" applyBorder="1" applyAlignment="1">
      <alignment horizontal="right" vertical="center"/>
    </xf>
    <xf numFmtId="165" fontId="5" fillId="3" borderId="0" xfId="0" applyNumberFormat="1" applyFont="1" applyFill="1" applyAlignment="1">
      <alignment horizontal="right" vertical="center" wrapText="1"/>
    </xf>
    <xf numFmtId="164" fontId="5" fillId="3" borderId="0" xfId="1" applyNumberFormat="1" applyFont="1" applyFill="1" applyAlignment="1">
      <alignment horizontal="right" vertical="center" wrapText="1"/>
    </xf>
    <xf numFmtId="165" fontId="3" fillId="3" borderId="6" xfId="1" applyNumberFormat="1" applyFont="1" applyFill="1" applyBorder="1" applyAlignment="1">
      <alignment horizontal="right" vertical="center" wrapText="1"/>
    </xf>
    <xf numFmtId="165" fontId="18" fillId="3" borderId="0" xfId="0" applyNumberFormat="1" applyFont="1" applyFill="1" applyAlignment="1">
      <alignment horizontal="right" vertical="center" wrapText="1"/>
    </xf>
    <xf numFmtId="165" fontId="18" fillId="3" borderId="6" xfId="0" applyNumberFormat="1" applyFont="1" applyFill="1" applyBorder="1" applyAlignment="1">
      <alignment horizontal="right" vertical="center" wrapText="1"/>
    </xf>
    <xf numFmtId="14" fontId="12" fillId="0" borderId="1" xfId="0" applyNumberFormat="1" applyFont="1" applyBorder="1" applyAlignment="1">
      <alignment horizontal="center"/>
    </xf>
    <xf numFmtId="0" fontId="18" fillId="4" borderId="1" xfId="0" applyFont="1" applyFill="1" applyBorder="1" applyAlignment="1">
      <alignment horizontal="right" vertical="center" wrapText="1"/>
    </xf>
    <xf numFmtId="165" fontId="18" fillId="3" borderId="1" xfId="0" applyNumberFormat="1" applyFont="1" applyFill="1" applyBorder="1" applyAlignment="1">
      <alignment horizontal="right" vertical="center" wrapText="1"/>
    </xf>
    <xf numFmtId="10" fontId="37" fillId="0" borderId="0" xfId="3" applyNumberFormat="1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10" fontId="18" fillId="3" borderId="0" xfId="0" applyNumberFormat="1" applyFont="1" applyFill="1" applyAlignment="1">
      <alignment horizontal="right" vertical="center" wrapText="1"/>
    </xf>
    <xf numFmtId="41" fontId="18" fillId="3" borderId="6" xfId="0" applyNumberFormat="1" applyFont="1" applyFill="1" applyBorder="1" applyAlignment="1">
      <alignment horizontal="right" vertical="center" wrapText="1"/>
    </xf>
    <xf numFmtId="41" fontId="5" fillId="0" borderId="0" xfId="2" applyFont="1" applyAlignment="1">
      <alignment horizontal="right" vertical="center"/>
    </xf>
    <xf numFmtId="41" fontId="5" fillId="0" borderId="6" xfId="2" applyFont="1" applyBorder="1" applyAlignment="1">
      <alignment horizontal="right" vertical="center"/>
    </xf>
    <xf numFmtId="166" fontId="2" fillId="0" borderId="0" xfId="0" applyNumberFormat="1" applyFont="1"/>
    <xf numFmtId="165" fontId="33" fillId="0" borderId="0" xfId="0" applyNumberFormat="1" applyFont="1" applyAlignment="1">
      <alignment horizontal="right" vertical="center" wrapText="1"/>
    </xf>
    <xf numFmtId="14" fontId="49" fillId="0" borderId="0" xfId="0" applyNumberFormat="1" applyFont="1" applyAlignment="1">
      <alignment horizontal="center" vertical="center"/>
    </xf>
    <xf numFmtId="0" fontId="49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center"/>
    </xf>
    <xf numFmtId="0" fontId="50" fillId="0" borderId="0" xfId="0" applyFont="1" applyAlignment="1">
      <alignment horizontal="center" vertical="center"/>
    </xf>
    <xf numFmtId="0" fontId="50" fillId="4" borderId="0" xfId="0" applyFont="1" applyFill="1" applyAlignment="1">
      <alignment horizontal="center" vertical="center"/>
    </xf>
    <xf numFmtId="0" fontId="32" fillId="3" borderId="0" xfId="0" applyFont="1" applyFill="1"/>
    <xf numFmtId="0" fontId="32" fillId="0" borderId="0" xfId="0" applyFont="1" applyAlignment="1">
      <alignment wrapText="1"/>
    </xf>
    <xf numFmtId="164" fontId="4" fillId="3" borderId="0" xfId="0" applyNumberFormat="1" applyFont="1" applyFill="1"/>
    <xf numFmtId="0" fontId="51" fillId="0" borderId="0" xfId="0" applyFont="1"/>
    <xf numFmtId="0" fontId="47" fillId="0" borderId="0" xfId="0" applyFont="1" applyAlignment="1">
      <alignment horizontal="left" vertical="center" wrapText="1"/>
    </xf>
    <xf numFmtId="165" fontId="24" fillId="3" borderId="1" xfId="0" applyNumberFormat="1" applyFont="1" applyFill="1" applyBorder="1" applyAlignment="1">
      <alignment horizontal="right" vertical="center" wrapText="1"/>
    </xf>
    <xf numFmtId="165" fontId="10" fillId="3" borderId="1" xfId="0" applyNumberFormat="1" applyFont="1" applyFill="1" applyBorder="1" applyAlignment="1">
      <alignment horizontal="right" vertical="center" wrapText="1"/>
    </xf>
    <xf numFmtId="165" fontId="11" fillId="3" borderId="3" xfId="0" applyNumberFormat="1" applyFont="1" applyFill="1" applyBorder="1" applyAlignment="1">
      <alignment horizontal="right" vertical="center" wrapText="1"/>
    </xf>
    <xf numFmtId="14" fontId="22" fillId="3" borderId="0" xfId="0" applyNumberFormat="1" applyFont="1" applyFill="1" applyAlignment="1">
      <alignment horizontal="center" vertical="center" wrapText="1"/>
    </xf>
    <xf numFmtId="165" fontId="38" fillId="0" borderId="4" xfId="1" applyNumberFormat="1" applyFont="1" applyBorder="1" applyAlignment="1">
      <alignment horizontal="right" vertical="center" wrapText="1"/>
    </xf>
    <xf numFmtId="165" fontId="33" fillId="0" borderId="1" xfId="0" applyNumberFormat="1" applyFont="1" applyBorder="1" applyAlignment="1">
      <alignment horizontal="right" vertical="center" wrapText="1"/>
    </xf>
    <xf numFmtId="166" fontId="5" fillId="3" borderId="0" xfId="0" applyNumberFormat="1" applyFont="1" applyFill="1" applyAlignment="1">
      <alignment horizontal="right" vertical="center" wrapText="1"/>
    </xf>
    <xf numFmtId="41" fontId="18" fillId="3" borderId="6" xfId="2" applyFont="1" applyFill="1" applyBorder="1" applyAlignment="1">
      <alignment horizontal="right" vertical="center" wrapText="1"/>
    </xf>
    <xf numFmtId="41" fontId="5" fillId="3" borderId="0" xfId="2" applyFont="1" applyFill="1" applyAlignment="1">
      <alignment horizontal="right" vertical="center" wrapText="1"/>
    </xf>
    <xf numFmtId="165" fontId="15" fillId="3" borderId="7" xfId="0" applyNumberFormat="1" applyFont="1" applyFill="1" applyBorder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right" vertical="center" wrapText="1"/>
    </xf>
    <xf numFmtId="165" fontId="5" fillId="3" borderId="6" xfId="0" applyNumberFormat="1" applyFont="1" applyFill="1" applyBorder="1" applyAlignment="1">
      <alignment horizontal="right" vertical="center" wrapText="1"/>
    </xf>
    <xf numFmtId="165" fontId="15" fillId="3" borderId="6" xfId="0" applyNumberFormat="1" applyFont="1" applyFill="1" applyBorder="1" applyAlignment="1">
      <alignment horizontal="right" vertical="center" wrapText="1"/>
    </xf>
    <xf numFmtId="165" fontId="5" fillId="3" borderId="7" xfId="0" applyNumberFormat="1" applyFont="1" applyFill="1" applyBorder="1" applyAlignment="1">
      <alignment horizontal="right" vertical="center" wrapText="1"/>
    </xf>
    <xf numFmtId="0" fontId="32" fillId="3" borderId="0" xfId="0" applyFont="1" applyFill="1" applyAlignment="1">
      <alignment wrapText="1"/>
    </xf>
    <xf numFmtId="165" fontId="0" fillId="3" borderId="0" xfId="0" applyNumberFormat="1" applyFill="1"/>
    <xf numFmtId="165" fontId="18" fillId="3" borderId="0" xfId="1" applyNumberFormat="1" applyFont="1" applyFill="1" applyAlignment="1">
      <alignment horizontal="right" vertical="center" wrapText="1"/>
    </xf>
    <xf numFmtId="165" fontId="3" fillId="4" borderId="0" xfId="1" applyNumberFormat="1" applyFont="1" applyFill="1" applyAlignment="1">
      <alignment horizontal="right" vertical="center" wrapText="1"/>
    </xf>
    <xf numFmtId="165" fontId="18" fillId="3" borderId="7" xfId="0" applyNumberFormat="1" applyFont="1" applyFill="1" applyBorder="1" applyAlignment="1">
      <alignment horizontal="right" vertical="center" wrapText="1"/>
    </xf>
    <xf numFmtId="164" fontId="5" fillId="0" borderId="10" xfId="0" applyNumberFormat="1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14" fontId="34" fillId="0" borderId="0" xfId="0" applyNumberFormat="1" applyFont="1" applyAlignment="1">
      <alignment horizontal="left" vertical="center" indent="2"/>
    </xf>
    <xf numFmtId="3" fontId="3" fillId="0" borderId="0" xfId="0" applyNumberFormat="1" applyFont="1" applyAlignment="1">
      <alignment horizontal="right" vertical="center" wrapText="1"/>
    </xf>
    <xf numFmtId="0" fontId="3" fillId="0" borderId="1" xfId="0" applyFont="1" applyBorder="1" applyAlignment="1">
      <alignment horizontal="left" vertical="center" indent="2"/>
    </xf>
    <xf numFmtId="0" fontId="3" fillId="0" borderId="18" xfId="0" applyFont="1" applyBorder="1" applyAlignment="1">
      <alignment horizontal="left" vertical="center" indent="2"/>
    </xf>
    <xf numFmtId="3" fontId="3" fillId="0" borderId="18" xfId="0" applyNumberFormat="1" applyFont="1" applyBorder="1" applyAlignment="1">
      <alignment horizontal="right" vertical="center" indent="2"/>
    </xf>
    <xf numFmtId="3" fontId="3" fillId="0" borderId="0" xfId="0" applyNumberFormat="1" applyFont="1" applyAlignment="1">
      <alignment horizontal="right" vertical="center" indent="2"/>
    </xf>
    <xf numFmtId="9" fontId="3" fillId="0" borderId="0" xfId="0" applyNumberFormat="1" applyFont="1" applyAlignment="1">
      <alignment horizontal="right" vertical="center" indent="2"/>
    </xf>
    <xf numFmtId="9" fontId="3" fillId="0" borderId="18" xfId="0" applyNumberFormat="1" applyFont="1" applyBorder="1" applyAlignment="1">
      <alignment horizontal="right" vertical="center" indent="2"/>
    </xf>
    <xf numFmtId="3" fontId="3" fillId="0" borderId="18" xfId="0" applyNumberFormat="1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9" fontId="18" fillId="0" borderId="0" xfId="0" applyNumberFormat="1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0" fontId="10" fillId="4" borderId="19" xfId="0" applyFont="1" applyFill="1" applyBorder="1" applyAlignment="1">
      <alignment horizontal="justify" vertical="center" wrapText="1"/>
    </xf>
    <xf numFmtId="0" fontId="24" fillId="4" borderId="20" xfId="0" applyFont="1" applyFill="1" applyBorder="1" applyAlignment="1">
      <alignment horizontal="justify" vertical="center" wrapText="1"/>
    </xf>
    <xf numFmtId="0" fontId="24" fillId="4" borderId="11" xfId="0" applyFont="1" applyFill="1" applyBorder="1" applyAlignment="1">
      <alignment horizontal="justify" vertical="center" wrapText="1"/>
    </xf>
    <xf numFmtId="0" fontId="53" fillId="0" borderId="0" xfId="0" applyFont="1"/>
    <xf numFmtId="14" fontId="30" fillId="4" borderId="1" xfId="0" applyNumberFormat="1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left" vertical="center" wrapText="1"/>
    </xf>
    <xf numFmtId="0" fontId="0" fillId="0" borderId="5" xfId="0" applyBorder="1"/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7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2" fillId="4" borderId="20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0" fontId="24" fillId="3" borderId="0" xfId="0" applyFont="1" applyFill="1" applyAlignment="1">
      <alignment horizontal="left" vertical="center"/>
    </xf>
    <xf numFmtId="0" fontId="24" fillId="3" borderId="17" xfId="0" applyFont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37" fillId="0" borderId="0" xfId="0" applyFont="1" applyAlignment="1">
      <alignment horizontal="left" vertical="center"/>
    </xf>
    <xf numFmtId="0" fontId="39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50" fillId="4" borderId="0" xfId="0" applyFont="1" applyFill="1" applyAlignment="1">
      <alignment horizontal="left" vertical="center"/>
    </xf>
    <xf numFmtId="0" fontId="54" fillId="3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43" fillId="0" borderId="0" xfId="0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18" fillId="4" borderId="1" xfId="0" applyFont="1" applyFill="1" applyBorder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14" fontId="18" fillId="3" borderId="0" xfId="0" applyNumberFormat="1" applyFont="1" applyFill="1" applyAlignment="1">
      <alignment horizontal="left" vertical="center"/>
    </xf>
    <xf numFmtId="0" fontId="18" fillId="4" borderId="6" xfId="0" applyFont="1" applyFill="1" applyBorder="1" applyAlignment="1">
      <alignment horizontal="left" vertical="center"/>
    </xf>
    <xf numFmtId="0" fontId="43" fillId="3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left" vertical="center"/>
    </xf>
    <xf numFmtId="0" fontId="33" fillId="4" borderId="0" xfId="0" applyFont="1" applyFill="1" applyAlignment="1">
      <alignment horizontal="left" vertical="center"/>
    </xf>
    <xf numFmtId="0" fontId="12" fillId="0" borderId="0" xfId="0" applyFont="1" applyAlignment="1">
      <alignment horizontal="left" vertical="center"/>
    </xf>
    <xf numFmtId="14" fontId="12" fillId="0" borderId="0" xfId="0" applyNumberFormat="1" applyFont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46" fillId="0" borderId="0" xfId="0" applyFont="1" applyAlignment="1">
      <alignment horizontal="left" vertical="center"/>
    </xf>
    <xf numFmtId="14" fontId="17" fillId="4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1" fillId="0" borderId="1" xfId="0" applyFont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14" fontId="29" fillId="0" borderId="0" xfId="0" applyNumberFormat="1" applyFont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164" fontId="5" fillId="0" borderId="0" xfId="1" applyNumberFormat="1" applyFont="1" applyAlignment="1">
      <alignment vertical="center" wrapText="1"/>
    </xf>
    <xf numFmtId="0" fontId="57" fillId="2" borderId="0" xfId="0" applyFont="1" applyFill="1"/>
    <xf numFmtId="0" fontId="53" fillId="2" borderId="0" xfId="0" applyFont="1" applyFill="1" applyAlignment="1">
      <alignment horizontal="left" vertical="center"/>
    </xf>
    <xf numFmtId="0" fontId="58" fillId="2" borderId="0" xfId="0" applyFont="1" applyFill="1"/>
    <xf numFmtId="0" fontId="59" fillId="4" borderId="6" xfId="0" applyFont="1" applyFill="1" applyBorder="1" applyAlignment="1">
      <alignment horizontal="center" vertical="center" wrapText="1"/>
    </xf>
    <xf numFmtId="0" fontId="60" fillId="0" borderId="6" xfId="0" applyFont="1" applyBorder="1" applyAlignment="1">
      <alignment vertical="center" wrapText="1"/>
    </xf>
    <xf numFmtId="0" fontId="60" fillId="0" borderId="0" xfId="0" applyFont="1" applyAlignment="1">
      <alignment vertical="center"/>
    </xf>
    <xf numFmtId="0" fontId="60" fillId="0" borderId="0" xfId="0" applyFont="1" applyAlignment="1">
      <alignment horizontal="center" vertical="center"/>
    </xf>
    <xf numFmtId="0" fontId="60" fillId="4" borderId="0" xfId="0" applyFont="1" applyFill="1" applyAlignment="1">
      <alignment horizontal="right" vertical="center"/>
    </xf>
    <xf numFmtId="0" fontId="60" fillId="0" borderId="0" xfId="0" applyFont="1" applyAlignment="1">
      <alignment horizontal="right" vertical="center"/>
    </xf>
    <xf numFmtId="0" fontId="61" fillId="0" borderId="0" xfId="0" applyFont="1" applyAlignment="1">
      <alignment horizontal="right" vertical="center" wrapText="1"/>
    </xf>
    <xf numFmtId="0" fontId="60" fillId="4" borderId="6" xfId="0" applyFont="1" applyFill="1" applyBorder="1" applyAlignment="1">
      <alignment vertical="center"/>
    </xf>
    <xf numFmtId="0" fontId="60" fillId="4" borderId="6" xfId="0" applyFont="1" applyFill="1" applyBorder="1" applyAlignment="1">
      <alignment horizontal="center" vertical="center"/>
    </xf>
    <xf numFmtId="0" fontId="59" fillId="4" borderId="0" xfId="0" applyFont="1" applyFill="1" applyAlignment="1">
      <alignment vertical="center"/>
    </xf>
    <xf numFmtId="0" fontId="62" fillId="4" borderId="0" xfId="0" applyFont="1" applyFill="1" applyAlignment="1">
      <alignment vertical="center"/>
    </xf>
    <xf numFmtId="0" fontId="62" fillId="4" borderId="0" xfId="0" applyFont="1" applyFill="1" applyAlignment="1">
      <alignment horizontal="right" vertical="center"/>
    </xf>
    <xf numFmtId="0" fontId="62" fillId="4" borderId="6" xfId="0" applyFont="1" applyFill="1" applyBorder="1" applyAlignment="1">
      <alignment horizontal="right" vertical="center"/>
    </xf>
    <xf numFmtId="14" fontId="61" fillId="0" borderId="0" xfId="0" applyNumberFormat="1" applyFont="1" applyAlignment="1">
      <alignment horizontal="center" vertical="center"/>
    </xf>
    <xf numFmtId="14" fontId="60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3" fillId="3" borderId="0" xfId="0" applyFont="1" applyFill="1" applyAlignment="1">
      <alignment horizontal="left" vertical="center" wrapText="1"/>
    </xf>
    <xf numFmtId="0" fontId="3" fillId="3" borderId="18" xfId="0" applyFont="1" applyFill="1" applyBorder="1" applyAlignment="1">
      <alignment horizontal="left" vertical="center" indent="2"/>
    </xf>
    <xf numFmtId="0" fontId="63" fillId="0" borderId="0" xfId="0" applyFont="1"/>
    <xf numFmtId="0" fontId="16" fillId="0" borderId="0" xfId="0" applyFont="1" applyAlignment="1">
      <alignment horizontal="right" vertical="center"/>
    </xf>
    <xf numFmtId="0" fontId="31" fillId="4" borderId="0" xfId="0" applyFont="1" applyFill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63" fillId="4" borderId="0" xfId="0" applyFont="1" applyFill="1" applyAlignment="1">
      <alignment vertical="center" wrapText="1"/>
    </xf>
    <xf numFmtId="0" fontId="15" fillId="0" borderId="8" xfId="0" applyFont="1" applyBorder="1" applyAlignment="1">
      <alignment horizontal="right" vertical="center"/>
    </xf>
    <xf numFmtId="0" fontId="65" fillId="0" borderId="0" xfId="0" applyFont="1" applyAlignment="1">
      <alignment horizontal="justify" vertical="center"/>
    </xf>
    <xf numFmtId="0" fontId="66" fillId="0" borderId="0" xfId="0" applyFont="1" applyAlignment="1">
      <alignment horizontal="justify" vertical="center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3" fillId="0" borderId="0" xfId="0" applyFont="1" applyAlignment="1">
      <alignment vertical="center"/>
    </xf>
    <xf numFmtId="3" fontId="15" fillId="0" borderId="8" xfId="0" applyNumberFormat="1" applyFont="1" applyBorder="1" applyAlignment="1">
      <alignment horizontal="right" vertical="center"/>
    </xf>
    <xf numFmtId="0" fontId="8" fillId="2" borderId="0" xfId="0" applyFont="1" applyFill="1" applyAlignment="1">
      <alignment horizontal="justify" vertical="center"/>
    </xf>
    <xf numFmtId="41" fontId="5" fillId="0" borderId="0" xfId="0" applyNumberFormat="1" applyFont="1" applyAlignment="1">
      <alignment horizontal="right" vertical="center" wrapText="1"/>
    </xf>
    <xf numFmtId="0" fontId="5" fillId="0" borderId="1" xfId="0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right" vertical="center" wrapText="1"/>
    </xf>
    <xf numFmtId="0" fontId="15" fillId="0" borderId="0" xfId="0" applyFont="1" applyAlignment="1">
      <alignment horizontal="left" vertical="center" wrapText="1" indent="1"/>
    </xf>
    <xf numFmtId="0" fontId="15" fillId="0" borderId="1" xfId="0" applyFont="1" applyBorder="1" applyAlignment="1">
      <alignment horizontal="center" vertical="center" wrapText="1"/>
    </xf>
    <xf numFmtId="41" fontId="5" fillId="0" borderId="1" xfId="2" applyFont="1" applyBorder="1" applyAlignment="1">
      <alignment horizontal="left" vertical="center" wrapText="1"/>
    </xf>
    <xf numFmtId="0" fontId="15" fillId="0" borderId="18" xfId="0" applyFont="1" applyBorder="1" applyAlignment="1">
      <alignment horizontal="left" vertical="center" wrapText="1"/>
    </xf>
    <xf numFmtId="41" fontId="5" fillId="0" borderId="18" xfId="2" applyFont="1" applyBorder="1" applyAlignment="1">
      <alignment horizontal="right" vertical="center" wrapText="1"/>
    </xf>
    <xf numFmtId="41" fontId="5" fillId="0" borderId="18" xfId="0" applyNumberFormat="1" applyFont="1" applyBorder="1" applyAlignment="1">
      <alignment horizontal="right" vertical="center" wrapText="1"/>
    </xf>
    <xf numFmtId="0" fontId="64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left" vertical="center" wrapText="1"/>
    </xf>
    <xf numFmtId="0" fontId="65" fillId="0" borderId="0" xfId="0" applyFont="1" applyAlignment="1">
      <alignment vertical="center"/>
    </xf>
    <xf numFmtId="0" fontId="18" fillId="0" borderId="7" xfId="0" applyFont="1" applyBorder="1" applyAlignment="1">
      <alignment horizontal="right" vertical="center"/>
    </xf>
    <xf numFmtId="0" fontId="18" fillId="0" borderId="7" xfId="0" applyFont="1" applyBorder="1" applyAlignment="1">
      <alignment vertical="center"/>
    </xf>
    <xf numFmtId="0" fontId="18" fillId="0" borderId="0" xfId="0" applyFont="1" applyAlignment="1">
      <alignment horizontal="right" vertical="center"/>
    </xf>
    <xf numFmtId="14" fontId="18" fillId="0" borderId="0" xfId="0" applyNumberFormat="1" applyFont="1" applyAlignment="1">
      <alignment horizontal="right" vertical="center"/>
    </xf>
    <xf numFmtId="0" fontId="18" fillId="0" borderId="6" xfId="0" applyFont="1" applyBorder="1" applyAlignment="1">
      <alignment vertical="center"/>
    </xf>
    <xf numFmtId="14" fontId="18" fillId="0" borderId="6" xfId="0" applyNumberFormat="1" applyFont="1" applyBorder="1" applyAlignment="1">
      <alignment horizontal="right" vertical="center"/>
    </xf>
    <xf numFmtId="0" fontId="18" fillId="0" borderId="5" xfId="0" applyFont="1" applyBorder="1" applyAlignment="1">
      <alignment vertical="center" wrapText="1"/>
    </xf>
    <xf numFmtId="3" fontId="18" fillId="0" borderId="5" xfId="0" applyNumberFormat="1" applyFont="1" applyBorder="1" applyAlignment="1">
      <alignment vertical="center"/>
    </xf>
    <xf numFmtId="3" fontId="18" fillId="0" borderId="0" xfId="0" applyNumberFormat="1" applyFont="1" applyAlignment="1">
      <alignment vertical="center"/>
    </xf>
    <xf numFmtId="3" fontId="18" fillId="0" borderId="6" xfId="0" applyNumberFormat="1" applyFont="1" applyBorder="1" applyAlignment="1">
      <alignment vertical="center"/>
    </xf>
    <xf numFmtId="0" fontId="63" fillId="0" borderId="5" xfId="0" applyFont="1" applyBorder="1" applyAlignment="1">
      <alignment vertical="center"/>
    </xf>
    <xf numFmtId="0" fontId="18" fillId="0" borderId="7" xfId="0" applyFont="1" applyBorder="1" applyAlignment="1">
      <alignment horizontal="right" vertical="top"/>
    </xf>
    <xf numFmtId="0" fontId="18" fillId="0" borderId="7" xfId="0" applyFont="1" applyBorder="1" applyAlignment="1">
      <alignment vertical="top" wrapText="1"/>
    </xf>
    <xf numFmtId="0" fontId="67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indent="2"/>
    </xf>
    <xf numFmtId="3" fontId="3" fillId="0" borderId="0" xfId="0" applyNumberFormat="1" applyFont="1" applyAlignment="1">
      <alignment vertical="center"/>
    </xf>
    <xf numFmtId="0" fontId="6" fillId="3" borderId="0" xfId="0" applyFont="1" applyFill="1"/>
    <xf numFmtId="1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165" fontId="15" fillId="3" borderId="0" xfId="0" applyNumberFormat="1" applyFont="1" applyFill="1" applyAlignment="1">
      <alignment horizontal="right" vertical="center" wrapText="1"/>
    </xf>
    <xf numFmtId="166" fontId="0" fillId="3" borderId="0" xfId="0" applyNumberFormat="1" applyFill="1"/>
    <xf numFmtId="165" fontId="18" fillId="3" borderId="0" xfId="0" applyNumberFormat="1" applyFont="1" applyFill="1" applyAlignment="1">
      <alignment vertical="center" wrapText="1"/>
    </xf>
    <xf numFmtId="14" fontId="30" fillId="4" borderId="0" xfId="0" applyNumberFormat="1" applyFont="1" applyFill="1" applyAlignment="1">
      <alignment horizontal="center" vertical="center" wrapText="1"/>
    </xf>
    <xf numFmtId="0" fontId="17" fillId="0" borderId="0" xfId="0" applyFont="1" applyAlignment="1">
      <alignment horizontal="left" vertical="center" wrapText="1" indent="5"/>
    </xf>
    <xf numFmtId="0" fontId="0" fillId="0" borderId="0" xfId="0"/>
    <xf numFmtId="165" fontId="18" fillId="3" borderId="0" xfId="0" applyNumberFormat="1" applyFont="1" applyFill="1" applyAlignment="1">
      <alignment horizontal="right" vertical="center" wrapText="1"/>
    </xf>
    <xf numFmtId="0" fontId="18" fillId="4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1" xfId="0" applyBorder="1"/>
    <xf numFmtId="0" fontId="16" fillId="0" borderId="0" xfId="0" applyFont="1" applyAlignment="1">
      <alignment horizontal="left" vertical="center"/>
    </xf>
    <xf numFmtId="0" fontId="18" fillId="0" borderId="5" xfId="0" applyFont="1" applyBorder="1" applyAlignment="1">
      <alignment horizontal="center" vertical="center" wrapText="1"/>
    </xf>
    <xf numFmtId="0" fontId="0" fillId="0" borderId="5" xfId="0" applyBorder="1"/>
    <xf numFmtId="0" fontId="3" fillId="0" borderId="5" xfId="0" applyFont="1" applyBorder="1" applyAlignment="1">
      <alignment horizontal="right" vertical="center" wrapText="1"/>
    </xf>
    <xf numFmtId="0" fontId="24" fillId="0" borderId="0" xfId="0" applyFont="1" applyAlignment="1">
      <alignment horizontal="left" vertical="center" wrapText="1"/>
    </xf>
    <xf numFmtId="0" fontId="5" fillId="0" borderId="0" xfId="0" applyFont="1" applyAlignment="1">
      <alignment horizontal="justify" vertical="center" wrapText="1"/>
    </xf>
    <xf numFmtId="0" fontId="15" fillId="0" borderId="0" xfId="0" applyFont="1" applyAlignment="1">
      <alignment horizontal="left" vertical="center" wrapText="1" indent="4"/>
    </xf>
    <xf numFmtId="0" fontId="15" fillId="0" borderId="0" xfId="0" applyFont="1" applyAlignment="1">
      <alignment horizontal="left" vertical="center" wrapText="1"/>
    </xf>
    <xf numFmtId="0" fontId="48" fillId="0" borderId="0" xfId="0" applyFont="1" applyAlignment="1">
      <alignment horizontal="left" vertical="center" wrapText="1"/>
    </xf>
    <xf numFmtId="3" fontId="18" fillId="4" borderId="0" xfId="0" applyNumberFormat="1" applyFont="1" applyFill="1" applyAlignment="1">
      <alignment horizontal="right" vertical="center" wrapText="1"/>
    </xf>
    <xf numFmtId="3" fontId="18" fillId="4" borderId="0" xfId="0" applyNumberFormat="1" applyFont="1" applyFill="1" applyAlignment="1">
      <alignment horizontal="right" vertical="center"/>
    </xf>
    <xf numFmtId="3" fontId="18" fillId="4" borderId="7" xfId="0" applyNumberFormat="1" applyFont="1" applyFill="1" applyBorder="1" applyAlignment="1">
      <alignment horizontal="right" vertical="center"/>
    </xf>
    <xf numFmtId="3" fontId="18" fillId="4" borderId="6" xfId="0" applyNumberFormat="1" applyFont="1" applyFill="1" applyBorder="1" applyAlignment="1">
      <alignment horizontal="right" vertical="center"/>
    </xf>
  </cellXfs>
  <cellStyles count="21">
    <cellStyle name="A3 297 x 420 mm" xfId="7" xr:uid="{00000000-0005-0000-0000-00000A000000}"/>
    <cellStyle name="Comma [0] 3" xfId="6" xr:uid="{00000000-0005-0000-0000-000007000000}"/>
    <cellStyle name="Comma_AF_CONTI_122003" xfId="11" xr:uid="{00000000-0005-0000-0000-000010000000}"/>
    <cellStyle name="Millares" xfId="1" builtinId="3"/>
    <cellStyle name="Millares [0]" xfId="2" builtinId="6"/>
    <cellStyle name="Millares [0] 2" xfId="20" xr:uid="{00000000-0005-0000-0000-00001B000000}"/>
    <cellStyle name="Millares [0] 2 9" xfId="10" xr:uid="{00000000-0005-0000-0000-00000F000000}"/>
    <cellStyle name="Millares [0] 3" xfId="18" xr:uid="{00000000-0005-0000-0000-000019000000}"/>
    <cellStyle name="Millares [0] 4" xfId="19" xr:uid="{00000000-0005-0000-0000-00001A000000}"/>
    <cellStyle name="Millares 38" xfId="12" xr:uid="{00000000-0005-0000-0000-000011000000}"/>
    <cellStyle name="Normal" xfId="0" builtinId="0"/>
    <cellStyle name="Normal 133" xfId="13" xr:uid="{00000000-0005-0000-0000-000012000000}"/>
    <cellStyle name="Normal 2 3" xfId="5" xr:uid="{00000000-0005-0000-0000-000006000000}"/>
    <cellStyle name="Normal 262" xfId="15" xr:uid="{00000000-0005-0000-0000-000014000000}"/>
    <cellStyle name="Normal 269 5" xfId="14" xr:uid="{00000000-0005-0000-0000-000013000000}"/>
    <cellStyle name="Normal 4" xfId="4" xr:uid="{00000000-0005-0000-0000-000005000000}"/>
    <cellStyle name="Normal 5" xfId="16" xr:uid="{00000000-0005-0000-0000-000017000000}"/>
    <cellStyle name="Normal 7 4 3 2" xfId="8" xr:uid="{00000000-0005-0000-0000-00000C000000}"/>
    <cellStyle name="Percent 2" xfId="17" xr:uid="{00000000-0005-0000-0000-000018000000}"/>
    <cellStyle name="Porcentaje" xfId="3" builtinId="5"/>
    <cellStyle name="Porcentaje 10" xfId="9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2:D14"/>
  <sheetViews>
    <sheetView showGridLines="0" zoomScale="80" zoomScaleNormal="80" workbookViewId="0">
      <selection activeCell="G21" sqref="G21"/>
    </sheetView>
  </sheetViews>
  <sheetFormatPr baseColWidth="10" defaultRowHeight="14.4" x14ac:dyDescent="0.3"/>
  <cols>
    <col min="1" max="1" width="27.6640625" customWidth="1"/>
    <col min="2" max="2" width="18.88671875" customWidth="1"/>
    <col min="3" max="3" width="17.88671875" customWidth="1"/>
    <col min="4" max="4" width="15.88671875" bestFit="1" customWidth="1"/>
    <col min="5" max="5" width="17.77734375" bestFit="1" customWidth="1"/>
    <col min="6" max="6" width="14.21875" bestFit="1" customWidth="1"/>
    <col min="7" max="7" width="12.5546875" bestFit="1" customWidth="1"/>
    <col min="8" max="8" width="14.5546875" bestFit="1" customWidth="1"/>
  </cols>
  <sheetData>
    <row r="2" spans="1:4" x14ac:dyDescent="0.3">
      <c r="A2" s="333" t="s">
        <v>431</v>
      </c>
    </row>
    <row r="3" spans="1:4" x14ac:dyDescent="0.3">
      <c r="A3" t="s">
        <v>58</v>
      </c>
    </row>
    <row r="5" spans="1:4" ht="14.4" customHeight="1" x14ac:dyDescent="0.3">
      <c r="A5" s="234" t="s">
        <v>55</v>
      </c>
      <c r="B5" s="234" t="s">
        <v>59</v>
      </c>
      <c r="C5" s="291" t="s">
        <v>60</v>
      </c>
      <c r="D5" s="235" t="s">
        <v>54</v>
      </c>
    </row>
    <row r="6" spans="1:4" x14ac:dyDescent="0.3">
      <c r="D6" s="10" t="s">
        <v>5</v>
      </c>
    </row>
    <row r="7" spans="1:4" x14ac:dyDescent="0.3">
      <c r="A7" s="174" t="s">
        <v>56</v>
      </c>
      <c r="B7" s="174" t="s">
        <v>175</v>
      </c>
      <c r="C7" s="62" t="s">
        <v>181</v>
      </c>
      <c r="D7" s="421">
        <v>3120499</v>
      </c>
    </row>
    <row r="8" spans="1:4" x14ac:dyDescent="0.3">
      <c r="A8" s="174" t="s">
        <v>56</v>
      </c>
      <c r="B8" s="174" t="s">
        <v>436</v>
      </c>
      <c r="C8" s="62" t="s">
        <v>438</v>
      </c>
      <c r="D8" s="421">
        <v>2839260</v>
      </c>
    </row>
    <row r="9" spans="1:4" x14ac:dyDescent="0.3">
      <c r="A9" s="174" t="s">
        <v>56</v>
      </c>
      <c r="B9" s="174" t="s">
        <v>175</v>
      </c>
      <c r="C9" s="62" t="s">
        <v>438</v>
      </c>
      <c r="D9" s="421">
        <v>145029</v>
      </c>
    </row>
    <row r="10" spans="1:4" x14ac:dyDescent="0.3">
      <c r="A10" s="174" t="s">
        <v>56</v>
      </c>
      <c r="B10" s="174" t="s">
        <v>437</v>
      </c>
      <c r="C10" s="62" t="s">
        <v>438</v>
      </c>
      <c r="D10" s="421">
        <v>866211</v>
      </c>
    </row>
    <row r="11" spans="1:4" x14ac:dyDescent="0.3">
      <c r="A11" s="174" t="s">
        <v>56</v>
      </c>
      <c r="B11" s="174" t="s">
        <v>437</v>
      </c>
      <c r="C11" s="62" t="s">
        <v>438</v>
      </c>
      <c r="D11" s="421">
        <v>61178</v>
      </c>
    </row>
    <row r="12" spans="1:4" ht="15" customHeight="1" thickBot="1" x14ac:dyDescent="0.35">
      <c r="A12" s="174"/>
      <c r="B12" s="1"/>
      <c r="D12" s="332"/>
    </row>
    <row r="13" spans="1:4" ht="15" customHeight="1" thickBot="1" x14ac:dyDescent="0.35">
      <c r="A13" s="174" t="s">
        <v>57</v>
      </c>
      <c r="B13" s="13"/>
      <c r="D13" s="15">
        <f>SUM(D7:D12)</f>
        <v>7032177</v>
      </c>
    </row>
    <row r="14" spans="1:4" x14ac:dyDescent="0.3">
      <c r="D1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B2:C14"/>
  <sheetViews>
    <sheetView showGridLines="0" zoomScale="90" zoomScaleNormal="90" workbookViewId="0">
      <selection activeCell="E10" sqref="E10"/>
    </sheetView>
  </sheetViews>
  <sheetFormatPr baseColWidth="10" defaultRowHeight="14.4" x14ac:dyDescent="0.3"/>
  <cols>
    <col min="2" max="2" width="38.109375" customWidth="1"/>
    <col min="3" max="3" width="14.33203125" customWidth="1"/>
    <col min="4" max="4" width="18.109375" bestFit="1" customWidth="1"/>
    <col min="5" max="5" width="14" customWidth="1"/>
    <col min="6" max="6" width="15.77734375" bestFit="1" customWidth="1"/>
    <col min="7" max="7" width="9.44140625" bestFit="1" customWidth="1"/>
  </cols>
  <sheetData>
    <row r="2" spans="2:3" x14ac:dyDescent="0.3">
      <c r="B2" s="333" t="s">
        <v>361</v>
      </c>
      <c r="C2" s="233"/>
    </row>
    <row r="3" spans="2:3" ht="23.25" customHeight="1" x14ac:dyDescent="0.3">
      <c r="B3" s="292" t="s">
        <v>61</v>
      </c>
      <c r="C3" s="235" t="s">
        <v>54</v>
      </c>
    </row>
    <row r="4" spans="2:3" x14ac:dyDescent="0.3">
      <c r="B4" s="20"/>
      <c r="C4" s="232" t="s">
        <v>5</v>
      </c>
    </row>
    <row r="5" spans="2:3" x14ac:dyDescent="0.3">
      <c r="B5" s="22"/>
      <c r="C5" s="23"/>
    </row>
    <row r="6" spans="2:3" x14ac:dyDescent="0.3">
      <c r="B6" s="22"/>
      <c r="C6" s="23"/>
    </row>
    <row r="7" spans="2:3" x14ac:dyDescent="0.3">
      <c r="B7" s="293" t="s">
        <v>62</v>
      </c>
      <c r="C7" s="422">
        <v>6380720</v>
      </c>
    </row>
    <row r="8" spans="2:3" x14ac:dyDescent="0.3">
      <c r="B8" s="293" t="s">
        <v>63</v>
      </c>
      <c r="C8" s="422">
        <v>5113135</v>
      </c>
    </row>
    <row r="9" spans="2:3" x14ac:dyDescent="0.3">
      <c r="B9" s="293" t="s">
        <v>64</v>
      </c>
      <c r="C9" s="422">
        <v>117716</v>
      </c>
    </row>
    <row r="10" spans="2:3" x14ac:dyDescent="0.3">
      <c r="B10" s="293" t="s">
        <v>65</v>
      </c>
      <c r="C10" s="422">
        <v>157639</v>
      </c>
    </row>
    <row r="11" spans="2:3" x14ac:dyDescent="0.3">
      <c r="B11" s="293" t="s">
        <v>66</v>
      </c>
      <c r="C11" s="422">
        <v>101111</v>
      </c>
    </row>
    <row r="12" spans="2:3" x14ac:dyDescent="0.3">
      <c r="B12" s="293" t="s">
        <v>67</v>
      </c>
      <c r="C12" s="422">
        <v>46742</v>
      </c>
    </row>
    <row r="13" spans="2:3" ht="15" customHeight="1" thickBot="1" x14ac:dyDescent="0.35">
      <c r="B13" s="293" t="s">
        <v>68</v>
      </c>
      <c r="C13" s="422">
        <v>3859</v>
      </c>
    </row>
    <row r="14" spans="2:3" ht="15" customHeight="1" thickBot="1" x14ac:dyDescent="0.35">
      <c r="B14" s="293" t="s">
        <v>69</v>
      </c>
      <c r="C14" s="423">
        <v>11920922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B1:G57"/>
  <sheetViews>
    <sheetView showGridLines="0" tabSelected="1" zoomScale="90" zoomScaleNormal="90" workbookViewId="0">
      <selection activeCell="C12" sqref="C12"/>
    </sheetView>
  </sheetViews>
  <sheetFormatPr baseColWidth="10" defaultRowHeight="14.4" x14ac:dyDescent="0.3"/>
  <cols>
    <col min="1" max="1" width="5.44140625" customWidth="1"/>
    <col min="2" max="2" width="40.21875" customWidth="1"/>
    <col min="3" max="3" width="14.33203125" customWidth="1"/>
    <col min="4" max="4" width="18.109375" style="97" bestFit="1" customWidth="1"/>
    <col min="5" max="5" width="17.109375" bestFit="1" customWidth="1"/>
    <col min="6" max="6" width="11.88671875" bestFit="1" customWidth="1"/>
    <col min="7" max="7" width="16" bestFit="1" customWidth="1"/>
  </cols>
  <sheetData>
    <row r="1" spans="2:7" x14ac:dyDescent="0.3">
      <c r="B1" s="333" t="s">
        <v>362</v>
      </c>
      <c r="C1" s="5"/>
      <c r="D1" s="395"/>
      <c r="E1" s="5"/>
      <c r="G1" s="5"/>
    </row>
    <row r="2" spans="2:7" x14ac:dyDescent="0.3">
      <c r="B2" s="289" t="s">
        <v>71</v>
      </c>
    </row>
    <row r="3" spans="2:7" x14ac:dyDescent="0.3">
      <c r="C3" s="235" t="s">
        <v>54</v>
      </c>
      <c r="D3" s="396"/>
      <c r="E3" s="50"/>
      <c r="G3" s="50"/>
    </row>
    <row r="4" spans="2:7" x14ac:dyDescent="0.3">
      <c r="B4" s="288" t="s">
        <v>55</v>
      </c>
      <c r="C4" s="7" t="s">
        <v>5</v>
      </c>
      <c r="D4" s="397"/>
    </row>
    <row r="6" spans="2:7" x14ac:dyDescent="0.3">
      <c r="B6" s="288" t="s">
        <v>72</v>
      </c>
      <c r="C6" s="422">
        <v>12815370</v>
      </c>
      <c r="D6" s="215"/>
      <c r="E6" s="130"/>
      <c r="G6" s="130"/>
    </row>
    <row r="7" spans="2:7" x14ac:dyDescent="0.3">
      <c r="B7" s="288" t="s">
        <v>73</v>
      </c>
      <c r="C7" s="422">
        <v>9406853</v>
      </c>
      <c r="D7" s="215"/>
      <c r="E7" s="130"/>
      <c r="G7" s="130"/>
    </row>
    <row r="8" spans="2:7" x14ac:dyDescent="0.3">
      <c r="B8" s="288" t="s">
        <v>74</v>
      </c>
      <c r="C8" s="422">
        <v>6903570</v>
      </c>
      <c r="D8" s="215"/>
      <c r="E8" s="130"/>
      <c r="G8" s="130"/>
    </row>
    <row r="9" spans="2:7" x14ac:dyDescent="0.3">
      <c r="B9" s="288" t="s">
        <v>75</v>
      </c>
      <c r="C9" s="422">
        <v>2027331</v>
      </c>
      <c r="D9" s="215"/>
      <c r="E9" s="130"/>
      <c r="G9" s="130"/>
    </row>
    <row r="10" spans="2:7" x14ac:dyDescent="0.3">
      <c r="B10" s="288" t="s">
        <v>76</v>
      </c>
      <c r="C10" s="422">
        <v>1407762</v>
      </c>
      <c r="D10" s="215"/>
      <c r="E10" s="130"/>
      <c r="G10" s="130"/>
    </row>
    <row r="11" spans="2:7" x14ac:dyDescent="0.3">
      <c r="B11" s="288" t="s">
        <v>77</v>
      </c>
      <c r="C11" s="422">
        <v>1914081</v>
      </c>
      <c r="D11" s="215"/>
      <c r="E11" s="130"/>
      <c r="G11" s="130"/>
    </row>
    <row r="12" spans="2:7" ht="15" thickBot="1" x14ac:dyDescent="0.35">
      <c r="B12" s="288" t="s">
        <v>78</v>
      </c>
      <c r="C12" s="424">
        <v>-1227528</v>
      </c>
      <c r="D12" s="215"/>
      <c r="E12" s="130"/>
      <c r="G12" s="130"/>
    </row>
    <row r="13" spans="2:7" ht="15" customHeight="1" thickBot="1" x14ac:dyDescent="0.35">
      <c r="B13" s="288" t="s">
        <v>57</v>
      </c>
      <c r="C13" s="424">
        <v>33247439</v>
      </c>
      <c r="D13" s="114"/>
      <c r="E13" s="17"/>
      <c r="G13" s="4"/>
    </row>
    <row r="14" spans="2:7" ht="15" customHeight="1" x14ac:dyDescent="0.3">
      <c r="C14" s="26"/>
    </row>
    <row r="15" spans="2:7" x14ac:dyDescent="0.3">
      <c r="C15" s="3"/>
    </row>
    <row r="17" spans="2:4" x14ac:dyDescent="0.3">
      <c r="B17" s="333" t="s">
        <v>363</v>
      </c>
    </row>
    <row r="18" spans="2:4" x14ac:dyDescent="0.3">
      <c r="B18" s="289" t="s">
        <v>79</v>
      </c>
    </row>
    <row r="19" spans="2:4" x14ac:dyDescent="0.3">
      <c r="B19" s="22"/>
      <c r="C19" s="235" t="s">
        <v>54</v>
      </c>
      <c r="D19" s="396"/>
    </row>
    <row r="20" spans="2:4" x14ac:dyDescent="0.3">
      <c r="B20" s="28"/>
      <c r="C20" s="23" t="s">
        <v>80</v>
      </c>
      <c r="D20" s="398"/>
    </row>
    <row r="21" spans="2:4" x14ac:dyDescent="0.3">
      <c r="B21" s="293" t="s">
        <v>70</v>
      </c>
      <c r="C21" s="29"/>
      <c r="D21" s="114"/>
    </row>
    <row r="22" spans="2:4" x14ac:dyDescent="0.3">
      <c r="B22" s="293" t="s">
        <v>81</v>
      </c>
      <c r="C22" s="29"/>
      <c r="D22" s="114"/>
    </row>
    <row r="23" spans="2:4" x14ac:dyDescent="0.3">
      <c r="B23" s="293" t="s">
        <v>82</v>
      </c>
      <c r="C23" s="29"/>
      <c r="D23" s="259"/>
    </row>
    <row r="24" spans="2:4" ht="15" customHeight="1" thickBot="1" x14ac:dyDescent="0.35">
      <c r="B24" s="293" t="s">
        <v>83</v>
      </c>
      <c r="C24" s="30"/>
    </row>
    <row r="25" spans="2:4" ht="15" customHeight="1" thickBot="1" x14ac:dyDescent="0.35">
      <c r="B25" s="293" t="s">
        <v>84</v>
      </c>
      <c r="C25" s="30">
        <f>SUM(C21:C24)</f>
        <v>0</v>
      </c>
      <c r="D25" s="215"/>
    </row>
    <row r="26" spans="2:4" ht="15" customHeight="1" x14ac:dyDescent="0.3">
      <c r="B26" s="293"/>
      <c r="C26" s="29"/>
      <c r="D26" s="215"/>
    </row>
    <row r="27" spans="2:4" x14ac:dyDescent="0.3">
      <c r="B27" s="333" t="s">
        <v>364</v>
      </c>
    </row>
    <row r="28" spans="2:4" x14ac:dyDescent="0.3">
      <c r="B28" s="289" t="s">
        <v>85</v>
      </c>
    </row>
    <row r="29" spans="2:4" x14ac:dyDescent="0.3">
      <c r="B29" s="22"/>
      <c r="C29" s="235" t="s">
        <v>54</v>
      </c>
      <c r="D29" s="396"/>
    </row>
    <row r="30" spans="2:4" x14ac:dyDescent="0.3">
      <c r="B30" s="292" t="s">
        <v>86</v>
      </c>
      <c r="C30" s="9" t="s">
        <v>5</v>
      </c>
      <c r="D30" s="399"/>
    </row>
    <row r="31" spans="2:4" x14ac:dyDescent="0.3">
      <c r="B31" s="22"/>
      <c r="C31" s="1"/>
      <c r="D31" s="400"/>
    </row>
    <row r="32" spans="2:4" x14ac:dyDescent="0.3">
      <c r="B32" s="293" t="s">
        <v>70</v>
      </c>
      <c r="C32" s="33"/>
      <c r="D32" s="401"/>
    </row>
    <row r="33" spans="2:4" x14ac:dyDescent="0.3">
      <c r="B33" s="293" t="s">
        <v>87</v>
      </c>
      <c r="C33" s="33"/>
      <c r="D33" s="401"/>
    </row>
    <row r="34" spans="2:4" x14ac:dyDescent="0.3">
      <c r="B34" s="293" t="s">
        <v>88</v>
      </c>
      <c r="C34" s="33"/>
      <c r="D34" s="401"/>
    </row>
    <row r="35" spans="2:4" x14ac:dyDescent="0.3">
      <c r="B35" s="293" t="s">
        <v>89</v>
      </c>
      <c r="C35" s="33"/>
      <c r="D35" s="401"/>
    </row>
    <row r="36" spans="2:4" x14ac:dyDescent="0.3">
      <c r="B36" s="293" t="s">
        <v>90</v>
      </c>
      <c r="C36" s="33"/>
      <c r="D36" s="401"/>
    </row>
    <row r="37" spans="2:4" x14ac:dyDescent="0.3">
      <c r="B37" s="293" t="s">
        <v>91</v>
      </c>
      <c r="C37" s="33"/>
      <c r="D37" s="401"/>
    </row>
    <row r="38" spans="2:4" ht="15" customHeight="1" thickBot="1" x14ac:dyDescent="0.35">
      <c r="B38" s="293" t="s">
        <v>92</v>
      </c>
      <c r="C38" s="35"/>
      <c r="D38" s="401"/>
    </row>
    <row r="39" spans="2:4" ht="15" customHeight="1" thickBot="1" x14ac:dyDescent="0.35">
      <c r="B39" s="293" t="s">
        <v>57</v>
      </c>
      <c r="C39" s="36">
        <f>SUM(C33:C38)</f>
        <v>0</v>
      </c>
      <c r="D39" s="215"/>
    </row>
    <row r="40" spans="2:4" x14ac:dyDescent="0.3">
      <c r="B40" s="38"/>
    </row>
    <row r="41" spans="2:4" x14ac:dyDescent="0.3">
      <c r="B41" s="1"/>
      <c r="C41" s="18"/>
      <c r="D41" s="259"/>
    </row>
    <row r="42" spans="2:4" x14ac:dyDescent="0.3">
      <c r="B42" s="333" t="s">
        <v>365</v>
      </c>
    </row>
    <row r="43" spans="2:4" x14ac:dyDescent="0.3">
      <c r="B43" s="289" t="s">
        <v>93</v>
      </c>
    </row>
    <row r="44" spans="2:4" x14ac:dyDescent="0.3">
      <c r="B44" s="5"/>
    </row>
    <row r="45" spans="2:4" x14ac:dyDescent="0.3">
      <c r="B45" s="27"/>
      <c r="C45" s="5"/>
      <c r="D45" s="395"/>
    </row>
    <row r="46" spans="2:4" x14ac:dyDescent="0.3">
      <c r="B46" s="405" t="s">
        <v>1</v>
      </c>
      <c r="C46" s="235" t="s">
        <v>54</v>
      </c>
      <c r="D46" s="396"/>
    </row>
    <row r="47" spans="2:4" x14ac:dyDescent="0.3">
      <c r="B47" s="406"/>
      <c r="C47" s="10" t="s">
        <v>5</v>
      </c>
      <c r="D47" s="398"/>
    </row>
    <row r="48" spans="2:4" x14ac:dyDescent="0.3">
      <c r="B48" s="174" t="s">
        <v>94</v>
      </c>
      <c r="C48" s="85"/>
      <c r="D48" s="249"/>
    </row>
    <row r="49" spans="2:4" x14ac:dyDescent="0.3">
      <c r="B49" s="174" t="s">
        <v>95</v>
      </c>
      <c r="C49" s="85"/>
      <c r="D49" s="249"/>
    </row>
    <row r="50" spans="2:4" x14ac:dyDescent="0.3">
      <c r="B50" s="174" t="s">
        <v>96</v>
      </c>
      <c r="C50" s="85"/>
      <c r="D50" s="249"/>
    </row>
    <row r="51" spans="2:4" x14ac:dyDescent="0.3">
      <c r="B51" s="174" t="s">
        <v>97</v>
      </c>
      <c r="C51" s="85"/>
      <c r="D51" s="249"/>
    </row>
    <row r="52" spans="2:4" x14ac:dyDescent="0.3">
      <c r="B52" s="174" t="s">
        <v>17</v>
      </c>
      <c r="C52" s="85"/>
      <c r="D52" s="249"/>
    </row>
    <row r="53" spans="2:4" x14ac:dyDescent="0.3">
      <c r="B53" s="174" t="s">
        <v>15</v>
      </c>
      <c r="C53" s="85"/>
      <c r="D53" s="249"/>
    </row>
    <row r="54" spans="2:4" x14ac:dyDescent="0.3">
      <c r="B54" s="174" t="s">
        <v>98</v>
      </c>
      <c r="C54" s="85"/>
      <c r="D54" s="402"/>
    </row>
    <row r="55" spans="2:4" x14ac:dyDescent="0.3">
      <c r="B55" s="174" t="s">
        <v>99</v>
      </c>
      <c r="C55" s="85"/>
      <c r="D55" s="249"/>
    </row>
    <row r="56" spans="2:4" ht="15" customHeight="1" thickBot="1" x14ac:dyDescent="0.35">
      <c r="B56" s="174" t="s">
        <v>100</v>
      </c>
      <c r="C56" s="86"/>
      <c r="D56" s="249"/>
    </row>
    <row r="57" spans="2:4" ht="15" customHeight="1" thickBot="1" x14ac:dyDescent="0.35">
      <c r="B57" s="174" t="s">
        <v>57</v>
      </c>
      <c r="C57" s="86">
        <f>SUM(C48:C56)</f>
        <v>0</v>
      </c>
      <c r="D57" s="249"/>
    </row>
  </sheetData>
  <mergeCells count="1">
    <mergeCell ref="B46:B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59999389629810485"/>
  </sheetPr>
  <dimension ref="A1:P42"/>
  <sheetViews>
    <sheetView showGridLines="0" topLeftCell="A13" zoomScale="70" zoomScaleNormal="70" workbookViewId="0">
      <selection activeCell="F1" sqref="F1:H27"/>
    </sheetView>
  </sheetViews>
  <sheetFormatPr baseColWidth="10" defaultColWidth="11.44140625" defaultRowHeight="13.8" x14ac:dyDescent="0.3"/>
  <cols>
    <col min="1" max="1" width="34.33203125" style="39" customWidth="1"/>
    <col min="2" max="2" width="33.109375" style="39" customWidth="1"/>
    <col min="3" max="3" width="13.44140625" style="39" customWidth="1"/>
    <col min="4" max="4" width="21.44140625" style="39" customWidth="1"/>
    <col min="5" max="5" width="15" style="39" customWidth="1"/>
    <col min="6" max="6" width="18.5546875" style="39" bestFit="1" customWidth="1"/>
    <col min="7" max="7" width="12.77734375" style="39" customWidth="1"/>
    <col min="8" max="8" width="18" style="39" bestFit="1" customWidth="1"/>
    <col min="9" max="9" width="25.5546875" style="39" customWidth="1"/>
    <col min="10" max="10" width="14.88671875" style="39" customWidth="1"/>
    <col min="11" max="11" width="13.5546875" style="39" bestFit="1" customWidth="1"/>
    <col min="12" max="12" width="14.77734375" style="39" bestFit="1" customWidth="1"/>
    <col min="13" max="13" width="13.77734375" style="39" bestFit="1" customWidth="1"/>
    <col min="14" max="14" width="12" style="39" bestFit="1" customWidth="1"/>
    <col min="15" max="15" width="12.77734375" style="39" bestFit="1" customWidth="1"/>
    <col min="16" max="16" width="12" style="39" bestFit="1" customWidth="1"/>
    <col min="17" max="17" width="15.109375" style="39" bestFit="1" customWidth="1"/>
    <col min="18" max="18" width="12.77734375" style="39" bestFit="1" customWidth="1"/>
    <col min="19" max="19" width="14.5546875" style="39" bestFit="1" customWidth="1"/>
    <col min="20" max="21" width="12" style="39" bestFit="1" customWidth="1"/>
    <col min="22" max="22" width="13.77734375" style="39" bestFit="1" customWidth="1"/>
    <col min="23" max="23" width="14.77734375" style="39" bestFit="1" customWidth="1"/>
    <col min="24" max="24" width="11.6640625" style="39" customWidth="1"/>
    <col min="25" max="27" width="11.44140625" style="39" customWidth="1"/>
    <col min="28" max="16384" width="11.44140625" style="39"/>
  </cols>
  <sheetData>
    <row r="1" spans="1:5" x14ac:dyDescent="0.3">
      <c r="B1" s="333" t="s">
        <v>366</v>
      </c>
    </row>
    <row r="2" spans="1:5" x14ac:dyDescent="0.3">
      <c r="B2" s="283"/>
    </row>
    <row r="3" spans="1:5" x14ac:dyDescent="0.3">
      <c r="B3" s="280"/>
      <c r="C3" s="156"/>
      <c r="D3" s="155" t="s">
        <v>0</v>
      </c>
      <c r="E3" s="157"/>
    </row>
    <row r="4" spans="1:5" x14ac:dyDescent="0.3">
      <c r="B4" s="281"/>
      <c r="C4" s="150"/>
      <c r="D4" s="119"/>
      <c r="E4" s="151"/>
    </row>
    <row r="5" spans="1:5" ht="25.5" customHeight="1" x14ac:dyDescent="0.3">
      <c r="B5" s="294" t="s">
        <v>1</v>
      </c>
      <c r="C5" s="295" t="s">
        <v>2</v>
      </c>
      <c r="D5" s="296" t="s">
        <v>3</v>
      </c>
      <c r="E5" s="297" t="s">
        <v>4</v>
      </c>
    </row>
    <row r="6" spans="1:5" x14ac:dyDescent="0.3">
      <c r="B6" s="281"/>
      <c r="C6" s="150" t="s">
        <v>5</v>
      </c>
      <c r="D6" s="115" t="s">
        <v>5</v>
      </c>
      <c r="E6" s="152" t="s">
        <v>5</v>
      </c>
    </row>
    <row r="7" spans="1:5" x14ac:dyDescent="0.3">
      <c r="B7" s="282"/>
      <c r="C7" s="153"/>
      <c r="D7" s="121"/>
      <c r="E7" s="154"/>
    </row>
    <row r="8" spans="1:5" x14ac:dyDescent="0.3">
      <c r="B8" s="298" t="s">
        <v>6</v>
      </c>
      <c r="C8" s="142"/>
      <c r="D8" s="139"/>
      <c r="E8" s="141">
        <f t="shared" ref="E8:E23" si="0">SUM(C8:D8)</f>
        <v>0</v>
      </c>
    </row>
    <row r="9" spans="1:5" ht="20.100000000000001" customHeight="1" x14ac:dyDescent="0.3">
      <c r="A9" s="134"/>
      <c r="B9" s="140" t="s">
        <v>7</v>
      </c>
      <c r="C9" s="143"/>
      <c r="D9" s="114"/>
      <c r="E9" s="141">
        <f t="shared" si="0"/>
        <v>0</v>
      </c>
    </row>
    <row r="10" spans="1:5" ht="20.100000000000001" customHeight="1" x14ac:dyDescent="0.3">
      <c r="A10" s="134"/>
      <c r="B10" s="140" t="s">
        <v>8</v>
      </c>
      <c r="C10" s="143"/>
      <c r="D10" s="114"/>
      <c r="E10" s="141">
        <f t="shared" si="0"/>
        <v>0</v>
      </c>
    </row>
    <row r="11" spans="1:5" ht="20.100000000000001" customHeight="1" x14ac:dyDescent="0.3">
      <c r="A11" s="134"/>
      <c r="B11" s="140" t="s">
        <v>9</v>
      </c>
      <c r="C11" s="143"/>
      <c r="D11" s="114"/>
      <c r="E11" s="141">
        <f t="shared" si="0"/>
        <v>0</v>
      </c>
    </row>
    <row r="12" spans="1:5" ht="20.100000000000001" customHeight="1" x14ac:dyDescent="0.3">
      <c r="A12" s="134"/>
      <c r="B12" s="140" t="s">
        <v>10</v>
      </c>
      <c r="C12" s="143"/>
      <c r="D12" s="114"/>
      <c r="E12" s="141">
        <f t="shared" si="0"/>
        <v>0</v>
      </c>
    </row>
    <row r="13" spans="1:5" ht="20.100000000000001" customHeight="1" x14ac:dyDescent="0.3">
      <c r="A13" s="134"/>
      <c r="B13" s="140" t="s">
        <v>11</v>
      </c>
      <c r="C13" s="143"/>
      <c r="D13" s="114"/>
      <c r="E13" s="141">
        <f t="shared" si="0"/>
        <v>0</v>
      </c>
    </row>
    <row r="14" spans="1:5" ht="20.100000000000001" customHeight="1" x14ac:dyDescent="0.3">
      <c r="A14" s="134"/>
      <c r="B14" s="140" t="s">
        <v>12</v>
      </c>
      <c r="C14" s="143"/>
      <c r="D14" s="114"/>
      <c r="E14" s="141">
        <f t="shared" si="0"/>
        <v>0</v>
      </c>
    </row>
    <row r="15" spans="1:5" ht="20.100000000000001" customHeight="1" x14ac:dyDescent="0.3">
      <c r="A15" s="134"/>
      <c r="B15" s="140" t="s">
        <v>13</v>
      </c>
      <c r="C15" s="143"/>
      <c r="D15" s="114"/>
      <c r="E15" s="141">
        <f t="shared" si="0"/>
        <v>0</v>
      </c>
    </row>
    <row r="16" spans="1:5" ht="20.100000000000001" customHeight="1" x14ac:dyDescent="0.3">
      <c r="A16" s="134"/>
      <c r="B16" s="140" t="s">
        <v>14</v>
      </c>
      <c r="C16" s="143"/>
      <c r="D16" s="114"/>
      <c r="E16" s="141">
        <f t="shared" si="0"/>
        <v>0</v>
      </c>
    </row>
    <row r="17" spans="1:16" ht="20.100000000000001" customHeight="1" x14ac:dyDescent="0.3">
      <c r="A17" s="134"/>
      <c r="B17" s="140" t="s">
        <v>15</v>
      </c>
      <c r="C17" s="143"/>
      <c r="D17" s="114"/>
      <c r="E17" s="141">
        <f t="shared" si="0"/>
        <v>0</v>
      </c>
    </row>
    <row r="18" spans="1:16" ht="20.100000000000001" customHeight="1" x14ac:dyDescent="0.3">
      <c r="A18" s="134"/>
      <c r="B18" s="140" t="s">
        <v>16</v>
      </c>
      <c r="C18" s="143"/>
      <c r="D18" s="114"/>
      <c r="E18" s="141">
        <f t="shared" si="0"/>
        <v>0</v>
      </c>
    </row>
    <row r="19" spans="1:16" ht="20.100000000000001" customHeight="1" x14ac:dyDescent="0.3">
      <c r="A19" s="134"/>
      <c r="B19" s="140" t="s">
        <v>17</v>
      </c>
      <c r="C19" s="143"/>
      <c r="D19" s="114"/>
      <c r="E19" s="141">
        <f t="shared" si="0"/>
        <v>0</v>
      </c>
    </row>
    <row r="20" spans="1:16" ht="20.100000000000001" customHeight="1" x14ac:dyDescent="0.3">
      <c r="A20" s="134"/>
      <c r="B20" s="140" t="s">
        <v>18</v>
      </c>
      <c r="C20" s="143"/>
      <c r="D20" s="114"/>
      <c r="E20" s="141">
        <f t="shared" si="0"/>
        <v>0</v>
      </c>
    </row>
    <row r="21" spans="1:16" s="117" customFormat="1" ht="20.100000000000001" customHeight="1" x14ac:dyDescent="0.3">
      <c r="A21" s="145"/>
      <c r="B21" s="140" t="s">
        <v>19</v>
      </c>
      <c r="C21" s="143"/>
      <c r="D21" s="114"/>
      <c r="E21" s="141">
        <f t="shared" si="0"/>
        <v>0</v>
      </c>
      <c r="F21" s="39"/>
      <c r="G21" s="39"/>
      <c r="H21" s="39"/>
    </row>
    <row r="22" spans="1:16" s="117" customFormat="1" ht="20.100000000000001" customHeight="1" x14ac:dyDescent="0.3">
      <c r="B22" s="140" t="s">
        <v>20</v>
      </c>
      <c r="C22" s="143"/>
      <c r="D22" s="114"/>
      <c r="E22" s="141">
        <f t="shared" si="0"/>
        <v>0</v>
      </c>
      <c r="F22" s="39"/>
      <c r="G22" s="39"/>
      <c r="H22" s="39"/>
    </row>
    <row r="23" spans="1:16" s="117" customFormat="1" ht="20.100000000000001" customHeight="1" x14ac:dyDescent="0.3">
      <c r="B23" s="146" t="s">
        <v>21</v>
      </c>
      <c r="C23" s="147"/>
      <c r="D23" s="148"/>
      <c r="E23" s="149">
        <f t="shared" si="0"/>
        <v>0</v>
      </c>
      <c r="F23" s="39"/>
      <c r="G23" s="39"/>
      <c r="H23" s="39"/>
    </row>
    <row r="24" spans="1:16" s="117" customFormat="1" ht="20.100000000000001" customHeight="1" x14ac:dyDescent="0.3">
      <c r="B24" s="118"/>
      <c r="C24" s="114"/>
      <c r="D24" s="114"/>
      <c r="E24" s="116"/>
      <c r="F24" s="39"/>
      <c r="G24" s="39"/>
      <c r="H24" s="39"/>
    </row>
    <row r="25" spans="1:16" s="117" customFormat="1" ht="20.100000000000001" customHeight="1" thickBot="1" x14ac:dyDescent="0.35">
      <c r="B25" s="118" t="s">
        <v>22</v>
      </c>
      <c r="C25" s="122">
        <f t="shared" ref="C25:E25" si="1">SUM(C9:C23)</f>
        <v>0</v>
      </c>
      <c r="D25" s="122">
        <f t="shared" si="1"/>
        <v>0</v>
      </c>
      <c r="E25" s="122">
        <f t="shared" si="1"/>
        <v>0</v>
      </c>
      <c r="F25" s="39"/>
      <c r="G25" s="39"/>
      <c r="H25" s="39"/>
    </row>
    <row r="26" spans="1:16" s="117" customFormat="1" ht="20.100000000000001" customHeight="1" thickTop="1" x14ac:dyDescent="0.3">
      <c r="F26" s="39"/>
      <c r="G26" s="39"/>
      <c r="H26" s="39"/>
    </row>
    <row r="27" spans="1:16" s="117" customFormat="1" ht="13.2" customHeight="1" x14ac:dyDescent="0.3">
      <c r="F27" s="39"/>
      <c r="G27" s="39"/>
      <c r="H27" s="39"/>
    </row>
    <row r="28" spans="1:16" x14ac:dyDescent="0.3">
      <c r="B28" s="334" t="s">
        <v>367</v>
      </c>
    </row>
    <row r="29" spans="1:16" x14ac:dyDescent="0.3">
      <c r="B29" s="39">
        <v>2026</v>
      </c>
    </row>
    <row r="30" spans="1:16" x14ac:dyDescent="0.3">
      <c r="B30" s="40"/>
      <c r="C30" s="41"/>
      <c r="D30" s="299" t="s">
        <v>23</v>
      </c>
      <c r="E30" s="299" t="s">
        <v>24</v>
      </c>
      <c r="F30" s="41" t="s">
        <v>25</v>
      </c>
      <c r="G30" s="41" t="s">
        <v>26</v>
      </c>
      <c r="H30" s="41" t="s">
        <v>27</v>
      </c>
      <c r="I30" s="41" t="s">
        <v>28</v>
      </c>
      <c r="J30" s="41" t="s">
        <v>26</v>
      </c>
      <c r="K30" s="41" t="s">
        <v>29</v>
      </c>
      <c r="L30" s="41" t="s">
        <v>30</v>
      </c>
      <c r="M30" s="41" t="s">
        <v>31</v>
      </c>
      <c r="N30" s="41" t="s">
        <v>32</v>
      </c>
      <c r="O30" s="41" t="s">
        <v>33</v>
      </c>
    </row>
    <row r="31" spans="1:16" x14ac:dyDescent="0.3">
      <c r="B31" s="40"/>
      <c r="C31" s="299" t="s">
        <v>6</v>
      </c>
      <c r="D31" s="299" t="s">
        <v>34</v>
      </c>
      <c r="E31" s="299" t="s">
        <v>35</v>
      </c>
      <c r="F31" s="41" t="s">
        <v>36</v>
      </c>
      <c r="G31" s="41" t="s">
        <v>37</v>
      </c>
      <c r="H31" s="41" t="s">
        <v>38</v>
      </c>
      <c r="I31" s="41" t="s">
        <v>39</v>
      </c>
      <c r="J31" s="41" t="s">
        <v>40</v>
      </c>
      <c r="K31" s="41" t="s">
        <v>41</v>
      </c>
      <c r="L31" s="41" t="s">
        <v>42</v>
      </c>
      <c r="M31" s="41" t="s">
        <v>43</v>
      </c>
      <c r="N31" s="41" t="s">
        <v>44</v>
      </c>
      <c r="O31" s="41" t="s">
        <v>45</v>
      </c>
      <c r="P31" s="41" t="s">
        <v>46</v>
      </c>
    </row>
    <row r="32" spans="1:16" x14ac:dyDescent="0.3">
      <c r="B32" s="40"/>
      <c r="C32" s="42" t="s">
        <v>39</v>
      </c>
      <c r="D32" s="42" t="s">
        <v>39</v>
      </c>
      <c r="E32" s="42" t="s">
        <v>39</v>
      </c>
      <c r="F32" s="42" t="s">
        <v>39</v>
      </c>
      <c r="G32" s="42" t="s">
        <v>39</v>
      </c>
      <c r="H32" s="42" t="s">
        <v>39</v>
      </c>
      <c r="I32" s="158"/>
      <c r="J32" s="42" t="s">
        <v>39</v>
      </c>
      <c r="K32" s="42" t="s">
        <v>39</v>
      </c>
      <c r="L32" s="42" t="s">
        <v>39</v>
      </c>
      <c r="M32" s="42" t="s">
        <v>39</v>
      </c>
      <c r="N32" s="42" t="s">
        <v>39</v>
      </c>
      <c r="O32" s="42" t="s">
        <v>39</v>
      </c>
      <c r="P32" s="42" t="s">
        <v>39</v>
      </c>
    </row>
    <row r="33" spans="2:16" x14ac:dyDescent="0.3">
      <c r="B33" s="132" t="s">
        <v>47</v>
      </c>
      <c r="C33" s="133">
        <f>+H8</f>
        <v>0</v>
      </c>
      <c r="D33" s="133">
        <f>+H9</f>
        <v>0</v>
      </c>
      <c r="E33" s="133">
        <f>+H10</f>
        <v>0</v>
      </c>
      <c r="F33" s="133">
        <f>+H11</f>
        <v>0</v>
      </c>
      <c r="G33" s="133">
        <f>+H13</f>
        <v>0</v>
      </c>
      <c r="H33" s="133">
        <f>+H12</f>
        <v>0</v>
      </c>
      <c r="I33" s="133">
        <f>+H15</f>
        <v>0</v>
      </c>
      <c r="J33" s="133">
        <f>+H14</f>
        <v>0</v>
      </c>
      <c r="K33" s="133">
        <f>+E16</f>
        <v>0</v>
      </c>
      <c r="L33" s="133">
        <f>+E20</f>
        <v>0</v>
      </c>
      <c r="M33" s="133">
        <f>+E17</f>
        <v>0</v>
      </c>
      <c r="N33" s="133">
        <f>+E18</f>
        <v>0</v>
      </c>
      <c r="O33" s="133">
        <f>+E19</f>
        <v>0</v>
      </c>
      <c r="P33" s="135">
        <f t="shared" ref="P33:P39" si="2">SUM(C34:O34)</f>
        <v>0</v>
      </c>
    </row>
    <row r="34" spans="2:16" x14ac:dyDescent="0.3">
      <c r="B34" s="40" t="s">
        <v>48</v>
      </c>
      <c r="C34" s="135">
        <v>0</v>
      </c>
      <c r="D34" s="135">
        <v>0</v>
      </c>
      <c r="E34" s="135">
        <v>0</v>
      </c>
      <c r="F34" s="135">
        <v>0</v>
      </c>
      <c r="G34" s="135">
        <v>0</v>
      </c>
      <c r="H34" s="135">
        <v>0</v>
      </c>
      <c r="I34" s="135">
        <v>0</v>
      </c>
      <c r="J34" s="135">
        <v>0</v>
      </c>
      <c r="K34" s="135">
        <v>0</v>
      </c>
      <c r="L34" s="135">
        <v>0</v>
      </c>
      <c r="M34" s="135">
        <v>0</v>
      </c>
      <c r="N34" s="135">
        <v>0</v>
      </c>
      <c r="O34" s="135">
        <v>0</v>
      </c>
      <c r="P34" s="135">
        <f t="shared" si="2"/>
        <v>0</v>
      </c>
    </row>
    <row r="35" spans="2:16" x14ac:dyDescent="0.3">
      <c r="B35" s="300" t="s">
        <v>49</v>
      </c>
      <c r="C35" s="135">
        <v>0</v>
      </c>
      <c r="D35" s="135">
        <v>0</v>
      </c>
      <c r="E35" s="135">
        <v>0</v>
      </c>
      <c r="F35" s="135">
        <v>0</v>
      </c>
      <c r="G35" s="135">
        <v>0</v>
      </c>
      <c r="H35" s="135">
        <v>0</v>
      </c>
      <c r="I35" s="135">
        <v>0</v>
      </c>
      <c r="J35" s="135">
        <v>0</v>
      </c>
      <c r="K35" s="135">
        <v>0</v>
      </c>
      <c r="L35" s="135">
        <v>0</v>
      </c>
      <c r="M35" s="135">
        <v>0</v>
      </c>
      <c r="N35" s="135">
        <v>0</v>
      </c>
      <c r="O35" s="135">
        <v>0</v>
      </c>
      <c r="P35" s="135">
        <f t="shared" si="2"/>
        <v>0</v>
      </c>
    </row>
    <row r="36" spans="2:16" x14ac:dyDescent="0.3">
      <c r="B36" s="40" t="s">
        <v>50</v>
      </c>
      <c r="C36" s="135">
        <v>0</v>
      </c>
      <c r="D36" s="135">
        <v>0</v>
      </c>
      <c r="E36" s="135">
        <v>0</v>
      </c>
      <c r="F36" s="135">
        <v>0</v>
      </c>
      <c r="G36" s="135">
        <v>0</v>
      </c>
      <c r="H36" s="135">
        <v>0</v>
      </c>
      <c r="I36" s="135">
        <v>0</v>
      </c>
      <c r="J36" s="135">
        <v>0</v>
      </c>
      <c r="K36" s="135">
        <v>0</v>
      </c>
      <c r="L36" s="135">
        <v>0</v>
      </c>
      <c r="M36" s="135">
        <v>0</v>
      </c>
      <c r="N36" s="135">
        <v>0</v>
      </c>
      <c r="O36" s="135">
        <v>0</v>
      </c>
      <c r="P36" s="135">
        <f t="shared" si="2"/>
        <v>0</v>
      </c>
    </row>
    <row r="37" spans="2:16" x14ac:dyDescent="0.3">
      <c r="B37" s="40" t="s">
        <v>51</v>
      </c>
      <c r="C37" s="135">
        <v>0</v>
      </c>
      <c r="D37" s="135">
        <v>0</v>
      </c>
      <c r="E37" s="135">
        <v>0</v>
      </c>
      <c r="F37" s="135">
        <v>0</v>
      </c>
      <c r="G37" s="135">
        <v>0</v>
      </c>
      <c r="H37" s="135">
        <v>0</v>
      </c>
      <c r="I37" s="135">
        <v>0</v>
      </c>
      <c r="J37" s="135">
        <v>0</v>
      </c>
      <c r="K37" s="135">
        <v>0</v>
      </c>
      <c r="L37" s="135">
        <v>0</v>
      </c>
      <c r="M37" s="135">
        <v>0</v>
      </c>
      <c r="N37" s="135">
        <v>0</v>
      </c>
      <c r="O37" s="135">
        <v>0</v>
      </c>
      <c r="P37" s="135">
        <f t="shared" si="2"/>
        <v>0</v>
      </c>
    </row>
    <row r="38" spans="2:16" x14ac:dyDescent="0.3">
      <c r="B38" s="40" t="s">
        <v>52</v>
      </c>
      <c r="C38" s="159"/>
      <c r="D38" s="159"/>
      <c r="E38" s="160"/>
      <c r="F38" s="160"/>
      <c r="G38" s="160"/>
      <c r="H38" s="243"/>
      <c r="I38" s="243"/>
      <c r="J38" s="243"/>
      <c r="K38" s="243">
        <v>0</v>
      </c>
      <c r="L38" s="244"/>
      <c r="M38" s="160"/>
      <c r="N38" s="160"/>
      <c r="O38" s="159"/>
      <c r="P38" s="135">
        <f t="shared" si="2"/>
        <v>0</v>
      </c>
    </row>
    <row r="39" spans="2:16" x14ac:dyDescent="0.3">
      <c r="B39" s="132" t="s">
        <v>53</v>
      </c>
      <c r="C39" s="44">
        <f>+E8</f>
        <v>0</v>
      </c>
      <c r="D39" s="44">
        <f>+E9</f>
        <v>0</v>
      </c>
      <c r="E39" s="45">
        <f>+E10</f>
        <v>0</v>
      </c>
      <c r="F39" s="44">
        <f>+E11</f>
        <v>0</v>
      </c>
      <c r="G39" s="44">
        <f>+E13</f>
        <v>0</v>
      </c>
      <c r="H39" s="245">
        <f>+E12</f>
        <v>0</v>
      </c>
      <c r="I39" s="245">
        <f>+E15</f>
        <v>0</v>
      </c>
      <c r="J39" s="245">
        <f>+E14</f>
        <v>0</v>
      </c>
      <c r="K39" s="245">
        <f>+E16</f>
        <v>0</v>
      </c>
      <c r="L39" s="245">
        <f>+E20</f>
        <v>0</v>
      </c>
      <c r="M39" s="44">
        <f>+E17</f>
        <v>0</v>
      </c>
      <c r="N39" s="44">
        <f>+E18</f>
        <v>0</v>
      </c>
      <c r="O39" s="44">
        <f>+E19</f>
        <v>0</v>
      </c>
      <c r="P39" s="44">
        <f t="shared" si="2"/>
        <v>0</v>
      </c>
    </row>
    <row r="40" spans="2:16" ht="14.4" customHeight="1" thickBot="1" x14ac:dyDescent="0.35">
      <c r="D40" s="136"/>
      <c r="E40" s="137"/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</row>
    <row r="41" spans="2:16" ht="14.4" customHeight="1" thickTop="1" x14ac:dyDescent="0.3"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43"/>
    </row>
    <row r="42" spans="2:16" x14ac:dyDescent="0.3">
      <c r="B42" s="131"/>
      <c r="C42" s="131"/>
      <c r="D42" s="4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B1:AL34"/>
  <sheetViews>
    <sheetView showGridLines="0" zoomScale="70" zoomScaleNormal="70" workbookViewId="0">
      <selection activeCell="J20" sqref="J20"/>
    </sheetView>
  </sheetViews>
  <sheetFormatPr baseColWidth="10" defaultColWidth="11.44140625" defaultRowHeight="13.8" x14ac:dyDescent="0.3"/>
  <cols>
    <col min="1" max="1" width="11.44140625" style="39" customWidth="1"/>
    <col min="2" max="2" width="33.109375" style="39" customWidth="1"/>
    <col min="3" max="3" width="13.88671875" style="39" customWidth="1"/>
    <col min="4" max="4" width="13.44140625" style="39" customWidth="1"/>
    <col min="5" max="5" width="15.109375" style="39" customWidth="1"/>
    <col min="6" max="6" width="13.88671875" style="39" bestFit="1" customWidth="1"/>
    <col min="7" max="7" width="23.109375" style="39" bestFit="1" customWidth="1"/>
    <col min="8" max="8" width="13.33203125" style="39" bestFit="1" customWidth="1"/>
    <col min="9" max="9" width="5.109375" style="39" customWidth="1"/>
    <col min="10" max="10" width="18.5546875" style="39" bestFit="1" customWidth="1"/>
    <col min="11" max="11" width="12.77734375" style="39" customWidth="1"/>
    <col min="12" max="12" width="18" style="39" bestFit="1" customWidth="1"/>
    <col min="13" max="13" width="11.44140625" style="39" customWidth="1"/>
    <col min="14" max="14" width="25.5546875" style="39" customWidth="1"/>
    <col min="15" max="15" width="14.88671875" style="39" customWidth="1"/>
    <col min="16" max="16" width="13.5546875" style="39" bestFit="1" customWidth="1"/>
    <col min="17" max="17" width="14.77734375" style="39" bestFit="1" customWidth="1"/>
    <col min="18" max="18" width="13.77734375" style="39" bestFit="1" customWidth="1"/>
    <col min="19" max="19" width="12" style="39" bestFit="1" customWidth="1"/>
    <col min="20" max="20" width="12.77734375" style="39" bestFit="1" customWidth="1"/>
    <col min="21" max="21" width="12" style="39" bestFit="1" customWidth="1"/>
    <col min="22" max="22" width="15.109375" style="39" bestFit="1" customWidth="1"/>
    <col min="23" max="23" width="12.77734375" style="39" bestFit="1" customWidth="1"/>
    <col min="24" max="24" width="14.5546875" style="39" bestFit="1" customWidth="1"/>
    <col min="25" max="25" width="13.77734375" style="39" bestFit="1" customWidth="1"/>
    <col min="26" max="27" width="12" style="39" bestFit="1" customWidth="1"/>
    <col min="28" max="28" width="13.77734375" style="39" bestFit="1" customWidth="1"/>
    <col min="29" max="29" width="13.77734375" style="39" customWidth="1"/>
    <col min="30" max="30" width="14.77734375" style="39" bestFit="1" customWidth="1"/>
    <col min="31" max="31" width="12.44140625" style="39" bestFit="1" customWidth="1"/>
    <col min="32" max="32" width="12" style="39" bestFit="1" customWidth="1"/>
    <col min="33" max="38" width="11.44140625" style="39" customWidth="1"/>
    <col min="39" max="39" width="11.6640625" style="39" bestFit="1" customWidth="1"/>
    <col min="40" max="40" width="11.6640625" style="39" customWidth="1"/>
    <col min="41" max="43" width="11.44140625" style="39" customWidth="1"/>
    <col min="44" max="16384" width="11.44140625" style="39"/>
  </cols>
  <sheetData>
    <row r="1" spans="2:38" x14ac:dyDescent="0.3">
      <c r="B1" s="123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2:38" x14ac:dyDescent="0.3">
      <c r="B2" s="333" t="s">
        <v>368</v>
      </c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2:38" x14ac:dyDescent="0.3">
      <c r="B3" s="300" t="s">
        <v>102</v>
      </c>
      <c r="C3" s="102"/>
      <c r="E3" s="102"/>
    </row>
    <row r="4" spans="2:38" ht="29.4" customHeight="1" x14ac:dyDescent="0.3">
      <c r="B4" s="88"/>
      <c r="C4" s="120" t="s">
        <v>0</v>
      </c>
      <c r="E4" s="102"/>
    </row>
    <row r="5" spans="2:38" x14ac:dyDescent="0.3">
      <c r="B5" s="101"/>
      <c r="C5" s="98" t="s">
        <v>5</v>
      </c>
      <c r="E5" s="102"/>
    </row>
    <row r="6" spans="2:38" x14ac:dyDescent="0.3">
      <c r="B6" s="301" t="s">
        <v>47</v>
      </c>
      <c r="C6" s="103">
        <v>0</v>
      </c>
      <c r="E6" s="102"/>
    </row>
    <row r="7" spans="2:38" x14ac:dyDescent="0.3">
      <c r="B7" s="301" t="s">
        <v>48</v>
      </c>
      <c r="C7" s="231">
        <v>0</v>
      </c>
      <c r="E7" s="102"/>
    </row>
    <row r="8" spans="2:38" x14ac:dyDescent="0.3">
      <c r="B8" s="301" t="s">
        <v>49</v>
      </c>
      <c r="C8" s="231">
        <v>0</v>
      </c>
      <c r="E8" s="102"/>
    </row>
    <row r="9" spans="2:38" x14ac:dyDescent="0.3">
      <c r="B9" s="301" t="s">
        <v>103</v>
      </c>
      <c r="C9" s="231">
        <v>0</v>
      </c>
      <c r="E9" s="102"/>
    </row>
    <row r="10" spans="2:38" ht="14.4" customHeight="1" x14ac:dyDescent="0.3">
      <c r="B10" s="301" t="s">
        <v>52</v>
      </c>
      <c r="C10" s="248">
        <v>0</v>
      </c>
      <c r="E10" s="102"/>
    </row>
    <row r="11" spans="2:38" ht="14.4" customHeight="1" thickBot="1" x14ac:dyDescent="0.35">
      <c r="B11" s="302" t="s">
        <v>104</v>
      </c>
      <c r="C11" s="247">
        <f>SUM(C6:C10)</f>
        <v>0</v>
      </c>
      <c r="E11" s="102"/>
    </row>
    <row r="12" spans="2:38" ht="14.4" customHeight="1" thickTop="1" x14ac:dyDescent="0.3">
      <c r="B12" s="12"/>
      <c r="C12" s="104"/>
      <c r="E12" s="102"/>
    </row>
    <row r="13" spans="2:38" x14ac:dyDescent="0.3">
      <c r="E13" s="102"/>
    </row>
    <row r="15" spans="2:38" ht="14.4" customHeight="1" x14ac:dyDescent="0.3">
      <c r="B15" s="300" t="s">
        <v>105</v>
      </c>
    </row>
    <row r="16" spans="2:38" ht="14.4" customHeight="1" x14ac:dyDescent="0.3">
      <c r="B16" s="333" t="s">
        <v>369</v>
      </c>
    </row>
    <row r="17" spans="2:5" ht="14.4" customHeight="1" x14ac:dyDescent="0.3">
      <c r="C17" s="246" t="s">
        <v>0</v>
      </c>
    </row>
    <row r="18" spans="2:5" x14ac:dyDescent="0.3">
      <c r="B18" s="303" t="s">
        <v>106</v>
      </c>
      <c r="C18" s="224" t="s">
        <v>5</v>
      </c>
    </row>
    <row r="19" spans="2:5" ht="14.4" customHeight="1" x14ac:dyDescent="0.3"/>
    <row r="20" spans="2:5" x14ac:dyDescent="0.3">
      <c r="B20" s="303" t="s">
        <v>107</v>
      </c>
      <c r="C20" s="231">
        <v>0</v>
      </c>
    </row>
    <row r="21" spans="2:5" x14ac:dyDescent="0.3">
      <c r="B21" s="303" t="s">
        <v>108</v>
      </c>
      <c r="C21" s="231">
        <v>0</v>
      </c>
    </row>
    <row r="22" spans="2:5" ht="14.4" customHeight="1" x14ac:dyDescent="0.3">
      <c r="B22" s="303" t="s">
        <v>109</v>
      </c>
      <c r="C22" s="248">
        <v>0</v>
      </c>
    </row>
    <row r="23" spans="2:5" ht="14.4" customHeight="1" thickBot="1" x14ac:dyDescent="0.35">
      <c r="B23" s="303" t="s">
        <v>57</v>
      </c>
      <c r="C23" s="247">
        <f>SUM(C20:C22)</f>
        <v>0</v>
      </c>
    </row>
    <row r="24" spans="2:5" ht="14.4" customHeight="1" thickTop="1" x14ac:dyDescent="0.3"/>
    <row r="25" spans="2:5" x14ac:dyDescent="0.3">
      <c r="B25" s="300" t="s">
        <v>110</v>
      </c>
    </row>
    <row r="26" spans="2:5" ht="14.4" customHeight="1" x14ac:dyDescent="0.3">
      <c r="B26" s="333" t="s">
        <v>430</v>
      </c>
    </row>
    <row r="27" spans="2:5" ht="14.4" customHeight="1" x14ac:dyDescent="0.3">
      <c r="C27" s="303" t="s">
        <v>111</v>
      </c>
      <c r="D27" s="303" t="s">
        <v>112</v>
      </c>
      <c r="E27" s="303" t="s">
        <v>113</v>
      </c>
    </row>
    <row r="28" spans="2:5" x14ac:dyDescent="0.3">
      <c r="B28" s="303" t="s">
        <v>106</v>
      </c>
      <c r="C28" s="224" t="s">
        <v>5</v>
      </c>
      <c r="D28" s="224" t="s">
        <v>5</v>
      </c>
      <c r="E28" s="224" t="s">
        <v>5</v>
      </c>
    </row>
    <row r="29" spans="2:5" ht="14.4" customHeight="1" x14ac:dyDescent="0.3"/>
    <row r="30" spans="2:5" x14ac:dyDescent="0.3">
      <c r="B30" s="303" t="s">
        <v>107</v>
      </c>
      <c r="C30" s="231">
        <v>0</v>
      </c>
      <c r="D30" s="231">
        <v>0</v>
      </c>
      <c r="E30" s="231">
        <v>0</v>
      </c>
    </row>
    <row r="31" spans="2:5" x14ac:dyDescent="0.3">
      <c r="B31" s="303" t="s">
        <v>108</v>
      </c>
      <c r="C31" s="231">
        <v>0</v>
      </c>
      <c r="D31" s="231">
        <v>0</v>
      </c>
      <c r="E31" s="231">
        <v>0</v>
      </c>
    </row>
    <row r="32" spans="2:5" ht="14.4" customHeight="1" x14ac:dyDescent="0.3">
      <c r="B32" s="303" t="s">
        <v>114</v>
      </c>
      <c r="C32" s="248">
        <v>0</v>
      </c>
      <c r="D32" s="248">
        <v>0</v>
      </c>
      <c r="E32" s="248">
        <v>0</v>
      </c>
    </row>
    <row r="33" spans="2:5" ht="14.4" customHeight="1" thickBot="1" x14ac:dyDescent="0.35">
      <c r="B33" s="303" t="s">
        <v>57</v>
      </c>
      <c r="C33" s="247">
        <f>SUM(C30:C32)</f>
        <v>0</v>
      </c>
      <c r="D33" s="247">
        <f t="shared" ref="D33:E33" si="0">SUM(D30:D32)</f>
        <v>0</v>
      </c>
      <c r="E33" s="247">
        <f t="shared" si="0"/>
        <v>0</v>
      </c>
    </row>
    <row r="34" spans="2:5" ht="14.4" thickTop="1" x14ac:dyDescent="0.3"/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B2:M39"/>
  <sheetViews>
    <sheetView showGridLines="0" zoomScale="70" zoomScaleNormal="70" workbookViewId="0">
      <selection activeCell="E2" sqref="E2:G14"/>
    </sheetView>
  </sheetViews>
  <sheetFormatPr baseColWidth="10" defaultRowHeight="13.8" outlineLevelRow="1" x14ac:dyDescent="0.25"/>
  <cols>
    <col min="1" max="1" width="16.5546875" style="79" customWidth="1"/>
    <col min="2" max="2" width="40.5546875" style="79" bestFit="1" customWidth="1"/>
    <col min="3" max="3" width="18.5546875" style="79" customWidth="1"/>
    <col min="4" max="4" width="14" style="79" customWidth="1"/>
    <col min="5" max="5" width="12" style="79" customWidth="1"/>
    <col min="6" max="6" width="11.5546875" style="79" customWidth="1"/>
    <col min="7" max="7" width="13.44140625" style="79" customWidth="1"/>
    <col min="8" max="8" width="12.44140625" style="79" bestFit="1" customWidth="1"/>
    <col min="9" max="9" width="14.5546875" style="79" bestFit="1" customWidth="1"/>
    <col min="10" max="10" width="13" style="79" bestFit="1" customWidth="1"/>
    <col min="11" max="11" width="13.33203125" style="79" bestFit="1" customWidth="1"/>
    <col min="12" max="12" width="12" style="79" bestFit="1" customWidth="1"/>
    <col min="13" max="13" width="34.21875" style="79" bestFit="1" customWidth="1"/>
    <col min="14" max="15" width="11.5546875" style="79" customWidth="1"/>
    <col min="16" max="16384" width="11.5546875" style="79"/>
  </cols>
  <sheetData>
    <row r="2" spans="2:4" x14ac:dyDescent="0.25">
      <c r="B2" s="333" t="s">
        <v>370</v>
      </c>
    </row>
    <row r="3" spans="2:4" x14ac:dyDescent="0.25">
      <c r="C3" s="236" t="s">
        <v>115</v>
      </c>
      <c r="D3" s="236" t="s">
        <v>115</v>
      </c>
    </row>
    <row r="4" spans="2:4" x14ac:dyDescent="0.25">
      <c r="B4" s="292" t="s">
        <v>1</v>
      </c>
      <c r="C4" s="304" t="s">
        <v>116</v>
      </c>
      <c r="D4" s="304" t="s">
        <v>117</v>
      </c>
    </row>
    <row r="5" spans="2:4" x14ac:dyDescent="0.25">
      <c r="B5" s="22"/>
      <c r="C5" s="237" t="s">
        <v>5</v>
      </c>
      <c r="D5" s="237" t="s">
        <v>5</v>
      </c>
    </row>
    <row r="6" spans="2:4" ht="15" customHeight="1" x14ac:dyDescent="0.25">
      <c r="B6" s="293" t="s">
        <v>118</v>
      </c>
      <c r="C6" s="249"/>
      <c r="D6" s="249"/>
    </row>
    <row r="7" spans="2:4" ht="15" customHeight="1" x14ac:dyDescent="0.25">
      <c r="B7" s="293" t="s">
        <v>119</v>
      </c>
      <c r="C7" s="249"/>
      <c r="D7" s="249"/>
    </row>
    <row r="8" spans="2:4" ht="15" customHeight="1" x14ac:dyDescent="0.25">
      <c r="B8" s="293" t="s">
        <v>120</v>
      </c>
      <c r="C8" s="249"/>
      <c r="D8" s="249"/>
    </row>
    <row r="9" spans="2:4" ht="15" customHeight="1" x14ac:dyDescent="0.25">
      <c r="B9" s="293" t="s">
        <v>121</v>
      </c>
      <c r="C9" s="249"/>
      <c r="D9" s="249"/>
    </row>
    <row r="10" spans="2:4" ht="15" customHeight="1" x14ac:dyDescent="0.25">
      <c r="B10" s="293" t="s">
        <v>122</v>
      </c>
      <c r="C10" s="249"/>
      <c r="D10" s="249"/>
    </row>
    <row r="11" spans="2:4" ht="15" customHeight="1" x14ac:dyDescent="0.25">
      <c r="B11" s="293" t="s">
        <v>123</v>
      </c>
      <c r="C11" s="249"/>
      <c r="D11" s="249"/>
    </row>
    <row r="12" spans="2:4" ht="15" customHeight="1" thickBot="1" x14ac:dyDescent="0.3">
      <c r="B12" s="293" t="s">
        <v>124</v>
      </c>
      <c r="C12" s="249"/>
      <c r="D12" s="249"/>
    </row>
    <row r="13" spans="2:4" ht="14.4" customHeight="1" thickBot="1" x14ac:dyDescent="0.3">
      <c r="B13" s="293" t="s">
        <v>69</v>
      </c>
      <c r="C13" s="52">
        <f>SUM(C6:C12)</f>
        <v>0</v>
      </c>
      <c r="D13" s="52">
        <f>SUM(D6:D12)</f>
        <v>0</v>
      </c>
    </row>
    <row r="14" spans="2:4" ht="15" customHeight="1" x14ac:dyDescent="0.25"/>
    <row r="18" spans="2:11" x14ac:dyDescent="0.25">
      <c r="B18" s="334" t="s">
        <v>371</v>
      </c>
    </row>
    <row r="19" spans="2:11" outlineLevel="1" x14ac:dyDescent="0.25">
      <c r="B19" s="305" t="s">
        <v>125</v>
      </c>
      <c r="C19" s="238"/>
    </row>
    <row r="20" spans="2:11" ht="24" customHeight="1" outlineLevel="1" x14ac:dyDescent="0.25">
      <c r="B20" s="11" t="s">
        <v>126</v>
      </c>
      <c r="C20" s="306" t="s">
        <v>127</v>
      </c>
      <c r="D20" s="306" t="s">
        <v>128</v>
      </c>
      <c r="E20" s="307" t="s">
        <v>129</v>
      </c>
      <c r="F20" s="49" t="s">
        <v>130</v>
      </c>
      <c r="G20" s="49" t="s">
        <v>131</v>
      </c>
      <c r="H20" s="53" t="s">
        <v>132</v>
      </c>
    </row>
    <row r="21" spans="2:11" outlineLevel="1" x14ac:dyDescent="0.25">
      <c r="B21" s="51"/>
      <c r="C21" s="10" t="s">
        <v>5</v>
      </c>
      <c r="D21" s="10" t="s">
        <v>5</v>
      </c>
      <c r="E21" s="10" t="s">
        <v>5</v>
      </c>
      <c r="F21" s="10" t="s">
        <v>5</v>
      </c>
      <c r="G21" s="10" t="s">
        <v>5</v>
      </c>
      <c r="H21" s="10" t="s">
        <v>5</v>
      </c>
    </row>
    <row r="22" spans="2:11" ht="15" customHeight="1" outlineLevel="1" thickBot="1" x14ac:dyDescent="0.3">
      <c r="B22" s="51" t="s">
        <v>133</v>
      </c>
      <c r="C22" s="125"/>
      <c r="D22" s="125"/>
      <c r="E22" s="216">
        <f>SUM(C22:D22)</f>
        <v>0</v>
      </c>
      <c r="F22" s="250">
        <v>0</v>
      </c>
      <c r="G22" s="250">
        <v>0</v>
      </c>
      <c r="H22" s="251">
        <f>SUM(F22:G22)</f>
        <v>0</v>
      </c>
      <c r="I22" s="238"/>
    </row>
    <row r="23" spans="2:11" ht="15" customHeight="1" outlineLevel="1" thickBot="1" x14ac:dyDescent="0.3">
      <c r="B23" s="174" t="s">
        <v>69</v>
      </c>
      <c r="C23" s="252">
        <f t="shared" ref="C23:H23" si="0">+C22</f>
        <v>0</v>
      </c>
      <c r="D23" s="252">
        <f t="shared" si="0"/>
        <v>0</v>
      </c>
      <c r="E23" s="252">
        <f t="shared" si="0"/>
        <v>0</v>
      </c>
      <c r="F23" s="252">
        <f t="shared" si="0"/>
        <v>0</v>
      </c>
      <c r="G23" s="252">
        <f t="shared" si="0"/>
        <v>0</v>
      </c>
      <c r="H23" s="252">
        <f t="shared" si="0"/>
        <v>0</v>
      </c>
      <c r="I23" s="238"/>
    </row>
    <row r="24" spans="2:11" outlineLevel="1" x14ac:dyDescent="0.25">
      <c r="B24" s="1"/>
      <c r="C24" s="253"/>
      <c r="D24" s="254"/>
      <c r="E24" s="254"/>
      <c r="F24" s="254"/>
      <c r="G24" s="254"/>
      <c r="H24" s="254"/>
      <c r="I24" s="238"/>
    </row>
    <row r="25" spans="2:11" outlineLevel="1" x14ac:dyDescent="0.25">
      <c r="B25" s="1"/>
      <c r="C25" s="253"/>
      <c r="D25" s="254"/>
      <c r="E25" s="254"/>
      <c r="F25" s="254"/>
      <c r="G25" s="254"/>
      <c r="H25" s="254"/>
      <c r="I25" s="238"/>
    </row>
    <row r="26" spans="2:11" outlineLevel="1" x14ac:dyDescent="0.25">
      <c r="B26" s="1"/>
      <c r="C26" s="51"/>
      <c r="D26" s="13"/>
      <c r="E26" s="13"/>
      <c r="F26" s="13"/>
      <c r="G26" s="13"/>
      <c r="H26" s="13"/>
    </row>
    <row r="27" spans="2:11" outlineLevel="1" x14ac:dyDescent="0.25">
      <c r="B27" s="1"/>
      <c r="C27" s="51"/>
      <c r="D27" s="13"/>
      <c r="E27" s="13"/>
      <c r="F27" s="13"/>
      <c r="G27" s="13"/>
      <c r="H27" s="13"/>
    </row>
    <row r="28" spans="2:11" outlineLevel="1" x14ac:dyDescent="0.25">
      <c r="B28" s="1"/>
      <c r="C28" s="51"/>
      <c r="D28" s="13"/>
      <c r="E28" s="13"/>
      <c r="F28" s="13"/>
      <c r="G28" s="13"/>
      <c r="H28" s="13"/>
    </row>
    <row r="29" spans="2:11" x14ac:dyDescent="0.25">
      <c r="B29" s="334" t="s">
        <v>433</v>
      </c>
    </row>
    <row r="30" spans="2:11" outlineLevel="1" x14ac:dyDescent="0.25">
      <c r="B30" s="305" t="s">
        <v>134</v>
      </c>
      <c r="J30" s="57"/>
    </row>
    <row r="31" spans="2:11" outlineLevel="1" x14ac:dyDescent="0.25">
      <c r="B31" s="54"/>
      <c r="C31" s="239"/>
      <c r="D31" s="239"/>
      <c r="F31" s="239"/>
      <c r="G31" s="239"/>
      <c r="H31" s="239"/>
      <c r="I31" s="79" t="s">
        <v>135</v>
      </c>
      <c r="K31" s="239"/>
    </row>
    <row r="32" spans="2:11" ht="20.399999999999999" customHeight="1" outlineLevel="1" x14ac:dyDescent="0.25">
      <c r="B32" s="71" t="s">
        <v>136</v>
      </c>
      <c r="C32" s="308" t="s">
        <v>47</v>
      </c>
      <c r="D32" s="308" t="s">
        <v>137</v>
      </c>
      <c r="E32" s="308" t="s">
        <v>138</v>
      </c>
      <c r="F32" s="72" t="s">
        <v>139</v>
      </c>
      <c r="G32" s="71" t="s">
        <v>140</v>
      </c>
      <c r="H32" s="54" t="s">
        <v>141</v>
      </c>
      <c r="I32" s="72" t="s">
        <v>142</v>
      </c>
      <c r="J32" s="54" t="s">
        <v>143</v>
      </c>
      <c r="K32" s="54" t="s">
        <v>144</v>
      </c>
    </row>
    <row r="33" spans="2:13" outlineLevel="1" x14ac:dyDescent="0.25">
      <c r="C33" s="55" t="s">
        <v>5</v>
      </c>
      <c r="D33" s="55" t="s">
        <v>5</v>
      </c>
      <c r="E33" s="55" t="s">
        <v>5</v>
      </c>
      <c r="F33" s="55" t="s">
        <v>5</v>
      </c>
      <c r="G33" s="55" t="s">
        <v>5</v>
      </c>
      <c r="H33" s="55" t="s">
        <v>5</v>
      </c>
      <c r="I33" s="55" t="s">
        <v>5</v>
      </c>
      <c r="J33" s="55" t="s">
        <v>5</v>
      </c>
      <c r="K33" s="55" t="s">
        <v>5</v>
      </c>
    </row>
    <row r="34" spans="2:13" outlineLevel="1" x14ac:dyDescent="0.25"/>
    <row r="35" spans="2:13" ht="15" customHeight="1" outlineLevel="1" thickBot="1" x14ac:dyDescent="0.3">
      <c r="B35" s="51" t="s">
        <v>133</v>
      </c>
      <c r="C35" s="255">
        <v>0</v>
      </c>
      <c r="D35" s="256"/>
      <c r="E35" s="256"/>
      <c r="F35" s="256"/>
      <c r="G35" s="256"/>
      <c r="H35" s="256"/>
      <c r="I35" s="256"/>
      <c r="J35" s="256"/>
      <c r="K35" s="256">
        <f>SUM(C35:J35)</f>
        <v>0</v>
      </c>
      <c r="L35" s="144"/>
    </row>
    <row r="36" spans="2:13" ht="15" customHeight="1" outlineLevel="1" thickBot="1" x14ac:dyDescent="0.3">
      <c r="B36" s="63" t="s">
        <v>69</v>
      </c>
      <c r="C36" s="257">
        <f t="shared" ref="C36:K36" si="1">+C35</f>
        <v>0</v>
      </c>
      <c r="D36" s="257">
        <f t="shared" si="1"/>
        <v>0</v>
      </c>
      <c r="E36" s="257">
        <f t="shared" si="1"/>
        <v>0</v>
      </c>
      <c r="F36" s="257">
        <f t="shared" si="1"/>
        <v>0</v>
      </c>
      <c r="G36" s="257">
        <f t="shared" si="1"/>
        <v>0</v>
      </c>
      <c r="H36" s="257">
        <f t="shared" si="1"/>
        <v>0</v>
      </c>
      <c r="I36" s="257">
        <f t="shared" si="1"/>
        <v>0</v>
      </c>
      <c r="J36" s="257">
        <f t="shared" si="1"/>
        <v>0</v>
      </c>
      <c r="K36" s="257">
        <f t="shared" si="1"/>
        <v>0</v>
      </c>
      <c r="L36" s="238"/>
    </row>
    <row r="37" spans="2:13" outlineLevel="1" x14ac:dyDescent="0.25">
      <c r="C37" s="238"/>
      <c r="D37" s="238"/>
      <c r="E37" s="238"/>
      <c r="F37" s="238"/>
      <c r="G37" s="238"/>
      <c r="H37" s="238"/>
      <c r="I37" s="238"/>
      <c r="J37" s="238"/>
      <c r="K37" s="240"/>
      <c r="L37" s="238"/>
      <c r="M37" s="241"/>
    </row>
    <row r="38" spans="2:13" x14ac:dyDescent="0.25">
      <c r="C38" s="238"/>
      <c r="D38" s="238"/>
      <c r="E38" s="238"/>
      <c r="F38" s="238"/>
      <c r="G38" s="238"/>
      <c r="H38" s="238"/>
      <c r="I38" s="238"/>
      <c r="J38" s="238"/>
      <c r="K38" s="238"/>
      <c r="L38" s="238"/>
    </row>
    <row r="39" spans="2:13" x14ac:dyDescent="0.25">
      <c r="B39" s="54"/>
      <c r="C39" s="258"/>
      <c r="D39" s="258"/>
      <c r="E39" s="238"/>
      <c r="F39" s="258"/>
      <c r="G39" s="258"/>
      <c r="H39" s="258"/>
      <c r="I39" s="238"/>
      <c r="J39" s="238"/>
      <c r="K39" s="258"/>
      <c r="L39" s="23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B3:O125"/>
  <sheetViews>
    <sheetView showGridLines="0" topLeftCell="A101" zoomScale="90" zoomScaleNormal="90" workbookViewId="0">
      <selection activeCell="M87" sqref="M87:N106"/>
    </sheetView>
  </sheetViews>
  <sheetFormatPr baseColWidth="10" defaultRowHeight="14.4" x14ac:dyDescent="0.3"/>
  <cols>
    <col min="1" max="1" width="19.6640625" customWidth="1"/>
    <col min="2" max="2" width="24.77734375" customWidth="1"/>
    <col min="3" max="3" width="13" customWidth="1"/>
    <col min="4" max="4" width="16.88671875" customWidth="1"/>
    <col min="5" max="5" width="12" customWidth="1"/>
    <col min="6" max="7" width="13.33203125" customWidth="1"/>
    <col min="8" max="8" width="11.5546875" customWidth="1"/>
    <col min="9" max="9" width="13.33203125" bestFit="1" customWidth="1"/>
    <col min="10" max="10" width="13" customWidth="1"/>
    <col min="11" max="12" width="13.33203125" bestFit="1" customWidth="1"/>
  </cols>
  <sheetData>
    <row r="3" spans="2:10" x14ac:dyDescent="0.3">
      <c r="B3" s="310" t="s">
        <v>147</v>
      </c>
      <c r="C3" s="8"/>
      <c r="D3" s="8"/>
      <c r="E3" s="8"/>
    </row>
    <row r="4" spans="2:10" x14ac:dyDescent="0.3">
      <c r="B4" s="334" t="s">
        <v>372</v>
      </c>
      <c r="C4" s="8"/>
      <c r="D4" s="8"/>
      <c r="E4" s="8"/>
    </row>
    <row r="5" spans="2:10" ht="24" customHeight="1" x14ac:dyDescent="0.3">
      <c r="B5" s="11" t="s">
        <v>126</v>
      </c>
      <c r="C5" s="306" t="s">
        <v>127</v>
      </c>
      <c r="D5" s="306" t="s">
        <v>128</v>
      </c>
      <c r="E5" s="307" t="s">
        <v>129</v>
      </c>
      <c r="F5" s="49" t="s">
        <v>130</v>
      </c>
      <c r="G5" s="49" t="s">
        <v>131</v>
      </c>
      <c r="H5" s="53" t="s">
        <v>132</v>
      </c>
    </row>
    <row r="6" spans="2:10" x14ac:dyDescent="0.3">
      <c r="B6" s="51"/>
      <c r="C6" s="10" t="s">
        <v>5</v>
      </c>
      <c r="D6" s="10" t="s">
        <v>5</v>
      </c>
      <c r="E6" s="10" t="s">
        <v>5</v>
      </c>
      <c r="F6" s="10" t="s">
        <v>5</v>
      </c>
      <c r="G6" s="10" t="s">
        <v>5</v>
      </c>
      <c r="H6" s="10" t="s">
        <v>5</v>
      </c>
    </row>
    <row r="7" spans="2:10" x14ac:dyDescent="0.3">
      <c r="B7" s="174" t="s">
        <v>145</v>
      </c>
      <c r="C7" s="68"/>
      <c r="D7" s="68"/>
      <c r="E7" s="68">
        <f>SUM(C19:D19)</f>
        <v>0</v>
      </c>
      <c r="F7" s="68"/>
      <c r="G7" s="68"/>
      <c r="H7" s="68">
        <f>SUM(F19:G19)</f>
        <v>0</v>
      </c>
    </row>
    <row r="8" spans="2:10" x14ac:dyDescent="0.3">
      <c r="B8" s="174" t="s">
        <v>146</v>
      </c>
      <c r="C8" s="68"/>
      <c r="D8" s="68"/>
      <c r="E8" s="68">
        <f>SUM(C20:D20)</f>
        <v>0</v>
      </c>
      <c r="F8" s="68"/>
      <c r="G8" s="68"/>
      <c r="H8" s="68">
        <f>SUM(F20:G20)</f>
        <v>0</v>
      </c>
    </row>
    <row r="9" spans="2:10" ht="22.8" customHeight="1" x14ac:dyDescent="0.3">
      <c r="B9" s="174" t="s">
        <v>148</v>
      </c>
      <c r="C9" s="68"/>
      <c r="D9" s="68"/>
      <c r="E9" s="68">
        <f>SUM(C21:D21)</f>
        <v>0</v>
      </c>
      <c r="F9" s="68"/>
      <c r="G9" s="68"/>
      <c r="H9" s="68">
        <f>SUM(F21:G21)</f>
        <v>0</v>
      </c>
    </row>
    <row r="10" spans="2:10" ht="15" customHeight="1" x14ac:dyDescent="0.3">
      <c r="B10" s="174" t="s">
        <v>149</v>
      </c>
      <c r="C10" s="69"/>
      <c r="D10" s="69"/>
      <c r="E10" s="69">
        <f>SUM(C22:D22)</f>
        <v>0</v>
      </c>
      <c r="F10" s="69"/>
      <c r="G10" s="69"/>
      <c r="H10" s="69">
        <f>SUM(F22:G22)</f>
        <v>0</v>
      </c>
    </row>
    <row r="11" spans="2:10" ht="15" customHeight="1" thickBot="1" x14ac:dyDescent="0.35">
      <c r="B11" s="174" t="s">
        <v>69</v>
      </c>
      <c r="C11" s="70">
        <f t="shared" ref="C11:H11" si="0">SUM(C19:C22)</f>
        <v>0</v>
      </c>
      <c r="D11" s="70">
        <f t="shared" si="0"/>
        <v>0</v>
      </c>
      <c r="E11" s="70">
        <f t="shared" si="0"/>
        <v>0</v>
      </c>
      <c r="F11" s="70">
        <f t="shared" si="0"/>
        <v>0</v>
      </c>
      <c r="G11" s="70">
        <f t="shared" si="0"/>
        <v>0</v>
      </c>
      <c r="H11" s="70">
        <f t="shared" si="0"/>
        <v>0</v>
      </c>
    </row>
    <row r="16" spans="2:10" x14ac:dyDescent="0.3">
      <c r="B16" s="311" t="s">
        <v>360</v>
      </c>
      <c r="C16" s="5"/>
      <c r="D16" s="5"/>
      <c r="J16" s="57"/>
    </row>
    <row r="17" spans="2:15" ht="24" customHeight="1" x14ac:dyDescent="0.3">
      <c r="B17" s="334" t="s">
        <v>414</v>
      </c>
      <c r="C17" s="56"/>
      <c r="D17" s="56"/>
      <c r="F17" s="56"/>
      <c r="G17" s="56"/>
      <c r="H17" s="56"/>
      <c r="I17" s="25"/>
      <c r="J17" s="25"/>
      <c r="K17" s="56"/>
    </row>
    <row r="18" spans="2:15" ht="20.399999999999999" x14ac:dyDescent="0.3">
      <c r="B18" s="71" t="s">
        <v>136</v>
      </c>
      <c r="C18" s="308" t="s">
        <v>47</v>
      </c>
      <c r="D18" s="308" t="s">
        <v>150</v>
      </c>
      <c r="E18" s="308" t="s">
        <v>151</v>
      </c>
      <c r="F18" s="72" t="s">
        <v>139</v>
      </c>
      <c r="G18" s="71" t="s">
        <v>140</v>
      </c>
      <c r="H18" s="54" t="s">
        <v>141</v>
      </c>
      <c r="I18" s="72" t="s">
        <v>142</v>
      </c>
      <c r="J18" s="54" t="s">
        <v>143</v>
      </c>
      <c r="K18" s="54" t="s">
        <v>53</v>
      </c>
    </row>
    <row r="19" spans="2:15" x14ac:dyDescent="0.3">
      <c r="C19" s="55" t="s">
        <v>5</v>
      </c>
      <c r="D19" s="55" t="s">
        <v>5</v>
      </c>
      <c r="E19" s="55" t="s">
        <v>5</v>
      </c>
      <c r="F19" s="55" t="s">
        <v>5</v>
      </c>
      <c r="G19" s="55" t="s">
        <v>5</v>
      </c>
      <c r="H19" s="55" t="s">
        <v>5</v>
      </c>
      <c r="I19" s="55" t="s">
        <v>5</v>
      </c>
      <c r="J19" s="55" t="s">
        <v>5</v>
      </c>
      <c r="K19" s="55" t="s">
        <v>5</v>
      </c>
    </row>
    <row r="21" spans="2:15" ht="22.8" customHeight="1" x14ac:dyDescent="0.3">
      <c r="B21" s="63" t="s">
        <v>152</v>
      </c>
      <c r="C21" s="215">
        <v>0</v>
      </c>
      <c r="D21" s="215">
        <v>0</v>
      </c>
      <c r="E21" s="215">
        <v>0</v>
      </c>
      <c r="F21" s="215">
        <v>0</v>
      </c>
      <c r="G21" s="215">
        <v>0</v>
      </c>
      <c r="H21" s="215">
        <v>0</v>
      </c>
      <c r="I21" s="215">
        <v>0</v>
      </c>
      <c r="J21" s="215">
        <v>0</v>
      </c>
      <c r="K21" s="215">
        <f>SUM(C38:J38)</f>
        <v>0</v>
      </c>
    </row>
    <row r="22" spans="2:15" x14ac:dyDescent="0.3">
      <c r="B22" s="63" t="s">
        <v>146</v>
      </c>
      <c r="C22" s="215">
        <v>0</v>
      </c>
      <c r="D22" s="215">
        <v>0</v>
      </c>
      <c r="E22" s="215">
        <v>0</v>
      </c>
      <c r="F22" s="215">
        <v>0</v>
      </c>
      <c r="G22" s="215">
        <v>0</v>
      </c>
      <c r="H22" s="215">
        <v>0</v>
      </c>
      <c r="I22" s="215">
        <v>0</v>
      </c>
      <c r="J22" s="215">
        <v>0</v>
      </c>
      <c r="K22" s="215">
        <f>SUM(C39:J39)</f>
        <v>0</v>
      </c>
    </row>
    <row r="23" spans="2:15" ht="15" customHeight="1" thickBot="1" x14ac:dyDescent="0.35">
      <c r="B23" s="63" t="s">
        <v>148</v>
      </c>
      <c r="C23" s="215">
        <v>0</v>
      </c>
      <c r="D23" s="215">
        <v>0</v>
      </c>
      <c r="E23" s="215">
        <v>0</v>
      </c>
      <c r="F23" s="215">
        <v>0</v>
      </c>
      <c r="G23" s="215">
        <v>0</v>
      </c>
      <c r="H23" s="215">
        <v>0</v>
      </c>
      <c r="I23" s="215">
        <v>0</v>
      </c>
      <c r="J23" s="215">
        <v>0</v>
      </c>
      <c r="K23" s="215">
        <f>SUM(C40:J40)</f>
        <v>0</v>
      </c>
    </row>
    <row r="24" spans="2:15" x14ac:dyDescent="0.3">
      <c r="B24" s="63" t="s">
        <v>149</v>
      </c>
      <c r="C24" s="215">
        <v>0</v>
      </c>
      <c r="D24" s="215">
        <v>0</v>
      </c>
      <c r="E24" s="215">
        <v>0</v>
      </c>
      <c r="F24" s="215">
        <v>0</v>
      </c>
      <c r="G24" s="215">
        <v>0</v>
      </c>
      <c r="H24" s="215">
        <v>0</v>
      </c>
      <c r="I24" s="215">
        <v>0</v>
      </c>
      <c r="J24" s="215">
        <v>0</v>
      </c>
      <c r="K24" s="215">
        <f>SUM(C41:J41)</f>
        <v>0</v>
      </c>
    </row>
    <row r="25" spans="2:15" x14ac:dyDescent="0.3">
      <c r="B25" s="63" t="s">
        <v>153</v>
      </c>
      <c r="C25" s="87">
        <f t="shared" ref="C25:K25" si="1">SUM(C38:C41)</f>
        <v>0</v>
      </c>
      <c r="D25" s="87">
        <f t="shared" si="1"/>
        <v>0</v>
      </c>
      <c r="E25" s="87">
        <f t="shared" si="1"/>
        <v>0</v>
      </c>
      <c r="F25" s="87">
        <f t="shared" si="1"/>
        <v>0</v>
      </c>
      <c r="G25" s="87">
        <f t="shared" si="1"/>
        <v>0</v>
      </c>
      <c r="H25" s="87">
        <f t="shared" si="1"/>
        <v>0</v>
      </c>
      <c r="I25" s="87">
        <f t="shared" si="1"/>
        <v>0</v>
      </c>
      <c r="J25" s="87">
        <f t="shared" si="1"/>
        <v>0</v>
      </c>
      <c r="K25" s="87">
        <f t="shared" si="1"/>
        <v>0</v>
      </c>
    </row>
    <row r="26" spans="2:15" ht="24" customHeight="1" x14ac:dyDescent="0.3">
      <c r="B26" s="127"/>
      <c r="C26" s="128"/>
      <c r="I26" s="97"/>
      <c r="J26" s="97"/>
      <c r="K26" s="259"/>
      <c r="M26" s="97"/>
      <c r="N26" s="97"/>
      <c r="O26" s="97"/>
    </row>
    <row r="28" spans="2:15" ht="15" customHeight="1" x14ac:dyDescent="0.3">
      <c r="B28" s="309" t="s">
        <v>154</v>
      </c>
      <c r="C28" s="5"/>
    </row>
    <row r="29" spans="2:15" x14ac:dyDescent="0.3">
      <c r="B29" s="335" t="s">
        <v>373</v>
      </c>
    </row>
    <row r="30" spans="2:15" x14ac:dyDescent="0.3">
      <c r="B30" s="58"/>
      <c r="C30" s="67"/>
      <c r="D30" s="67"/>
      <c r="E30" s="67"/>
      <c r="F30" s="67"/>
      <c r="G30" s="284" t="s">
        <v>115</v>
      </c>
      <c r="H30" s="25"/>
    </row>
    <row r="31" spans="2:15" x14ac:dyDescent="0.3">
      <c r="B31" s="60" t="s">
        <v>155</v>
      </c>
      <c r="C31" s="312" t="s">
        <v>60</v>
      </c>
      <c r="D31" s="312" t="s">
        <v>156</v>
      </c>
      <c r="E31" s="312" t="s">
        <v>157</v>
      </c>
      <c r="F31" s="61" t="s">
        <v>158</v>
      </c>
      <c r="G31" s="61" t="s">
        <v>116</v>
      </c>
      <c r="H31" s="61" t="s">
        <v>159</v>
      </c>
      <c r="L31" s="62"/>
    </row>
    <row r="32" spans="2:15" ht="23.4" customHeight="1" x14ac:dyDescent="0.3">
      <c r="B32" s="59"/>
      <c r="C32" s="62"/>
      <c r="D32" s="62"/>
      <c r="E32" s="62"/>
      <c r="F32" s="62"/>
      <c r="G32" s="62" t="s">
        <v>5</v>
      </c>
      <c r="H32" s="62" t="s">
        <v>5</v>
      </c>
      <c r="L32" s="62"/>
    </row>
    <row r="33" spans="2:12" x14ac:dyDescent="0.3">
      <c r="B33" s="63" t="s">
        <v>160</v>
      </c>
      <c r="C33" s="313" t="s">
        <v>161</v>
      </c>
      <c r="D33" s="314" t="s">
        <v>162</v>
      </c>
      <c r="E33" s="124">
        <v>111943</v>
      </c>
      <c r="F33" s="124" t="s">
        <v>163</v>
      </c>
      <c r="G33" s="124"/>
      <c r="H33" s="124"/>
      <c r="L33" s="260"/>
    </row>
    <row r="34" spans="2:12" x14ac:dyDescent="0.3">
      <c r="B34" s="63" t="s">
        <v>160</v>
      </c>
      <c r="C34" s="313" t="s">
        <v>164</v>
      </c>
      <c r="D34" s="315">
        <v>48218</v>
      </c>
      <c r="E34" s="124">
        <v>125780</v>
      </c>
      <c r="F34" s="226">
        <v>8.4500000000000006E-2</v>
      </c>
      <c r="G34" s="124"/>
      <c r="H34" s="124"/>
      <c r="L34" s="260"/>
    </row>
    <row r="35" spans="2:12" ht="20.399999999999999" customHeight="1" thickBot="1" x14ac:dyDescent="0.35">
      <c r="B35" s="408" t="s">
        <v>160</v>
      </c>
      <c r="C35" s="313" t="s">
        <v>161</v>
      </c>
      <c r="D35" s="315">
        <v>45792</v>
      </c>
      <c r="E35" s="125">
        <v>111943</v>
      </c>
      <c r="F35" s="126">
        <v>8.4500000000000006E-2</v>
      </c>
      <c r="G35" s="125"/>
      <c r="H35" s="125"/>
      <c r="L35" s="260"/>
    </row>
    <row r="36" spans="2:12" x14ac:dyDescent="0.3">
      <c r="B36" s="406"/>
      <c r="C36" s="286"/>
      <c r="D36" s="286"/>
      <c r="E36" s="62"/>
      <c r="F36" s="62"/>
      <c r="G36" s="74">
        <f>SUM(G54:G56)</f>
        <v>0</v>
      </c>
      <c r="H36" s="74">
        <f>SUM(H54:H56)</f>
        <v>0</v>
      </c>
      <c r="L36" s="74"/>
    </row>
    <row r="37" spans="2:12" ht="15" thickBot="1" x14ac:dyDescent="0.35">
      <c r="B37" s="316" t="s">
        <v>165</v>
      </c>
      <c r="C37" s="48"/>
      <c r="D37" s="48"/>
      <c r="E37" s="65"/>
      <c r="F37" s="65"/>
      <c r="G37" s="217">
        <v>0</v>
      </c>
      <c r="H37" s="217">
        <v>0</v>
      </c>
      <c r="L37" s="261"/>
    </row>
    <row r="38" spans="2:12" ht="15" thickBot="1" x14ac:dyDescent="0.35">
      <c r="B38" s="285" t="s">
        <v>166</v>
      </c>
      <c r="C38" s="286"/>
      <c r="D38" s="286"/>
      <c r="F38" s="62"/>
      <c r="G38" s="75">
        <f>SUM(G57:G58)</f>
        <v>0</v>
      </c>
      <c r="H38" s="75">
        <f>SUM(H57:H58)</f>
        <v>0</v>
      </c>
      <c r="L38" s="74"/>
    </row>
    <row r="39" spans="2:12" x14ac:dyDescent="0.3">
      <c r="D39" s="112"/>
      <c r="E39" s="112"/>
      <c r="F39" s="112"/>
      <c r="G39" s="129"/>
      <c r="H39" s="129"/>
      <c r="L39" s="129"/>
    </row>
    <row r="40" spans="2:12" x14ac:dyDescent="0.3">
      <c r="D40" s="112"/>
      <c r="E40" s="112"/>
      <c r="F40" s="112"/>
      <c r="G40" s="129"/>
      <c r="H40" s="129"/>
      <c r="L40" s="129"/>
    </row>
    <row r="41" spans="2:12" ht="15" customHeight="1" x14ac:dyDescent="0.3">
      <c r="B41" s="317" t="s">
        <v>167</v>
      </c>
    </row>
    <row r="42" spans="2:12" ht="21" customHeight="1" x14ac:dyDescent="0.3">
      <c r="B42" s="335" t="s">
        <v>389</v>
      </c>
    </row>
    <row r="43" spans="2:12" x14ac:dyDescent="0.3">
      <c r="C43" s="105"/>
      <c r="D43" s="105"/>
      <c r="E43" s="105"/>
      <c r="F43" s="105"/>
      <c r="G43" s="105"/>
      <c r="H43" s="284" t="s">
        <v>0</v>
      </c>
      <c r="I43" s="25"/>
      <c r="J43" s="404"/>
    </row>
    <row r="44" spans="2:12" x14ac:dyDescent="0.3">
      <c r="B44" s="106" t="s">
        <v>155</v>
      </c>
      <c r="C44" s="318" t="s">
        <v>60</v>
      </c>
      <c r="D44" s="318" t="s">
        <v>156</v>
      </c>
      <c r="E44" s="319" t="s">
        <v>168</v>
      </c>
      <c r="F44" s="108" t="s">
        <v>158</v>
      </c>
      <c r="G44" s="109"/>
      <c r="H44" s="107" t="s">
        <v>116</v>
      </c>
      <c r="I44" s="108" t="s">
        <v>117</v>
      </c>
      <c r="J44" s="107"/>
      <c r="K44" s="108"/>
    </row>
    <row r="45" spans="2:12" x14ac:dyDescent="0.3">
      <c r="B45" s="106"/>
      <c r="C45" s="107"/>
      <c r="D45" s="107"/>
      <c r="E45" s="108"/>
      <c r="F45" s="108"/>
      <c r="G45" s="109"/>
      <c r="H45" s="108" t="s">
        <v>5</v>
      </c>
      <c r="I45" s="108" t="s">
        <v>5</v>
      </c>
      <c r="J45" s="108"/>
      <c r="K45" s="108"/>
    </row>
    <row r="46" spans="2:12" s="80" customFormat="1" ht="11.4" customHeight="1" x14ac:dyDescent="0.2">
      <c r="B46" s="106"/>
      <c r="C46" s="107"/>
      <c r="D46" s="107"/>
      <c r="E46" s="108"/>
      <c r="F46" s="108"/>
      <c r="G46" s="109"/>
      <c r="H46" s="108"/>
      <c r="I46" s="108"/>
      <c r="J46" s="108"/>
      <c r="K46" s="108"/>
    </row>
    <row r="47" spans="2:12" x14ac:dyDescent="0.3">
      <c r="B47" s="320" t="s">
        <v>169</v>
      </c>
      <c r="C47" s="320" t="s">
        <v>170</v>
      </c>
      <c r="D47" s="321">
        <v>45811</v>
      </c>
      <c r="E47" s="313" t="s">
        <v>171</v>
      </c>
      <c r="F47" s="223">
        <v>7.1999999999999995E-2</v>
      </c>
      <c r="G47" s="109"/>
      <c r="H47" s="218">
        <v>0</v>
      </c>
      <c r="I47" s="218">
        <v>0</v>
      </c>
      <c r="J47" s="218"/>
      <c r="K47" s="218"/>
    </row>
    <row r="48" spans="2:12" x14ac:dyDescent="0.3">
      <c r="B48" s="320" t="s">
        <v>172</v>
      </c>
      <c r="C48" s="320" t="s">
        <v>170</v>
      </c>
      <c r="D48" s="321">
        <v>46462</v>
      </c>
      <c r="E48" s="313" t="s">
        <v>171</v>
      </c>
      <c r="F48" s="6" t="s">
        <v>173</v>
      </c>
      <c r="G48" s="109"/>
      <c r="H48" s="218">
        <v>0</v>
      </c>
      <c r="I48" s="218">
        <v>0</v>
      </c>
      <c r="J48" s="218"/>
      <c r="K48" s="218"/>
    </row>
    <row r="49" spans="2:11" x14ac:dyDescent="0.3">
      <c r="B49" s="320" t="s">
        <v>174</v>
      </c>
      <c r="C49" s="320" t="s">
        <v>170</v>
      </c>
      <c r="D49" s="321">
        <v>46462</v>
      </c>
      <c r="E49" s="313" t="s">
        <v>171</v>
      </c>
      <c r="F49" s="6" t="s">
        <v>173</v>
      </c>
      <c r="G49" s="109"/>
      <c r="H49" s="218">
        <v>0</v>
      </c>
      <c r="I49" s="218">
        <v>0</v>
      </c>
      <c r="J49" s="218"/>
      <c r="K49" s="218"/>
    </row>
    <row r="50" spans="2:11" x14ac:dyDescent="0.3">
      <c r="B50" s="320" t="s">
        <v>174</v>
      </c>
      <c r="C50" s="320" t="s">
        <v>170</v>
      </c>
      <c r="D50" s="321">
        <v>46462</v>
      </c>
      <c r="E50" s="313" t="s">
        <v>171</v>
      </c>
      <c r="F50" s="6" t="s">
        <v>173</v>
      </c>
      <c r="G50" s="59"/>
      <c r="H50" s="218">
        <v>0</v>
      </c>
      <c r="I50" s="218">
        <v>0</v>
      </c>
      <c r="J50" s="218"/>
      <c r="K50" s="403"/>
    </row>
    <row r="51" spans="2:11" x14ac:dyDescent="0.3">
      <c r="B51" s="320" t="s">
        <v>174</v>
      </c>
      <c r="C51" s="320" t="s">
        <v>170</v>
      </c>
      <c r="D51" s="321">
        <v>46196</v>
      </c>
      <c r="E51" s="313" t="s">
        <v>171</v>
      </c>
      <c r="F51" s="6">
        <v>7.8E-2</v>
      </c>
      <c r="G51" s="203"/>
      <c r="H51" s="218">
        <v>0</v>
      </c>
      <c r="I51" s="403">
        <v>0</v>
      </c>
      <c r="K51" s="403"/>
    </row>
    <row r="52" spans="2:11" ht="20.399999999999999" customHeight="1" x14ac:dyDescent="0.3">
      <c r="B52" s="320" t="s">
        <v>175</v>
      </c>
      <c r="C52" s="320" t="s">
        <v>170</v>
      </c>
      <c r="D52" s="321">
        <v>46462</v>
      </c>
      <c r="E52" s="313" t="s">
        <v>171</v>
      </c>
      <c r="F52" s="6" t="s">
        <v>173</v>
      </c>
      <c r="G52" s="59"/>
      <c r="H52" s="218">
        <v>0</v>
      </c>
      <c r="I52" s="218">
        <v>0</v>
      </c>
      <c r="J52" s="218"/>
      <c r="K52" s="218"/>
    </row>
    <row r="53" spans="2:11" x14ac:dyDescent="0.3">
      <c r="B53" s="320" t="s">
        <v>175</v>
      </c>
      <c r="C53" s="320" t="s">
        <v>170</v>
      </c>
      <c r="D53" s="321">
        <v>46371</v>
      </c>
      <c r="E53" s="313" t="s">
        <v>171</v>
      </c>
      <c r="F53" s="6">
        <v>0.09</v>
      </c>
      <c r="G53" s="59"/>
      <c r="H53" s="218">
        <v>0</v>
      </c>
      <c r="I53" s="218">
        <v>0</v>
      </c>
      <c r="J53" s="218"/>
      <c r="K53" s="218"/>
    </row>
    <row r="54" spans="2:11" x14ac:dyDescent="0.3">
      <c r="B54" s="320" t="s">
        <v>175</v>
      </c>
      <c r="C54" s="320" t="s">
        <v>170</v>
      </c>
      <c r="D54" s="321">
        <v>46255</v>
      </c>
      <c r="E54" s="313" t="s">
        <v>171</v>
      </c>
      <c r="F54" s="6">
        <v>8.1799999999999998E-2</v>
      </c>
      <c r="G54" s="59"/>
      <c r="H54" s="218">
        <v>0</v>
      </c>
      <c r="I54" s="218">
        <v>0</v>
      </c>
      <c r="J54" s="218"/>
      <c r="K54" s="218"/>
    </row>
    <row r="55" spans="2:11" x14ac:dyDescent="0.3">
      <c r="B55" s="320" t="s">
        <v>176</v>
      </c>
      <c r="C55" s="320" t="s">
        <v>170</v>
      </c>
      <c r="D55" s="321">
        <v>46462</v>
      </c>
      <c r="E55" s="313" t="s">
        <v>171</v>
      </c>
      <c r="F55" s="6" t="s">
        <v>173</v>
      </c>
      <c r="G55" s="59"/>
      <c r="H55" s="218">
        <v>0</v>
      </c>
      <c r="I55" s="218">
        <v>0</v>
      </c>
      <c r="J55" s="218"/>
      <c r="K55" s="218"/>
    </row>
    <row r="56" spans="2:11" ht="15" customHeight="1" x14ac:dyDescent="0.3">
      <c r="B56" s="320" t="s">
        <v>176</v>
      </c>
      <c r="C56" s="320" t="s">
        <v>170</v>
      </c>
      <c r="D56" s="321">
        <v>46462</v>
      </c>
      <c r="E56" s="313" t="s">
        <v>171</v>
      </c>
      <c r="F56" s="6" t="s">
        <v>173</v>
      </c>
      <c r="G56" s="59"/>
      <c r="H56" s="218">
        <v>0</v>
      </c>
      <c r="I56" s="218">
        <v>0</v>
      </c>
      <c r="J56" s="218"/>
      <c r="K56" s="218"/>
    </row>
    <row r="57" spans="2:11" x14ac:dyDescent="0.3">
      <c r="B57" s="409" t="s">
        <v>177</v>
      </c>
      <c r="C57" s="406"/>
      <c r="D57" s="406"/>
      <c r="E57" s="313" t="s">
        <v>171</v>
      </c>
      <c r="F57" s="6" t="s">
        <v>178</v>
      </c>
      <c r="G57" s="59"/>
      <c r="H57" s="218">
        <v>0</v>
      </c>
      <c r="I57" s="218">
        <v>0</v>
      </c>
      <c r="J57" s="218"/>
      <c r="K57" s="218"/>
    </row>
    <row r="58" spans="2:11" ht="15" customHeight="1" x14ac:dyDescent="0.3">
      <c r="B58" s="409" t="s">
        <v>179</v>
      </c>
      <c r="C58" s="406"/>
      <c r="D58" s="406"/>
      <c r="E58" s="313" t="s">
        <v>171</v>
      </c>
      <c r="F58" s="6" t="s">
        <v>178</v>
      </c>
      <c r="G58" s="59"/>
      <c r="H58" s="218">
        <v>0</v>
      </c>
      <c r="I58" s="218">
        <v>0</v>
      </c>
      <c r="J58" s="218"/>
      <c r="K58" s="218"/>
    </row>
    <row r="59" spans="2:11" ht="15" customHeight="1" x14ac:dyDescent="0.3">
      <c r="B59" s="409" t="s">
        <v>179</v>
      </c>
      <c r="C59" s="406"/>
      <c r="D59" s="406"/>
      <c r="E59" s="313" t="s">
        <v>171</v>
      </c>
      <c r="F59" s="6" t="s">
        <v>178</v>
      </c>
      <c r="G59" s="59"/>
      <c r="H59" s="218">
        <v>0</v>
      </c>
      <c r="I59" s="218">
        <v>0</v>
      </c>
      <c r="J59" s="218"/>
      <c r="K59" s="218"/>
    </row>
    <row r="60" spans="2:11" x14ac:dyDescent="0.3">
      <c r="B60" s="320" t="s">
        <v>180</v>
      </c>
      <c r="C60" s="320" t="s">
        <v>181</v>
      </c>
      <c r="D60" s="321">
        <v>46462</v>
      </c>
      <c r="E60" s="313" t="s">
        <v>171</v>
      </c>
      <c r="F60" s="6" t="s">
        <v>178</v>
      </c>
      <c r="G60" s="59"/>
      <c r="H60" s="218">
        <v>0</v>
      </c>
      <c r="I60" s="218">
        <v>0</v>
      </c>
      <c r="J60" s="218"/>
      <c r="K60" s="218"/>
    </row>
    <row r="61" spans="2:11" x14ac:dyDescent="0.3">
      <c r="B61" s="320" t="s">
        <v>182</v>
      </c>
      <c r="C61" s="320" t="s">
        <v>181</v>
      </c>
      <c r="D61" s="321">
        <v>46462</v>
      </c>
      <c r="E61" s="313" t="s">
        <v>171</v>
      </c>
      <c r="F61" s="6" t="s">
        <v>178</v>
      </c>
      <c r="G61" s="59"/>
      <c r="H61" s="218">
        <v>0</v>
      </c>
      <c r="I61" s="218">
        <v>0</v>
      </c>
      <c r="J61" s="218"/>
      <c r="K61" s="218"/>
    </row>
    <row r="62" spans="2:11" x14ac:dyDescent="0.3">
      <c r="B62" s="320" t="s">
        <v>182</v>
      </c>
      <c r="C62" s="320" t="s">
        <v>181</v>
      </c>
      <c r="D62" s="321">
        <v>46462</v>
      </c>
      <c r="E62" s="313" t="s">
        <v>171</v>
      </c>
      <c r="F62" s="6" t="s">
        <v>178</v>
      </c>
      <c r="G62" s="59"/>
      <c r="H62" s="218">
        <v>0</v>
      </c>
      <c r="I62" s="218">
        <v>0</v>
      </c>
      <c r="J62" s="218"/>
      <c r="K62" s="218"/>
    </row>
    <row r="63" spans="2:11" x14ac:dyDescent="0.3">
      <c r="B63" s="320" t="s">
        <v>183</v>
      </c>
      <c r="C63" s="320" t="s">
        <v>181</v>
      </c>
      <c r="D63" s="321">
        <v>46462</v>
      </c>
      <c r="E63" s="313" t="s">
        <v>171</v>
      </c>
      <c r="F63" s="6" t="s">
        <v>178</v>
      </c>
      <c r="G63" s="59"/>
      <c r="H63" s="218">
        <v>0</v>
      </c>
      <c r="I63" s="218">
        <v>0</v>
      </c>
      <c r="J63" s="218"/>
      <c r="K63" s="218"/>
    </row>
    <row r="64" spans="2:11" x14ac:dyDescent="0.3">
      <c r="B64" s="320" t="s">
        <v>183</v>
      </c>
      <c r="C64" s="320" t="s">
        <v>181</v>
      </c>
      <c r="D64" s="321">
        <v>46462</v>
      </c>
      <c r="E64" s="313" t="s">
        <v>171</v>
      </c>
      <c r="F64" s="6" t="s">
        <v>178</v>
      </c>
      <c r="G64" s="59"/>
      <c r="H64" s="407">
        <v>0</v>
      </c>
      <c r="I64" s="406"/>
      <c r="J64" s="407"/>
      <c r="K64" s="406"/>
    </row>
    <row r="65" spans="2:11" ht="34.200000000000003" customHeight="1" x14ac:dyDescent="0.3">
      <c r="B65" s="320" t="s">
        <v>184</v>
      </c>
      <c r="C65" s="320" t="s">
        <v>181</v>
      </c>
      <c r="D65" s="321">
        <v>46462</v>
      </c>
      <c r="E65" s="313" t="s">
        <v>171</v>
      </c>
      <c r="F65" s="6" t="s">
        <v>178</v>
      </c>
      <c r="G65" s="59"/>
      <c r="H65" s="218">
        <v>0</v>
      </c>
      <c r="I65" s="218">
        <v>0</v>
      </c>
      <c r="J65" s="218"/>
      <c r="K65" s="218"/>
    </row>
    <row r="66" spans="2:11" x14ac:dyDescent="0.3">
      <c r="B66" s="320" t="s">
        <v>185</v>
      </c>
      <c r="C66" s="320" t="s">
        <v>170</v>
      </c>
      <c r="D66" s="321">
        <v>46462</v>
      </c>
      <c r="E66" s="313" t="s">
        <v>171</v>
      </c>
      <c r="F66" s="6" t="s">
        <v>173</v>
      </c>
      <c r="G66" s="59"/>
      <c r="H66" s="218">
        <v>0</v>
      </c>
      <c r="I66" s="218">
        <v>0</v>
      </c>
      <c r="J66" s="218"/>
      <c r="K66" s="218"/>
    </row>
    <row r="67" spans="2:11" x14ac:dyDescent="0.3">
      <c r="B67" s="320" t="s">
        <v>185</v>
      </c>
      <c r="C67" s="320" t="s">
        <v>170</v>
      </c>
      <c r="D67" s="321">
        <v>46462</v>
      </c>
      <c r="E67" s="313" t="s">
        <v>171</v>
      </c>
      <c r="F67" s="6" t="s">
        <v>173</v>
      </c>
      <c r="G67" s="59"/>
      <c r="H67" s="218">
        <v>0</v>
      </c>
      <c r="I67" s="218">
        <v>0</v>
      </c>
      <c r="J67" s="218"/>
      <c r="K67" s="218"/>
    </row>
    <row r="68" spans="2:11" x14ac:dyDescent="0.3">
      <c r="B68" s="320" t="s">
        <v>186</v>
      </c>
      <c r="C68" s="320" t="s">
        <v>170</v>
      </c>
      <c r="D68" s="220"/>
      <c r="E68" s="61"/>
      <c r="F68" s="221"/>
      <c r="G68" s="67"/>
      <c r="H68" s="222">
        <v>0</v>
      </c>
      <c r="I68" s="222">
        <v>0</v>
      </c>
      <c r="J68" s="218"/>
      <c r="K68" s="218"/>
    </row>
    <row r="69" spans="2:11" x14ac:dyDescent="0.3">
      <c r="B69" s="319" t="s">
        <v>187</v>
      </c>
      <c r="C69" s="108"/>
      <c r="D69" s="111"/>
      <c r="E69" s="108"/>
      <c r="F69" s="111"/>
      <c r="G69" s="110"/>
      <c r="H69" s="218" t="str">
        <f ca="1">SUM(H68:H99)</f>
        <v/>
      </c>
      <c r="I69" s="218" t="str">
        <f ca="1">SUM(I68:I99)</f>
        <v/>
      </c>
      <c r="J69" s="218"/>
      <c r="K69" s="218"/>
    </row>
    <row r="70" spans="2:11" ht="15" thickBot="1" x14ac:dyDescent="0.35">
      <c r="B70" s="319" t="s">
        <v>188</v>
      </c>
      <c r="C70" s="108"/>
      <c r="D70" s="111"/>
      <c r="E70" s="108"/>
      <c r="F70" s="111"/>
      <c r="G70" s="110"/>
      <c r="H70" s="227"/>
      <c r="I70" s="219"/>
      <c r="J70" s="218"/>
      <c r="K70" s="218"/>
    </row>
    <row r="71" spans="2:11" ht="15" thickBot="1" x14ac:dyDescent="0.35">
      <c r="B71" s="319" t="s">
        <v>189</v>
      </c>
      <c r="C71" s="108"/>
      <c r="D71" s="111"/>
      <c r="E71" s="108"/>
      <c r="F71" s="111"/>
      <c r="G71" s="110"/>
      <c r="H71" s="262">
        <f>SUM(H100:H101)</f>
        <v>0</v>
      </c>
      <c r="I71" s="262">
        <f>SUM(I100:I101)</f>
        <v>0</v>
      </c>
      <c r="J71" s="218"/>
      <c r="K71" s="218"/>
    </row>
    <row r="72" spans="2:11" x14ac:dyDescent="0.3">
      <c r="B72" s="79"/>
      <c r="C72" s="79"/>
      <c r="D72" s="79"/>
      <c r="E72" s="79"/>
      <c r="F72" s="79"/>
      <c r="G72" s="79"/>
      <c r="H72" s="79"/>
      <c r="I72" s="79"/>
      <c r="J72" s="79"/>
      <c r="K72" s="79"/>
    </row>
    <row r="75" spans="2:11" x14ac:dyDescent="0.3">
      <c r="B75" t="s">
        <v>388</v>
      </c>
    </row>
    <row r="76" spans="2:11" x14ac:dyDescent="0.3">
      <c r="B76" s="335" t="s">
        <v>390</v>
      </c>
    </row>
    <row r="77" spans="2:11" ht="19.8" thickBot="1" x14ac:dyDescent="0.35">
      <c r="B77" s="336" t="s">
        <v>374</v>
      </c>
      <c r="C77" s="336" t="s">
        <v>375</v>
      </c>
      <c r="D77" s="337" t="s">
        <v>376</v>
      </c>
      <c r="E77" s="336" t="s">
        <v>377</v>
      </c>
      <c r="F77" s="336" t="s">
        <v>378</v>
      </c>
      <c r="G77" s="336" t="s">
        <v>379</v>
      </c>
      <c r="H77" s="336" t="s">
        <v>380</v>
      </c>
      <c r="I77" s="336" t="s">
        <v>381</v>
      </c>
      <c r="J77" s="336" t="s">
        <v>116</v>
      </c>
      <c r="K77" s="336" t="s">
        <v>117</v>
      </c>
    </row>
    <row r="79" spans="2:11" x14ac:dyDescent="0.3">
      <c r="B79" s="338" t="s">
        <v>391</v>
      </c>
      <c r="C79" s="339" t="s">
        <v>392</v>
      </c>
      <c r="D79" s="338" t="s">
        <v>359</v>
      </c>
      <c r="E79" s="339" t="s">
        <v>382</v>
      </c>
      <c r="F79" s="349">
        <v>46132</v>
      </c>
      <c r="G79" s="350">
        <v>47958</v>
      </c>
      <c r="H79" s="338" t="s">
        <v>393</v>
      </c>
      <c r="I79" s="340" t="s">
        <v>383</v>
      </c>
      <c r="J79" s="341" t="s">
        <v>246</v>
      </c>
      <c r="K79" s="342">
        <v>0</v>
      </c>
    </row>
    <row r="80" spans="2:11" ht="15" thickBot="1" x14ac:dyDescent="0.35">
      <c r="B80" s="343"/>
      <c r="C80" s="343"/>
      <c r="D80" s="343"/>
      <c r="E80" s="343"/>
      <c r="F80" s="343"/>
      <c r="G80" s="343"/>
      <c r="H80" s="343"/>
      <c r="I80" s="343"/>
      <c r="J80" s="343"/>
      <c r="K80" s="344"/>
    </row>
    <row r="81" spans="2:12" x14ac:dyDescent="0.3">
      <c r="D81" s="345"/>
      <c r="E81" s="345"/>
      <c r="F81" s="346"/>
      <c r="G81" s="345" t="s">
        <v>384</v>
      </c>
      <c r="J81" s="347">
        <f>SUM(J79:J80)</f>
        <v>0</v>
      </c>
      <c r="K81" s="347">
        <f>SUM(K79:K80)</f>
        <v>0</v>
      </c>
    </row>
    <row r="82" spans="2:12" ht="15" thickBot="1" x14ac:dyDescent="0.35">
      <c r="D82" s="346"/>
      <c r="E82" s="346"/>
      <c r="F82" s="346"/>
      <c r="G82" s="346" t="s">
        <v>385</v>
      </c>
      <c r="J82" s="348">
        <v>0</v>
      </c>
      <c r="K82" s="348" t="s">
        <v>386</v>
      </c>
    </row>
    <row r="83" spans="2:12" ht="15" thickBot="1" x14ac:dyDescent="0.35">
      <c r="D83" s="345"/>
      <c r="E83" s="345"/>
      <c r="F83" s="346"/>
      <c r="G83" s="345" t="s">
        <v>387</v>
      </c>
      <c r="J83" s="348">
        <v>0</v>
      </c>
      <c r="K83" s="348">
        <v>0</v>
      </c>
    </row>
    <row r="86" spans="2:12" x14ac:dyDescent="0.3">
      <c r="B86" s="289" t="s">
        <v>190</v>
      </c>
    </row>
    <row r="87" spans="2:12" x14ac:dyDescent="0.3">
      <c r="B87" s="335" t="s">
        <v>415</v>
      </c>
    </row>
    <row r="88" spans="2:12" x14ac:dyDescent="0.3">
      <c r="K88" s="287">
        <v>2026</v>
      </c>
    </row>
    <row r="89" spans="2:12" x14ac:dyDescent="0.3">
      <c r="I89" s="64"/>
      <c r="J89" s="64"/>
      <c r="K89" s="64"/>
      <c r="L89" s="81"/>
    </row>
    <row r="90" spans="2:12" x14ac:dyDescent="0.3">
      <c r="B90" s="174" t="s">
        <v>191</v>
      </c>
      <c r="C90" s="174" t="s">
        <v>192</v>
      </c>
      <c r="D90" s="174" t="s">
        <v>193</v>
      </c>
      <c r="E90" s="174" t="s">
        <v>194</v>
      </c>
      <c r="F90" s="209" t="s">
        <v>195</v>
      </c>
      <c r="G90" s="209" t="s">
        <v>196</v>
      </c>
      <c r="H90" s="209" t="s">
        <v>197</v>
      </c>
      <c r="I90" s="209" t="s">
        <v>198</v>
      </c>
      <c r="J90" s="209" t="s">
        <v>199</v>
      </c>
      <c r="K90" s="212" t="s">
        <v>200</v>
      </c>
      <c r="L90" s="212" t="s">
        <v>201</v>
      </c>
    </row>
    <row r="91" spans="2:12" ht="15" thickBot="1" x14ac:dyDescent="0.35">
      <c r="B91" s="210"/>
      <c r="C91" s="210"/>
      <c r="D91" s="210"/>
      <c r="E91" s="210"/>
      <c r="F91" s="210"/>
      <c r="G91" s="210"/>
      <c r="H91" s="210"/>
      <c r="I91" s="210"/>
      <c r="J91" s="210"/>
      <c r="K91" s="210"/>
      <c r="L91" s="210"/>
    </row>
    <row r="92" spans="2:12" x14ac:dyDescent="0.3">
      <c r="B92" s="174" t="s">
        <v>202</v>
      </c>
      <c r="C92" s="174" t="s">
        <v>203</v>
      </c>
      <c r="D92" s="211">
        <v>7500000</v>
      </c>
      <c r="E92" s="209" t="s">
        <v>204</v>
      </c>
      <c r="F92" s="209" t="s">
        <v>205</v>
      </c>
      <c r="G92" s="209" t="s">
        <v>206</v>
      </c>
      <c r="H92" s="209" t="s">
        <v>207</v>
      </c>
      <c r="I92" s="209" t="s">
        <v>208</v>
      </c>
      <c r="J92" s="209" t="s">
        <v>209</v>
      </c>
      <c r="K92" s="228">
        <v>0</v>
      </c>
      <c r="L92" s="228">
        <v>0</v>
      </c>
    </row>
    <row r="93" spans="2:12" x14ac:dyDescent="0.3">
      <c r="B93" s="174" t="s">
        <v>202</v>
      </c>
      <c r="C93" s="174" t="s">
        <v>203</v>
      </c>
      <c r="D93" s="211">
        <v>15863310</v>
      </c>
      <c r="E93" s="209" t="s">
        <v>204</v>
      </c>
      <c r="F93" s="209" t="s">
        <v>205</v>
      </c>
      <c r="G93" s="209" t="s">
        <v>206</v>
      </c>
      <c r="H93" s="209" t="s">
        <v>207</v>
      </c>
      <c r="I93" s="209" t="s">
        <v>208</v>
      </c>
      <c r="J93" s="209" t="s">
        <v>209</v>
      </c>
      <c r="K93" s="228">
        <v>0</v>
      </c>
      <c r="L93" s="228">
        <v>0</v>
      </c>
    </row>
    <row r="94" spans="2:12" x14ac:dyDescent="0.3">
      <c r="B94" s="174" t="s">
        <v>202</v>
      </c>
      <c r="C94" s="174" t="s">
        <v>203</v>
      </c>
      <c r="D94" s="211">
        <v>5200000</v>
      </c>
      <c r="E94" s="209" t="s">
        <v>204</v>
      </c>
      <c r="F94" s="209" t="s">
        <v>205</v>
      </c>
      <c r="G94" s="209" t="s">
        <v>206</v>
      </c>
      <c r="H94" s="209" t="s">
        <v>207</v>
      </c>
      <c r="I94" s="209" t="s">
        <v>208</v>
      </c>
      <c r="J94" s="209" t="s">
        <v>209</v>
      </c>
      <c r="K94" s="228">
        <v>0</v>
      </c>
      <c r="L94" s="228">
        <v>0</v>
      </c>
    </row>
    <row r="95" spans="2:12" x14ac:dyDescent="0.3">
      <c r="B95" s="174" t="s">
        <v>202</v>
      </c>
      <c r="C95" s="174" t="s">
        <v>203</v>
      </c>
      <c r="D95" s="211">
        <v>11438690</v>
      </c>
      <c r="E95" s="209" t="s">
        <v>204</v>
      </c>
      <c r="F95" s="209" t="s">
        <v>205</v>
      </c>
      <c r="G95" s="209" t="s">
        <v>206</v>
      </c>
      <c r="H95" s="209" t="s">
        <v>207</v>
      </c>
      <c r="I95" s="209" t="s">
        <v>208</v>
      </c>
      <c r="J95" s="209" t="s">
        <v>209</v>
      </c>
      <c r="K95" s="228">
        <v>0</v>
      </c>
      <c r="L95" s="228">
        <v>0</v>
      </c>
    </row>
    <row r="96" spans="2:12" x14ac:dyDescent="0.3">
      <c r="B96" s="174" t="s">
        <v>202</v>
      </c>
      <c r="C96" s="174" t="s">
        <v>203</v>
      </c>
      <c r="D96" s="211">
        <v>15000000</v>
      </c>
      <c r="E96" s="209" t="s">
        <v>204</v>
      </c>
      <c r="F96" s="209" t="s">
        <v>205</v>
      </c>
      <c r="G96" s="209" t="s">
        <v>206</v>
      </c>
      <c r="H96" s="209" t="s">
        <v>207</v>
      </c>
      <c r="I96" s="209" t="s">
        <v>208</v>
      </c>
      <c r="J96" s="209" t="s">
        <v>209</v>
      </c>
      <c r="K96" s="228">
        <v>0</v>
      </c>
      <c r="L96" s="228">
        <v>0</v>
      </c>
    </row>
    <row r="97" spans="2:14" x14ac:dyDescent="0.3">
      <c r="B97" s="174" t="s">
        <v>202</v>
      </c>
      <c r="C97" s="174" t="s">
        <v>203</v>
      </c>
      <c r="D97" s="211">
        <v>10000000</v>
      </c>
      <c r="E97" s="209" t="s">
        <v>204</v>
      </c>
      <c r="F97" s="209" t="s">
        <v>205</v>
      </c>
      <c r="G97" s="209" t="s">
        <v>206</v>
      </c>
      <c r="H97" s="209" t="s">
        <v>207</v>
      </c>
      <c r="I97" s="209" t="s">
        <v>208</v>
      </c>
      <c r="J97" s="209" t="s">
        <v>209</v>
      </c>
      <c r="K97" s="228">
        <v>0</v>
      </c>
      <c r="L97" s="228">
        <v>0</v>
      </c>
    </row>
    <row r="98" spans="2:14" x14ac:dyDescent="0.3">
      <c r="B98" s="174" t="s">
        <v>202</v>
      </c>
      <c r="C98" s="174" t="s">
        <v>203</v>
      </c>
      <c r="D98" s="211">
        <v>29625000</v>
      </c>
      <c r="E98" s="209" t="s">
        <v>204</v>
      </c>
      <c r="F98" s="209" t="s">
        <v>205</v>
      </c>
      <c r="G98" s="209" t="s">
        <v>206</v>
      </c>
      <c r="H98" s="209" t="s">
        <v>207</v>
      </c>
      <c r="I98" s="209" t="s">
        <v>208</v>
      </c>
      <c r="J98" s="209" t="s">
        <v>209</v>
      </c>
      <c r="K98" s="228">
        <v>0</v>
      </c>
      <c r="L98" s="228">
        <v>0</v>
      </c>
    </row>
    <row r="99" spans="2:14" x14ac:dyDescent="0.3">
      <c r="B99" s="174" t="s">
        <v>202</v>
      </c>
      <c r="C99" s="174" t="s">
        <v>203</v>
      </c>
      <c r="D99" s="211">
        <v>11000000</v>
      </c>
      <c r="E99" s="209" t="s">
        <v>204</v>
      </c>
      <c r="F99" s="209" t="s">
        <v>205</v>
      </c>
      <c r="G99" s="209" t="s">
        <v>206</v>
      </c>
      <c r="H99" s="209" t="s">
        <v>207</v>
      </c>
      <c r="I99" s="209" t="s">
        <v>208</v>
      </c>
      <c r="J99" s="209" t="s">
        <v>209</v>
      </c>
      <c r="K99" s="228">
        <v>0</v>
      </c>
      <c r="L99" s="228">
        <v>0</v>
      </c>
    </row>
    <row r="100" spans="2:14" x14ac:dyDescent="0.3">
      <c r="B100" s="174" t="s">
        <v>202</v>
      </c>
      <c r="C100" s="174" t="s">
        <v>210</v>
      </c>
      <c r="D100" s="209" t="s">
        <v>211</v>
      </c>
      <c r="E100" s="213">
        <v>110883334</v>
      </c>
      <c r="F100" s="209" t="s">
        <v>212</v>
      </c>
      <c r="G100" s="209" t="s">
        <v>213</v>
      </c>
      <c r="H100" s="209" t="s">
        <v>214</v>
      </c>
      <c r="I100" s="209" t="s">
        <v>208</v>
      </c>
      <c r="J100" s="209" t="s">
        <v>209</v>
      </c>
      <c r="K100" s="228">
        <v>0</v>
      </c>
      <c r="L100" s="228">
        <v>0</v>
      </c>
    </row>
    <row r="101" spans="2:14" ht="19.8" customHeight="1" x14ac:dyDescent="0.3">
      <c r="B101" s="174" t="s">
        <v>202</v>
      </c>
      <c r="C101" s="174" t="s">
        <v>210</v>
      </c>
      <c r="D101" s="209" t="s">
        <v>211</v>
      </c>
      <c r="E101" s="213">
        <v>89668686</v>
      </c>
      <c r="F101" s="209" t="s">
        <v>212</v>
      </c>
      <c r="G101" s="209" t="s">
        <v>213</v>
      </c>
      <c r="H101" s="209" t="s">
        <v>214</v>
      </c>
      <c r="I101" s="209" t="s">
        <v>208</v>
      </c>
      <c r="J101" s="209" t="s">
        <v>209</v>
      </c>
      <c r="K101" s="228">
        <v>0</v>
      </c>
      <c r="L101" s="228">
        <v>0</v>
      </c>
    </row>
    <row r="102" spans="2:14" ht="15" customHeight="1" thickBot="1" x14ac:dyDescent="0.35">
      <c r="B102" s="322" t="s">
        <v>202</v>
      </c>
      <c r="C102" s="322" t="s">
        <v>210</v>
      </c>
      <c r="D102" s="210" t="s">
        <v>211</v>
      </c>
      <c r="E102" s="214">
        <v>17000000</v>
      </c>
      <c r="F102" s="210" t="s">
        <v>212</v>
      </c>
      <c r="G102" s="210" t="s">
        <v>213</v>
      </c>
      <c r="H102" s="210" t="s">
        <v>214</v>
      </c>
      <c r="I102" s="210" t="s">
        <v>208</v>
      </c>
      <c r="J102" s="210" t="s">
        <v>209</v>
      </c>
      <c r="K102" s="229">
        <v>0</v>
      </c>
      <c r="L102" s="229">
        <v>0</v>
      </c>
    </row>
    <row r="103" spans="2:14" ht="15" thickBot="1" x14ac:dyDescent="0.35">
      <c r="B103" s="174" t="s">
        <v>22</v>
      </c>
      <c r="C103" s="209" t="s">
        <v>215</v>
      </c>
      <c r="D103" s="209" t="s">
        <v>211</v>
      </c>
      <c r="E103" s="209" t="s">
        <v>204</v>
      </c>
      <c r="F103" s="209" t="s">
        <v>211</v>
      </c>
      <c r="G103" s="209" t="s">
        <v>216</v>
      </c>
      <c r="H103" s="209" t="s">
        <v>217</v>
      </c>
      <c r="I103" s="209" t="s">
        <v>218</v>
      </c>
      <c r="J103" s="209" t="s">
        <v>218</v>
      </c>
      <c r="K103" s="229">
        <f>SUM(K113:K123)</f>
        <v>0</v>
      </c>
      <c r="L103" s="229">
        <f>SUM(L113:L123)</f>
        <v>0</v>
      </c>
    </row>
    <row r="105" spans="2:14" x14ac:dyDescent="0.3">
      <c r="L105" s="230"/>
    </row>
    <row r="109" spans="2:14" x14ac:dyDescent="0.3">
      <c r="K109" s="406"/>
      <c r="L109" s="406"/>
      <c r="M109" s="406"/>
      <c r="N109" s="406"/>
    </row>
    <row r="112" spans="2:14" ht="15" customHeight="1" thickBot="1" x14ac:dyDescent="0.35"/>
    <row r="123" ht="15" customHeight="1" thickBot="1" x14ac:dyDescent="0.35"/>
    <row r="124" ht="15" customHeight="1" thickBot="1" x14ac:dyDescent="0.35"/>
    <row r="125" ht="15" customHeight="1" x14ac:dyDescent="0.3"/>
  </sheetData>
  <mergeCells count="8">
    <mergeCell ref="J64:K64"/>
    <mergeCell ref="B35:B36"/>
    <mergeCell ref="B58:D58"/>
    <mergeCell ref="M109:N109"/>
    <mergeCell ref="B59:D59"/>
    <mergeCell ref="K109:L109"/>
    <mergeCell ref="H64:I64"/>
    <mergeCell ref="B57:D5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B2:L148"/>
  <sheetViews>
    <sheetView showGridLines="0" zoomScale="80" zoomScaleNormal="80" workbookViewId="0">
      <selection activeCell="D2" sqref="D2:D16"/>
    </sheetView>
  </sheetViews>
  <sheetFormatPr baseColWidth="10" defaultRowHeight="14.4" x14ac:dyDescent="0.3"/>
  <cols>
    <col min="1" max="1" width="12.109375" customWidth="1"/>
    <col min="2" max="2" width="46.77734375" customWidth="1"/>
    <col min="3" max="3" width="11.33203125" customWidth="1"/>
    <col min="4" max="4" width="14.6640625" customWidth="1"/>
    <col min="5" max="5" width="13.33203125" bestFit="1" customWidth="1"/>
    <col min="6" max="6" width="6.88671875" customWidth="1"/>
    <col min="11" max="11" width="44.109375" customWidth="1"/>
    <col min="12" max="12" width="18.109375" style="4" customWidth="1"/>
  </cols>
  <sheetData>
    <row r="2" spans="2:5" x14ac:dyDescent="0.3">
      <c r="B2" s="306" t="s">
        <v>219</v>
      </c>
    </row>
    <row r="3" spans="2:5" x14ac:dyDescent="0.3">
      <c r="B3" s="333" t="s">
        <v>432</v>
      </c>
    </row>
    <row r="4" spans="2:5" x14ac:dyDescent="0.3">
      <c r="B4" s="22"/>
      <c r="C4" s="50" t="s">
        <v>0</v>
      </c>
    </row>
    <row r="5" spans="2:5" x14ac:dyDescent="0.3">
      <c r="B5" s="293" t="s">
        <v>220</v>
      </c>
      <c r="C5" s="23" t="s">
        <v>5</v>
      </c>
    </row>
    <row r="6" spans="2:5" x14ac:dyDescent="0.3">
      <c r="B6" s="28"/>
      <c r="C6" s="47"/>
    </row>
    <row r="7" spans="2:5" x14ac:dyDescent="0.3">
      <c r="B7" s="293" t="s">
        <v>221</v>
      </c>
      <c r="C7" s="14"/>
    </row>
    <row r="8" spans="2:5" x14ac:dyDescent="0.3">
      <c r="B8" s="293" t="s">
        <v>64</v>
      </c>
      <c r="C8" s="14"/>
    </row>
    <row r="9" spans="2:5" x14ac:dyDescent="0.3">
      <c r="B9" s="293" t="s">
        <v>65</v>
      </c>
      <c r="C9" s="14"/>
    </row>
    <row r="10" spans="2:5" x14ac:dyDescent="0.3">
      <c r="B10" s="293" t="s">
        <v>66</v>
      </c>
      <c r="C10" s="14"/>
    </row>
    <row r="11" spans="2:5" x14ac:dyDescent="0.3">
      <c r="B11" s="293" t="s">
        <v>67</v>
      </c>
      <c r="C11" s="14"/>
    </row>
    <row r="12" spans="2:5" x14ac:dyDescent="0.3">
      <c r="B12" s="293" t="s">
        <v>68</v>
      </c>
      <c r="C12" s="84"/>
    </row>
    <row r="13" spans="2:5" ht="15" customHeight="1" thickBot="1" x14ac:dyDescent="0.35">
      <c r="B13" s="293" t="s">
        <v>22</v>
      </c>
      <c r="C13" s="77">
        <f>SUM(C7:C12)</f>
        <v>0</v>
      </c>
    </row>
    <row r="14" spans="2:5" x14ac:dyDescent="0.3">
      <c r="C14" s="18"/>
    </row>
    <row r="15" spans="2:5" x14ac:dyDescent="0.3">
      <c r="C15" s="18"/>
    </row>
    <row r="16" spans="2:5" x14ac:dyDescent="0.3">
      <c r="C16" s="18"/>
      <c r="E16" s="18"/>
    </row>
    <row r="17" spans="2:5" x14ac:dyDescent="0.3">
      <c r="B17" s="90"/>
      <c r="C17" s="92"/>
      <c r="D17" s="92"/>
      <c r="E17" s="95"/>
    </row>
    <row r="18" spans="2:5" x14ac:dyDescent="0.3">
      <c r="B18" s="90"/>
      <c r="C18" s="92"/>
      <c r="D18" s="92"/>
      <c r="E18" s="95"/>
    </row>
    <row r="19" spans="2:5" x14ac:dyDescent="0.3">
      <c r="B19" s="90"/>
      <c r="C19" s="92"/>
      <c r="D19" s="92"/>
      <c r="E19" s="95"/>
    </row>
    <row r="20" spans="2:5" x14ac:dyDescent="0.3">
      <c r="B20" s="90"/>
      <c r="C20" s="92"/>
      <c r="D20" s="92"/>
      <c r="E20" s="95"/>
    </row>
    <row r="21" spans="2:5" x14ac:dyDescent="0.3">
      <c r="B21" s="90"/>
      <c r="C21" s="92"/>
      <c r="D21" s="92"/>
      <c r="E21" s="95"/>
    </row>
    <row r="22" spans="2:5" x14ac:dyDescent="0.3">
      <c r="B22" s="90"/>
      <c r="C22" s="92"/>
      <c r="D22" s="92"/>
      <c r="E22" s="95"/>
    </row>
    <row r="23" spans="2:5" x14ac:dyDescent="0.3">
      <c r="B23" s="90"/>
      <c r="C23" s="92"/>
      <c r="D23" s="92"/>
      <c r="E23" s="95"/>
    </row>
    <row r="24" spans="2:5" x14ac:dyDescent="0.3">
      <c r="B24" s="90"/>
      <c r="C24" s="92"/>
      <c r="D24" s="92"/>
      <c r="E24" s="95"/>
    </row>
    <row r="25" spans="2:5" x14ac:dyDescent="0.3">
      <c r="B25" s="90"/>
      <c r="C25" s="92"/>
      <c r="D25" s="92"/>
      <c r="E25" s="95"/>
    </row>
    <row r="26" spans="2:5" x14ac:dyDescent="0.3">
      <c r="B26" s="90"/>
      <c r="C26" s="92"/>
      <c r="D26" s="92"/>
      <c r="E26" s="95"/>
    </row>
    <row r="27" spans="2:5" x14ac:dyDescent="0.3">
      <c r="B27" s="90"/>
      <c r="C27" s="92"/>
      <c r="D27" s="92"/>
      <c r="E27" s="95"/>
    </row>
    <row r="28" spans="2:5" x14ac:dyDescent="0.3">
      <c r="B28" s="90"/>
      <c r="C28" s="92"/>
      <c r="D28" s="92"/>
      <c r="E28" s="95"/>
    </row>
    <row r="29" spans="2:5" x14ac:dyDescent="0.3">
      <c r="B29" s="90"/>
      <c r="C29" s="92"/>
      <c r="D29" s="92"/>
      <c r="E29" s="95"/>
    </row>
    <row r="30" spans="2:5" x14ac:dyDescent="0.3">
      <c r="B30" s="90"/>
      <c r="C30" s="92"/>
      <c r="D30" s="92"/>
      <c r="E30" s="95"/>
    </row>
    <row r="31" spans="2:5" x14ac:dyDescent="0.3">
      <c r="B31" s="90"/>
      <c r="C31" s="92"/>
      <c r="D31" s="92"/>
      <c r="E31" s="95"/>
    </row>
    <row r="32" spans="2:5" x14ac:dyDescent="0.3">
      <c r="B32" s="90"/>
      <c r="C32" s="92"/>
      <c r="D32" s="92"/>
      <c r="E32" s="95"/>
    </row>
    <row r="33" spans="2:5" x14ac:dyDescent="0.3">
      <c r="B33" s="90"/>
      <c r="C33" s="92"/>
      <c r="D33" s="92"/>
      <c r="E33" s="95"/>
    </row>
    <row r="34" spans="2:5" x14ac:dyDescent="0.3">
      <c r="B34" s="90"/>
      <c r="C34" s="92"/>
      <c r="D34" s="92"/>
      <c r="E34" s="95"/>
    </row>
    <row r="35" spans="2:5" x14ac:dyDescent="0.3">
      <c r="B35" s="90"/>
      <c r="C35" s="92"/>
      <c r="D35" s="92"/>
      <c r="E35" s="95"/>
    </row>
    <row r="36" spans="2:5" x14ac:dyDescent="0.3">
      <c r="B36" s="90"/>
      <c r="C36" s="92"/>
      <c r="D36" s="92"/>
      <c r="E36" s="95"/>
    </row>
    <row r="37" spans="2:5" x14ac:dyDescent="0.3">
      <c r="B37" s="90"/>
      <c r="C37" s="92"/>
      <c r="D37" s="92"/>
      <c r="E37" s="95"/>
    </row>
    <row r="38" spans="2:5" x14ac:dyDescent="0.3">
      <c r="B38" s="90"/>
      <c r="C38" s="92"/>
      <c r="D38" s="92"/>
      <c r="E38" s="95"/>
    </row>
    <row r="39" spans="2:5" x14ac:dyDescent="0.3">
      <c r="B39" s="90"/>
      <c r="C39" s="92"/>
      <c r="D39" s="92"/>
      <c r="E39" s="95"/>
    </row>
    <row r="40" spans="2:5" x14ac:dyDescent="0.3">
      <c r="B40" s="90"/>
      <c r="C40" s="92"/>
      <c r="D40" s="92"/>
      <c r="E40" s="95"/>
    </row>
    <row r="41" spans="2:5" x14ac:dyDescent="0.3">
      <c r="B41" s="90"/>
      <c r="C41" s="92"/>
      <c r="D41" s="92"/>
      <c r="E41" s="95"/>
    </row>
    <row r="42" spans="2:5" x14ac:dyDescent="0.3">
      <c r="B42" s="90"/>
      <c r="C42" s="92"/>
      <c r="D42" s="92"/>
      <c r="E42" s="95"/>
    </row>
    <row r="43" spans="2:5" x14ac:dyDescent="0.3">
      <c r="B43" s="90"/>
      <c r="C43" s="92"/>
      <c r="D43" s="92"/>
      <c r="E43" s="95"/>
    </row>
    <row r="44" spans="2:5" x14ac:dyDescent="0.3">
      <c r="B44" s="90"/>
      <c r="C44" s="92"/>
      <c r="D44" s="92"/>
      <c r="E44" s="95"/>
    </row>
    <row r="45" spans="2:5" x14ac:dyDescent="0.3">
      <c r="B45" s="90"/>
      <c r="C45" s="92"/>
      <c r="D45" s="92"/>
      <c r="E45" s="95"/>
    </row>
    <row r="46" spans="2:5" x14ac:dyDescent="0.3">
      <c r="B46" s="90"/>
      <c r="C46" s="92"/>
      <c r="D46" s="92"/>
      <c r="E46" s="95"/>
    </row>
    <row r="47" spans="2:5" x14ac:dyDescent="0.3">
      <c r="B47" s="90"/>
      <c r="C47" s="92"/>
      <c r="D47" s="92"/>
      <c r="E47" s="95"/>
    </row>
    <row r="48" spans="2:5" x14ac:dyDescent="0.3">
      <c r="B48" s="90"/>
      <c r="C48" s="92"/>
      <c r="D48" s="92"/>
      <c r="E48" s="95"/>
    </row>
    <row r="49" spans="2:6" x14ac:dyDescent="0.3">
      <c r="B49" s="90"/>
      <c r="C49" s="92"/>
      <c r="D49" s="92"/>
      <c r="E49" s="95"/>
    </row>
    <row r="50" spans="2:6" x14ac:dyDescent="0.3">
      <c r="B50" s="90"/>
      <c r="C50" s="92"/>
      <c r="D50" s="92"/>
      <c r="E50" s="95"/>
    </row>
    <row r="51" spans="2:6" x14ac:dyDescent="0.3">
      <c r="B51" s="90"/>
      <c r="C51" s="92"/>
      <c r="D51" s="92"/>
      <c r="E51" s="95"/>
    </row>
    <row r="52" spans="2:6" x14ac:dyDescent="0.3">
      <c r="B52" s="90"/>
      <c r="C52" s="92"/>
      <c r="D52" s="92"/>
      <c r="E52" s="95"/>
    </row>
    <row r="53" spans="2:6" x14ac:dyDescent="0.3">
      <c r="B53" s="90"/>
      <c r="C53" s="92"/>
      <c r="D53" s="92"/>
      <c r="E53" s="95"/>
    </row>
    <row r="54" spans="2:6" x14ac:dyDescent="0.3">
      <c r="B54" s="90"/>
      <c r="C54" s="92"/>
      <c r="D54" s="92"/>
      <c r="E54" s="95"/>
    </row>
    <row r="55" spans="2:6" x14ac:dyDescent="0.3">
      <c r="B55" s="90"/>
      <c r="C55" s="92"/>
      <c r="D55" s="92"/>
      <c r="E55" s="95"/>
    </row>
    <row r="56" spans="2:6" x14ac:dyDescent="0.3">
      <c r="B56" s="90"/>
      <c r="C56" s="92"/>
      <c r="D56" s="92"/>
      <c r="E56" s="95"/>
    </row>
    <row r="57" spans="2:6" ht="15" customHeight="1" thickBot="1" x14ac:dyDescent="0.35">
      <c r="B57" s="94"/>
      <c r="C57" s="83"/>
      <c r="D57" s="83"/>
      <c r="E57" s="83"/>
    </row>
    <row r="58" spans="2:6" ht="15" customHeight="1" thickTop="1" x14ac:dyDescent="0.3">
      <c r="B58" s="90"/>
      <c r="C58" s="81"/>
      <c r="D58" s="92"/>
      <c r="E58" s="18"/>
    </row>
    <row r="59" spans="2:6" x14ac:dyDescent="0.3">
      <c r="B59" s="90"/>
      <c r="C59" s="89"/>
      <c r="D59" s="89"/>
      <c r="E59" s="18"/>
      <c r="F59" s="92"/>
    </row>
    <row r="60" spans="2:6" x14ac:dyDescent="0.3">
      <c r="B60" s="90"/>
      <c r="C60" s="89"/>
      <c r="D60" s="89"/>
      <c r="E60" s="18"/>
      <c r="F60" s="92"/>
    </row>
    <row r="61" spans="2:6" x14ac:dyDescent="0.3">
      <c r="B61" s="90"/>
      <c r="C61" s="89"/>
      <c r="D61" s="89"/>
      <c r="E61" s="18"/>
      <c r="F61" s="92"/>
    </row>
    <row r="62" spans="2:6" x14ac:dyDescent="0.3">
      <c r="B62" s="90"/>
      <c r="C62" s="89"/>
      <c r="D62" s="89"/>
      <c r="E62" s="18"/>
      <c r="F62" s="92"/>
    </row>
    <row r="63" spans="2:6" x14ac:dyDescent="0.3">
      <c r="B63" s="90"/>
      <c r="C63" s="89"/>
      <c r="D63" s="89"/>
      <c r="E63" s="18"/>
      <c r="F63" s="92"/>
    </row>
    <row r="64" spans="2:6" x14ac:dyDescent="0.3">
      <c r="B64" s="90"/>
      <c r="C64" s="89"/>
      <c r="D64" s="89"/>
      <c r="E64" s="18"/>
      <c r="F64" s="92"/>
    </row>
    <row r="65" spans="2:6" x14ac:dyDescent="0.3">
      <c r="B65" s="90"/>
      <c r="C65" s="89"/>
      <c r="D65" s="89"/>
      <c r="E65" s="18"/>
      <c r="F65" s="92"/>
    </row>
    <row r="66" spans="2:6" x14ac:dyDescent="0.3">
      <c r="B66" s="90"/>
      <c r="C66" s="89"/>
      <c r="D66" s="89"/>
      <c r="E66" s="18"/>
      <c r="F66" s="92"/>
    </row>
    <row r="67" spans="2:6" x14ac:dyDescent="0.3">
      <c r="B67" s="90"/>
      <c r="C67" s="89"/>
      <c r="D67" s="89"/>
      <c r="E67" s="18"/>
      <c r="F67" s="92"/>
    </row>
    <row r="68" spans="2:6" x14ac:dyDescent="0.3">
      <c r="B68" s="90"/>
      <c r="C68" s="89"/>
      <c r="D68" s="89"/>
      <c r="E68" s="18"/>
      <c r="F68" s="92"/>
    </row>
    <row r="69" spans="2:6" x14ac:dyDescent="0.3">
      <c r="B69" s="90"/>
      <c r="C69" s="89"/>
      <c r="D69" s="89"/>
      <c r="E69" s="18"/>
      <c r="F69" s="92"/>
    </row>
    <row r="70" spans="2:6" x14ac:dyDescent="0.3">
      <c r="B70" s="90"/>
      <c r="C70" s="89"/>
      <c r="D70" s="89"/>
      <c r="E70" s="18"/>
      <c r="F70" s="92"/>
    </row>
    <row r="71" spans="2:6" x14ac:dyDescent="0.3">
      <c r="B71" s="90"/>
      <c r="C71" s="89"/>
      <c r="D71" s="89"/>
      <c r="E71" s="18"/>
      <c r="F71" s="92"/>
    </row>
    <row r="72" spans="2:6" x14ac:dyDescent="0.3">
      <c r="B72" s="90"/>
      <c r="C72" s="89"/>
      <c r="D72" s="89"/>
      <c r="E72" s="18"/>
      <c r="F72" s="92"/>
    </row>
    <row r="73" spans="2:6" x14ac:dyDescent="0.3">
      <c r="B73" s="90"/>
      <c r="C73" s="89"/>
      <c r="D73" s="89"/>
      <c r="E73" s="18"/>
      <c r="F73" s="92"/>
    </row>
    <row r="74" spans="2:6" x14ac:dyDescent="0.3">
      <c r="B74" s="90"/>
      <c r="C74" s="89"/>
      <c r="D74" s="89"/>
      <c r="E74" s="18"/>
      <c r="F74" s="92"/>
    </row>
    <row r="75" spans="2:6" x14ac:dyDescent="0.3">
      <c r="B75" s="90"/>
      <c r="C75" s="89"/>
      <c r="D75" s="89"/>
      <c r="E75" s="18"/>
      <c r="F75" s="92"/>
    </row>
    <row r="76" spans="2:6" x14ac:dyDescent="0.3">
      <c r="B76" s="90"/>
      <c r="C76" s="89"/>
      <c r="D76" s="89"/>
      <c r="E76" s="18"/>
      <c r="F76" s="92"/>
    </row>
    <row r="77" spans="2:6" x14ac:dyDescent="0.3">
      <c r="B77" s="90"/>
      <c r="C77" s="89"/>
      <c r="D77" s="89"/>
      <c r="E77" s="18"/>
      <c r="F77" s="92"/>
    </row>
    <row r="78" spans="2:6" x14ac:dyDescent="0.3">
      <c r="B78" s="90"/>
      <c r="C78" s="89"/>
      <c r="D78" s="89"/>
      <c r="E78" s="18"/>
      <c r="F78" s="92"/>
    </row>
    <row r="79" spans="2:6" x14ac:dyDescent="0.3">
      <c r="B79" s="90"/>
      <c r="C79" s="89"/>
      <c r="D79" s="89"/>
      <c r="E79" s="18"/>
      <c r="F79" s="92"/>
    </row>
    <row r="80" spans="2:6" x14ac:dyDescent="0.3">
      <c r="B80" s="90"/>
      <c r="C80" s="89"/>
      <c r="D80" s="89"/>
      <c r="E80" s="18"/>
      <c r="F80" s="92"/>
    </row>
    <row r="81" spans="2:6" x14ac:dyDescent="0.3">
      <c r="B81" s="90"/>
      <c r="C81" s="89"/>
      <c r="D81" s="89"/>
      <c r="E81" s="18"/>
      <c r="F81" s="92"/>
    </row>
    <row r="82" spans="2:6" x14ac:dyDescent="0.3">
      <c r="B82" s="90"/>
      <c r="C82" s="89"/>
      <c r="D82" s="89"/>
      <c r="E82" s="18"/>
      <c r="F82" s="92"/>
    </row>
    <row r="83" spans="2:6" x14ac:dyDescent="0.3">
      <c r="B83" s="90"/>
      <c r="C83" s="89"/>
      <c r="D83" s="89"/>
      <c r="E83" s="18"/>
      <c r="F83" s="92"/>
    </row>
    <row r="84" spans="2:6" x14ac:dyDescent="0.3">
      <c r="B84" s="90"/>
      <c r="C84" s="89"/>
      <c r="D84" s="89"/>
      <c r="E84" s="18"/>
      <c r="F84" s="92"/>
    </row>
    <row r="85" spans="2:6" x14ac:dyDescent="0.3">
      <c r="B85" s="90"/>
      <c r="C85" s="89"/>
      <c r="D85" s="89"/>
      <c r="E85" s="18"/>
      <c r="F85" s="92"/>
    </row>
    <row r="86" spans="2:6" x14ac:dyDescent="0.3">
      <c r="B86" s="90"/>
      <c r="C86" s="89"/>
      <c r="D86" s="89"/>
      <c r="E86" s="18"/>
      <c r="F86" s="92"/>
    </row>
    <row r="87" spans="2:6" x14ac:dyDescent="0.3">
      <c r="B87" s="90"/>
      <c r="C87" s="89"/>
      <c r="D87" s="89"/>
      <c r="E87" s="18"/>
      <c r="F87" s="92"/>
    </row>
    <row r="88" spans="2:6" x14ac:dyDescent="0.3">
      <c r="B88" s="90"/>
      <c r="C88" s="89"/>
      <c r="D88" s="89"/>
      <c r="E88" s="18"/>
      <c r="F88" s="92"/>
    </row>
    <row r="89" spans="2:6" x14ac:dyDescent="0.3">
      <c r="B89" s="90"/>
      <c r="C89" s="89"/>
      <c r="D89" s="89"/>
      <c r="E89" s="18"/>
      <c r="F89" s="92"/>
    </row>
    <row r="90" spans="2:6" x14ac:dyDescent="0.3">
      <c r="B90" s="90"/>
      <c r="C90" s="89"/>
      <c r="D90" s="89"/>
      <c r="E90" s="18"/>
      <c r="F90" s="92"/>
    </row>
    <row r="91" spans="2:6" x14ac:dyDescent="0.3">
      <c r="B91" s="90"/>
      <c r="C91" s="89"/>
      <c r="D91" s="89"/>
      <c r="E91" s="18"/>
      <c r="F91" s="92"/>
    </row>
    <row r="92" spans="2:6" x14ac:dyDescent="0.3">
      <c r="B92" s="90"/>
      <c r="C92" s="89"/>
      <c r="D92" s="89"/>
      <c r="E92" s="18"/>
      <c r="F92" s="92"/>
    </row>
    <row r="93" spans="2:6" x14ac:dyDescent="0.3">
      <c r="B93" s="90"/>
      <c r="C93" s="89"/>
      <c r="D93" s="89"/>
      <c r="E93" s="18"/>
      <c r="F93" s="92"/>
    </row>
    <row r="94" spans="2:6" x14ac:dyDescent="0.3">
      <c r="B94" s="90"/>
      <c r="C94" s="89"/>
      <c r="D94" s="89"/>
      <c r="E94" s="18"/>
      <c r="F94" s="92"/>
    </row>
    <row r="95" spans="2:6" x14ac:dyDescent="0.3">
      <c r="B95" s="90"/>
      <c r="C95" s="89"/>
      <c r="D95" s="89"/>
      <c r="E95" s="18"/>
      <c r="F95" s="92"/>
    </row>
    <row r="96" spans="2:6" x14ac:dyDescent="0.3">
      <c r="B96" s="90"/>
      <c r="C96" s="89"/>
      <c r="D96" s="89"/>
      <c r="E96" s="18"/>
      <c r="F96" s="92"/>
    </row>
    <row r="97" spans="2:6" x14ac:dyDescent="0.3">
      <c r="B97" s="90"/>
      <c r="C97" s="89"/>
      <c r="D97" s="89"/>
      <c r="E97" s="18"/>
      <c r="F97" s="92"/>
    </row>
    <row r="98" spans="2:6" x14ac:dyDescent="0.3">
      <c r="B98" s="90"/>
      <c r="C98" s="89"/>
      <c r="D98" s="89"/>
      <c r="E98" s="18"/>
      <c r="F98" s="92"/>
    </row>
    <row r="99" spans="2:6" x14ac:dyDescent="0.3">
      <c r="B99" s="90"/>
      <c r="C99" s="89"/>
      <c r="D99" s="89"/>
      <c r="E99" s="18"/>
      <c r="F99" s="92"/>
    </row>
    <row r="100" spans="2:6" x14ac:dyDescent="0.3">
      <c r="B100" s="90"/>
      <c r="C100" s="89"/>
      <c r="D100" s="89"/>
      <c r="E100" s="18"/>
      <c r="F100" s="92"/>
    </row>
    <row r="101" spans="2:6" x14ac:dyDescent="0.3">
      <c r="B101" s="90"/>
      <c r="C101" s="89"/>
      <c r="D101" s="89"/>
      <c r="E101" s="18"/>
      <c r="F101" s="92"/>
    </row>
    <row r="102" spans="2:6" x14ac:dyDescent="0.3">
      <c r="B102" s="90"/>
      <c r="C102" s="89"/>
      <c r="D102" s="89"/>
      <c r="E102" s="18"/>
      <c r="F102" s="92"/>
    </row>
    <row r="103" spans="2:6" x14ac:dyDescent="0.3">
      <c r="B103" s="90"/>
      <c r="C103" s="89"/>
      <c r="D103" s="89"/>
      <c r="E103" s="18"/>
      <c r="F103" s="92"/>
    </row>
    <row r="104" spans="2:6" x14ac:dyDescent="0.3">
      <c r="B104" s="90"/>
      <c r="C104" s="89"/>
      <c r="D104" s="89"/>
      <c r="E104" s="18"/>
      <c r="F104" s="92"/>
    </row>
    <row r="105" spans="2:6" x14ac:dyDescent="0.3">
      <c r="B105" s="90"/>
      <c r="C105" s="89"/>
      <c r="D105" s="89"/>
      <c r="E105" s="18"/>
      <c r="F105" s="92"/>
    </row>
    <row r="106" spans="2:6" x14ac:dyDescent="0.3">
      <c r="B106" s="90"/>
      <c r="C106" s="89"/>
      <c r="D106" s="89"/>
      <c r="E106" s="18"/>
      <c r="F106" s="92"/>
    </row>
    <row r="107" spans="2:6" x14ac:dyDescent="0.3">
      <c r="B107" s="90"/>
      <c r="C107" s="89"/>
      <c r="D107" s="89"/>
      <c r="E107" s="18"/>
      <c r="F107" s="92"/>
    </row>
    <row r="108" spans="2:6" x14ac:dyDescent="0.3">
      <c r="B108" s="90"/>
      <c r="C108" s="89"/>
      <c r="D108" s="89"/>
      <c r="E108" s="18"/>
      <c r="F108" s="92"/>
    </row>
    <row r="109" spans="2:6" x14ac:dyDescent="0.3">
      <c r="B109" s="90"/>
      <c r="C109" s="89"/>
      <c r="D109" s="89"/>
      <c r="E109" s="18"/>
      <c r="F109" s="92"/>
    </row>
    <row r="110" spans="2:6" x14ac:dyDescent="0.3">
      <c r="B110" s="90"/>
      <c r="C110" s="89"/>
      <c r="D110" s="89"/>
      <c r="E110" s="18"/>
      <c r="F110" s="92"/>
    </row>
    <row r="111" spans="2:6" x14ac:dyDescent="0.3">
      <c r="B111" s="90"/>
      <c r="C111" s="89"/>
      <c r="D111" s="89"/>
      <c r="E111" s="18"/>
      <c r="F111" s="92"/>
    </row>
    <row r="112" spans="2:6" x14ac:dyDescent="0.3">
      <c r="B112" s="90"/>
      <c r="C112" s="89"/>
      <c r="D112" s="89"/>
      <c r="E112" s="18"/>
      <c r="F112" s="92"/>
    </row>
    <row r="113" spans="2:6" x14ac:dyDescent="0.3">
      <c r="B113" s="90"/>
      <c r="C113" s="89"/>
      <c r="D113" s="89"/>
      <c r="E113" s="18"/>
      <c r="F113" s="92"/>
    </row>
    <row r="114" spans="2:6" x14ac:dyDescent="0.3">
      <c r="B114" s="90"/>
      <c r="C114" s="89"/>
      <c r="D114" s="89"/>
      <c r="E114" s="18"/>
      <c r="F114" s="92"/>
    </row>
    <row r="115" spans="2:6" x14ac:dyDescent="0.3">
      <c r="B115" s="90"/>
      <c r="C115" s="89"/>
      <c r="D115" s="89"/>
      <c r="E115" s="18"/>
      <c r="F115" s="92"/>
    </row>
    <row r="116" spans="2:6" x14ac:dyDescent="0.3">
      <c r="B116" s="90"/>
      <c r="C116" s="89"/>
      <c r="D116" s="89"/>
      <c r="E116" s="18"/>
      <c r="F116" s="92"/>
    </row>
    <row r="117" spans="2:6" x14ac:dyDescent="0.3">
      <c r="B117" s="90"/>
      <c r="C117" s="89"/>
      <c r="D117" s="89"/>
      <c r="E117" s="18"/>
      <c r="F117" s="92"/>
    </row>
    <row r="118" spans="2:6" x14ac:dyDescent="0.3">
      <c r="B118" s="90"/>
      <c r="C118" s="89"/>
      <c r="D118" s="89"/>
      <c r="E118" s="18"/>
      <c r="F118" s="92"/>
    </row>
    <row r="119" spans="2:6" x14ac:dyDescent="0.3">
      <c r="B119" s="90"/>
      <c r="C119" s="89"/>
      <c r="D119" s="89"/>
      <c r="E119" s="18"/>
      <c r="F119" s="92"/>
    </row>
    <row r="120" spans="2:6" x14ac:dyDescent="0.3">
      <c r="B120" s="90"/>
      <c r="C120" s="89"/>
      <c r="D120" s="89"/>
      <c r="E120" s="18"/>
      <c r="F120" s="92"/>
    </row>
    <row r="121" spans="2:6" x14ac:dyDescent="0.3">
      <c r="B121" s="90"/>
      <c r="C121" s="89"/>
      <c r="D121" s="89"/>
      <c r="E121" s="18"/>
      <c r="F121" s="92"/>
    </row>
    <row r="122" spans="2:6" x14ac:dyDescent="0.3">
      <c r="B122" s="90"/>
      <c r="C122" s="89"/>
      <c r="D122" s="89"/>
      <c r="E122" s="18"/>
      <c r="F122" s="92"/>
    </row>
    <row r="123" spans="2:6" x14ac:dyDescent="0.3">
      <c r="B123" s="90"/>
      <c r="C123" s="89"/>
      <c r="D123" s="89"/>
      <c r="E123" s="18"/>
      <c r="F123" s="92"/>
    </row>
    <row r="124" spans="2:6" x14ac:dyDescent="0.3">
      <c r="B124" s="90"/>
      <c r="C124" s="89"/>
      <c r="D124" s="89"/>
      <c r="E124" s="18"/>
      <c r="F124" s="92"/>
    </row>
    <row r="125" spans="2:6" x14ac:dyDescent="0.3">
      <c r="B125" s="90"/>
      <c r="C125" s="89"/>
      <c r="D125" s="89"/>
      <c r="E125" s="18"/>
      <c r="F125" s="92"/>
    </row>
    <row r="126" spans="2:6" x14ac:dyDescent="0.3">
      <c r="B126" s="90"/>
      <c r="C126" s="89"/>
      <c r="D126" s="89"/>
      <c r="E126" s="18"/>
      <c r="F126" s="92"/>
    </row>
    <row r="127" spans="2:6" x14ac:dyDescent="0.3">
      <c r="B127" s="90"/>
      <c r="C127" s="89"/>
      <c r="D127" s="89"/>
      <c r="E127" s="18"/>
      <c r="F127" s="92"/>
    </row>
    <row r="128" spans="2:6" x14ac:dyDescent="0.3">
      <c r="B128" s="90"/>
      <c r="C128" s="89"/>
      <c r="D128" s="89"/>
      <c r="E128" s="18"/>
      <c r="F128" s="92"/>
    </row>
    <row r="129" spans="2:6" x14ac:dyDescent="0.3">
      <c r="B129" s="90"/>
      <c r="C129" s="89"/>
      <c r="D129" s="89"/>
      <c r="E129" s="18"/>
      <c r="F129" s="92"/>
    </row>
    <row r="130" spans="2:6" x14ac:dyDescent="0.3">
      <c r="B130" s="90"/>
      <c r="C130" s="89"/>
      <c r="D130" s="89"/>
      <c r="E130" s="18"/>
      <c r="F130" s="92"/>
    </row>
    <row r="131" spans="2:6" x14ac:dyDescent="0.3">
      <c r="B131" s="90"/>
      <c r="C131" s="89"/>
      <c r="D131" s="89"/>
      <c r="E131" s="18"/>
      <c r="F131" s="92"/>
    </row>
    <row r="132" spans="2:6" x14ac:dyDescent="0.3">
      <c r="B132" s="90"/>
      <c r="C132" s="89"/>
      <c r="D132" s="89"/>
      <c r="E132" s="18"/>
      <c r="F132" s="92"/>
    </row>
    <row r="133" spans="2:6" x14ac:dyDescent="0.3">
      <c r="B133" s="90"/>
      <c r="C133" s="89"/>
      <c r="D133" s="89"/>
      <c r="E133" s="18"/>
      <c r="F133" s="92"/>
    </row>
    <row r="134" spans="2:6" x14ac:dyDescent="0.3">
      <c r="B134" s="90"/>
      <c r="C134" s="89"/>
      <c r="D134" s="89"/>
      <c r="E134" s="18"/>
      <c r="F134" s="92"/>
    </row>
    <row r="135" spans="2:6" x14ac:dyDescent="0.3">
      <c r="B135" s="90"/>
      <c r="C135" s="89"/>
      <c r="D135" s="89"/>
      <c r="E135" s="18"/>
      <c r="F135" s="92"/>
    </row>
    <row r="136" spans="2:6" x14ac:dyDescent="0.3">
      <c r="B136" s="90"/>
      <c r="C136" s="89"/>
      <c r="D136" s="89"/>
      <c r="E136" s="18"/>
      <c r="F136" s="92"/>
    </row>
    <row r="137" spans="2:6" x14ac:dyDescent="0.3">
      <c r="B137" s="90"/>
      <c r="C137" s="89"/>
      <c r="D137" s="89"/>
      <c r="E137" s="18"/>
      <c r="F137" s="92"/>
    </row>
    <row r="138" spans="2:6" x14ac:dyDescent="0.3">
      <c r="B138" s="90"/>
      <c r="C138" s="89"/>
      <c r="D138" s="89"/>
      <c r="E138" s="18"/>
      <c r="F138" s="92"/>
    </row>
    <row r="139" spans="2:6" x14ac:dyDescent="0.3">
      <c r="B139" s="90"/>
      <c r="C139" s="89"/>
      <c r="D139" s="89"/>
      <c r="E139" s="18"/>
      <c r="F139" s="92"/>
    </row>
    <row r="140" spans="2:6" x14ac:dyDescent="0.3">
      <c r="B140" s="90"/>
      <c r="C140" s="89"/>
      <c r="D140" s="89"/>
      <c r="E140" s="18"/>
      <c r="F140" s="92"/>
    </row>
    <row r="141" spans="2:6" x14ac:dyDescent="0.3">
      <c r="B141" s="90"/>
      <c r="C141" s="89"/>
      <c r="D141" s="89"/>
      <c r="E141" s="18"/>
      <c r="F141" s="92"/>
    </row>
    <row r="142" spans="2:6" x14ac:dyDescent="0.3">
      <c r="B142" s="90"/>
      <c r="C142" s="89"/>
      <c r="D142" s="89"/>
      <c r="E142" s="18"/>
      <c r="F142" s="92"/>
    </row>
    <row r="143" spans="2:6" x14ac:dyDescent="0.3">
      <c r="B143" s="90"/>
      <c r="C143" s="89"/>
      <c r="D143" s="89"/>
      <c r="E143" s="18"/>
      <c r="F143" s="92"/>
    </row>
    <row r="144" spans="2:6" x14ac:dyDescent="0.3">
      <c r="B144" s="90"/>
      <c r="C144" s="89"/>
      <c r="D144" s="89"/>
      <c r="E144" s="18"/>
      <c r="F144" s="92"/>
    </row>
    <row r="145" spans="2:6" x14ac:dyDescent="0.3">
      <c r="B145" s="90"/>
      <c r="C145" s="89"/>
      <c r="D145" s="89"/>
      <c r="E145" s="18"/>
      <c r="F145" s="92"/>
    </row>
    <row r="146" spans="2:6" ht="15" customHeight="1" thickBot="1" x14ac:dyDescent="0.35">
      <c r="B146" s="90"/>
      <c r="C146" s="89"/>
      <c r="D146" s="89"/>
      <c r="E146" s="18"/>
      <c r="F146" s="92"/>
    </row>
    <row r="147" spans="2:6" ht="15" customHeight="1" thickBot="1" x14ac:dyDescent="0.35">
      <c r="B147" s="88" t="s">
        <v>22</v>
      </c>
      <c r="C147" s="91"/>
      <c r="D147" s="89"/>
      <c r="E147" s="96">
        <v>0</v>
      </c>
      <c r="F147" s="93">
        <v>0</v>
      </c>
    </row>
    <row r="148" spans="2:6" x14ac:dyDescent="0.3">
      <c r="F148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F0"/>
  </sheetPr>
  <dimension ref="B3:K91"/>
  <sheetViews>
    <sheetView showGridLines="0" topLeftCell="B73" workbookViewId="0">
      <selection activeCell="E69" sqref="E69:E90"/>
    </sheetView>
  </sheetViews>
  <sheetFormatPr baseColWidth="10" defaultRowHeight="14.4" x14ac:dyDescent="0.3"/>
  <cols>
    <col min="3" max="3" width="46" customWidth="1"/>
  </cols>
  <sheetData>
    <row r="3" spans="2:11" x14ac:dyDescent="0.3">
      <c r="C3" s="323" t="s">
        <v>223</v>
      </c>
    </row>
    <row r="4" spans="2:11" x14ac:dyDescent="0.3">
      <c r="C4" s="335" t="s">
        <v>396</v>
      </c>
    </row>
    <row r="5" spans="2:11" ht="33.6" customHeight="1" x14ac:dyDescent="0.3">
      <c r="B5" s="190" t="s">
        <v>224</v>
      </c>
      <c r="C5" s="410" t="s">
        <v>225</v>
      </c>
      <c r="D5" s="411"/>
      <c r="E5" s="411"/>
      <c r="F5" s="411"/>
      <c r="G5" s="25"/>
    </row>
    <row r="6" spans="2:11" ht="15.6" customHeight="1" x14ac:dyDescent="0.3">
      <c r="B6" s="191"/>
      <c r="C6" s="99"/>
    </row>
    <row r="7" spans="2:11" ht="15.6" customHeight="1" x14ac:dyDescent="0.3">
      <c r="B7" s="191"/>
      <c r="C7" s="22"/>
      <c r="D7" s="324">
        <v>46203</v>
      </c>
      <c r="E7" s="168"/>
      <c r="H7" s="168"/>
      <c r="I7" s="168"/>
      <c r="J7" s="168"/>
      <c r="K7" s="23"/>
    </row>
    <row r="8" spans="2:11" ht="15.6" customHeight="1" x14ac:dyDescent="0.3">
      <c r="B8" s="191"/>
      <c r="C8" s="22"/>
      <c r="D8" s="21" t="s">
        <v>43</v>
      </c>
      <c r="E8" s="66" t="s">
        <v>226</v>
      </c>
      <c r="H8" s="66"/>
      <c r="I8" s="66"/>
      <c r="K8" s="23"/>
    </row>
    <row r="9" spans="2:11" ht="15.6" customHeight="1" x14ac:dyDescent="0.3">
      <c r="B9" s="191"/>
      <c r="C9" s="22"/>
      <c r="D9" s="19" t="s">
        <v>5</v>
      </c>
      <c r="E9" s="23" t="s">
        <v>5</v>
      </c>
      <c r="H9" s="23"/>
      <c r="I9" s="23"/>
      <c r="K9" s="23"/>
    </row>
    <row r="10" spans="2:11" ht="15.6" customHeight="1" x14ac:dyDescent="0.3">
      <c r="B10" s="191"/>
      <c r="C10" s="313" t="s">
        <v>227</v>
      </c>
      <c r="D10" s="165"/>
      <c r="E10" s="161"/>
      <c r="H10" s="161"/>
      <c r="I10" s="161"/>
      <c r="K10" s="73"/>
    </row>
    <row r="11" spans="2:11" ht="15.6" customHeight="1" x14ac:dyDescent="0.3">
      <c r="B11" s="191"/>
      <c r="C11" s="313" t="s">
        <v>228</v>
      </c>
      <c r="D11" s="165"/>
      <c r="E11" s="161"/>
      <c r="H11" s="161"/>
      <c r="I11" s="161"/>
      <c r="K11" s="73"/>
    </row>
    <row r="12" spans="2:11" ht="15.6" customHeight="1" x14ac:dyDescent="0.3">
      <c r="B12" s="191"/>
      <c r="C12" s="313" t="s">
        <v>229</v>
      </c>
      <c r="D12" s="165"/>
      <c r="E12" s="161"/>
      <c r="H12" s="161"/>
      <c r="I12" s="161"/>
      <c r="K12" s="73"/>
    </row>
    <row r="13" spans="2:11" ht="15.6" customHeight="1" x14ac:dyDescent="0.3">
      <c r="B13" s="191"/>
      <c r="C13" s="313" t="s">
        <v>230</v>
      </c>
      <c r="D13" s="165"/>
      <c r="E13" s="161"/>
      <c r="H13" s="161"/>
      <c r="I13" s="161"/>
      <c r="K13" s="73"/>
    </row>
    <row r="14" spans="2:11" ht="15.6" customHeight="1" x14ac:dyDescent="0.3">
      <c r="B14" s="191"/>
      <c r="C14" s="313" t="s">
        <v>231</v>
      </c>
      <c r="D14" s="165"/>
      <c r="E14" s="161"/>
      <c r="H14" s="161"/>
      <c r="I14" s="161"/>
      <c r="K14" s="73"/>
    </row>
    <row r="15" spans="2:11" ht="15.6" customHeight="1" x14ac:dyDescent="0.3">
      <c r="B15" s="191"/>
      <c r="C15" s="313" t="s">
        <v>232</v>
      </c>
      <c r="D15" s="165"/>
      <c r="E15" s="161"/>
      <c r="H15" s="161"/>
      <c r="I15" s="161"/>
      <c r="K15" s="73"/>
    </row>
    <row r="16" spans="2:11" ht="15.6" customHeight="1" x14ac:dyDescent="0.3">
      <c r="B16" s="191"/>
      <c r="C16" s="313" t="s">
        <v>233</v>
      </c>
      <c r="D16" s="165"/>
      <c r="E16" s="161"/>
      <c r="H16" s="161"/>
      <c r="I16" s="161"/>
      <c r="K16" s="73" t="s">
        <v>234</v>
      </c>
    </row>
    <row r="17" spans="2:11" ht="15.6" customHeight="1" x14ac:dyDescent="0.3">
      <c r="B17" s="191"/>
      <c r="C17" s="313" t="s">
        <v>235</v>
      </c>
      <c r="D17" s="165"/>
      <c r="E17" s="161"/>
      <c r="H17" s="161"/>
      <c r="I17" s="161"/>
      <c r="K17" s="73"/>
    </row>
    <row r="18" spans="2:11" ht="15.6" customHeight="1" x14ac:dyDescent="0.3">
      <c r="B18" s="191"/>
      <c r="C18" s="313" t="s">
        <v>236</v>
      </c>
      <c r="D18" s="165"/>
      <c r="E18" s="161"/>
      <c r="H18" s="161"/>
      <c r="I18" s="161"/>
      <c r="K18" s="73"/>
    </row>
    <row r="19" spans="2:11" ht="15.6" customHeight="1" x14ac:dyDescent="0.3">
      <c r="B19" s="191"/>
      <c r="C19" s="313" t="s">
        <v>237</v>
      </c>
      <c r="D19" s="165"/>
      <c r="E19" s="161"/>
      <c r="H19" s="161"/>
      <c r="I19" s="161"/>
      <c r="K19" s="73"/>
    </row>
    <row r="20" spans="2:11" ht="15.6" customHeight="1" x14ac:dyDescent="0.3">
      <c r="B20" s="191"/>
      <c r="C20" s="313" t="s">
        <v>222</v>
      </c>
      <c r="D20" s="165"/>
      <c r="E20" s="161"/>
      <c r="H20" s="161"/>
      <c r="I20" s="161"/>
      <c r="K20" s="73"/>
    </row>
    <row r="21" spans="2:11" ht="16.2" customHeight="1" thickBot="1" x14ac:dyDescent="0.35">
      <c r="B21" s="191"/>
      <c r="C21" s="313" t="s">
        <v>238</v>
      </c>
      <c r="D21" s="166"/>
      <c r="E21" s="161"/>
      <c r="H21" s="161"/>
      <c r="I21" s="161"/>
      <c r="K21" s="73"/>
    </row>
    <row r="22" spans="2:11" ht="16.2" customHeight="1" thickBot="1" x14ac:dyDescent="0.35">
      <c r="B22" s="191"/>
      <c r="C22" s="313" t="s">
        <v>22</v>
      </c>
      <c r="D22" s="167">
        <f>SUM(D10:D21)</f>
        <v>0</v>
      </c>
      <c r="E22" s="167">
        <f>SUM(E10:E21)</f>
        <v>0</v>
      </c>
      <c r="H22" s="161"/>
      <c r="I22" s="161"/>
      <c r="K22" s="73"/>
    </row>
    <row r="23" spans="2:11" ht="16.2" customHeight="1" thickBot="1" x14ac:dyDescent="0.35">
      <c r="B23" s="191"/>
      <c r="C23" s="313" t="s">
        <v>239</v>
      </c>
      <c r="D23" s="167"/>
      <c r="E23" s="162"/>
      <c r="H23" s="161"/>
      <c r="I23" s="161"/>
      <c r="K23" s="73"/>
    </row>
    <row r="24" spans="2:11" ht="16.2" customHeight="1" thickBot="1" x14ac:dyDescent="0.35">
      <c r="B24" s="191"/>
      <c r="C24" s="313" t="s">
        <v>240</v>
      </c>
      <c r="D24" s="163">
        <f>+D22+D23</f>
        <v>0</v>
      </c>
      <c r="E24" s="163">
        <f>+E22+E23</f>
        <v>0</v>
      </c>
      <c r="H24" s="165"/>
      <c r="I24" s="165"/>
      <c r="K24" s="73"/>
    </row>
    <row r="25" spans="2:11" ht="16.2" customHeight="1" thickTop="1" x14ac:dyDescent="0.3">
      <c r="B25" s="191"/>
    </row>
    <row r="26" spans="2:11" ht="15.6" customHeight="1" x14ac:dyDescent="0.3">
      <c r="B26" s="191"/>
      <c r="D26" s="3">
        <v>0</v>
      </c>
    </row>
    <row r="27" spans="2:11" ht="15.6" customHeight="1" x14ac:dyDescent="0.3">
      <c r="B27" s="191"/>
      <c r="C27" s="335" t="s">
        <v>397</v>
      </c>
    </row>
    <row r="28" spans="2:11" ht="26.4" customHeight="1" x14ac:dyDescent="0.3">
      <c r="B28" s="190" t="s">
        <v>241</v>
      </c>
      <c r="C28" s="325" t="s">
        <v>242</v>
      </c>
      <c r="D28" s="25"/>
      <c r="E28" s="25"/>
    </row>
    <row r="29" spans="2:11" ht="15.6" customHeight="1" x14ac:dyDescent="0.3">
      <c r="B29" s="191"/>
      <c r="C29" s="99"/>
    </row>
    <row r="30" spans="2:11" ht="15.6" customHeight="1" x14ac:dyDescent="0.3">
      <c r="B30" s="191"/>
      <c r="C30" s="170" t="s">
        <v>1</v>
      </c>
      <c r="D30" s="324">
        <v>46387</v>
      </c>
    </row>
    <row r="31" spans="2:11" ht="15.6" customHeight="1" x14ac:dyDescent="0.3">
      <c r="B31" s="191"/>
      <c r="C31" s="28"/>
      <c r="D31" s="66" t="s">
        <v>5</v>
      </c>
    </row>
    <row r="32" spans="2:11" ht="15.6" customHeight="1" x14ac:dyDescent="0.3">
      <c r="B32" s="191"/>
      <c r="C32" s="293" t="s">
        <v>243</v>
      </c>
      <c r="D32" s="161">
        <f>+E41</f>
        <v>0</v>
      </c>
    </row>
    <row r="33" spans="2:5" ht="15.6" customHeight="1" x14ac:dyDescent="0.3">
      <c r="B33" s="191"/>
      <c r="C33" s="28"/>
      <c r="D33" s="171"/>
    </row>
    <row r="34" spans="2:5" ht="15.6" customHeight="1" x14ac:dyDescent="0.3">
      <c r="B34" s="191"/>
      <c r="C34" s="293" t="s">
        <v>244</v>
      </c>
      <c r="D34" s="171"/>
    </row>
    <row r="35" spans="2:5" ht="22.8" customHeight="1" x14ac:dyDescent="0.3">
      <c r="B35" s="191"/>
      <c r="C35" s="293" t="s">
        <v>245</v>
      </c>
      <c r="D35" s="188" t="s">
        <v>246</v>
      </c>
    </row>
    <row r="36" spans="2:5" ht="23.4" customHeight="1" thickBot="1" x14ac:dyDescent="0.35">
      <c r="B36" s="191"/>
      <c r="C36" s="293" t="s">
        <v>247</v>
      </c>
      <c r="D36" s="164">
        <v>0</v>
      </c>
    </row>
    <row r="37" spans="2:5" ht="15.6" customHeight="1" x14ac:dyDescent="0.3">
      <c r="B37" s="191"/>
      <c r="C37" s="293" t="s">
        <v>248</v>
      </c>
      <c r="D37" s="161">
        <f>SUM(D35:D36)</f>
        <v>0</v>
      </c>
    </row>
    <row r="38" spans="2:5" ht="15.6" customHeight="1" x14ac:dyDescent="0.3">
      <c r="B38" s="191"/>
      <c r="C38" s="28"/>
      <c r="D38" s="171"/>
    </row>
    <row r="39" spans="2:5" ht="16.2" customHeight="1" thickBot="1" x14ac:dyDescent="0.35">
      <c r="B39" s="191"/>
      <c r="C39" s="293" t="s">
        <v>249</v>
      </c>
      <c r="D39" s="164"/>
    </row>
    <row r="40" spans="2:5" ht="16.2" customHeight="1" thickBot="1" x14ac:dyDescent="0.35">
      <c r="B40" s="191"/>
      <c r="C40" s="28"/>
      <c r="D40" s="172"/>
    </row>
    <row r="41" spans="2:5" ht="16.2" customHeight="1" thickBot="1" x14ac:dyDescent="0.35">
      <c r="B41" s="191"/>
      <c r="C41" s="293" t="s">
        <v>250</v>
      </c>
      <c r="D41" s="164">
        <f>+D39+D37+D32</f>
        <v>0</v>
      </c>
    </row>
    <row r="42" spans="2:5" ht="15.6" customHeight="1" x14ac:dyDescent="0.3">
      <c r="B42" s="191"/>
      <c r="C42" s="169"/>
      <c r="D42" s="3"/>
    </row>
    <row r="43" spans="2:5" ht="15.6" customHeight="1" x14ac:dyDescent="0.3">
      <c r="B43" s="191"/>
    </row>
    <row r="44" spans="2:5" ht="15.6" customHeight="1" x14ac:dyDescent="0.3">
      <c r="B44" s="191"/>
      <c r="C44" s="335" t="s">
        <v>398</v>
      </c>
    </row>
    <row r="45" spans="2:5" ht="26.4" customHeight="1" x14ac:dyDescent="0.3">
      <c r="B45" s="190" t="s">
        <v>251</v>
      </c>
      <c r="C45" s="325" t="s">
        <v>252</v>
      </c>
      <c r="D45" s="25"/>
      <c r="E45" s="25"/>
    </row>
    <row r="46" spans="2:5" ht="15.6" customHeight="1" x14ac:dyDescent="0.3">
      <c r="B46" s="191"/>
      <c r="C46" s="82"/>
    </row>
    <row r="47" spans="2:5" ht="15.6" customHeight="1" x14ac:dyDescent="0.3">
      <c r="B47" s="191"/>
      <c r="D47" s="324">
        <v>46387</v>
      </c>
    </row>
    <row r="48" spans="2:5" ht="15.6" customHeight="1" x14ac:dyDescent="0.3">
      <c r="B48" s="191"/>
      <c r="D48" s="173" t="s">
        <v>5</v>
      </c>
    </row>
    <row r="49" spans="2:6" ht="15.6" customHeight="1" x14ac:dyDescent="0.3">
      <c r="B49" s="191"/>
      <c r="C49" s="175" t="s">
        <v>254</v>
      </c>
    </row>
    <row r="50" spans="2:6" ht="16.2" customHeight="1" thickBot="1" x14ac:dyDescent="0.35">
      <c r="B50" s="191"/>
      <c r="C50" s="174" t="s">
        <v>255</v>
      </c>
      <c r="D50" s="176"/>
    </row>
    <row r="51" spans="2:6" ht="16.2" customHeight="1" thickBot="1" x14ac:dyDescent="0.35">
      <c r="B51" s="191"/>
      <c r="C51" s="174" t="s">
        <v>57</v>
      </c>
      <c r="D51" s="177">
        <f>+D50</f>
        <v>0</v>
      </c>
    </row>
    <row r="52" spans="2:6" ht="16.2" customHeight="1" thickTop="1" x14ac:dyDescent="0.3">
      <c r="B52" s="191"/>
      <c r="C52" s="175" t="s">
        <v>256</v>
      </c>
      <c r="D52" s="178"/>
    </row>
    <row r="53" spans="2:6" ht="15.6" customHeight="1" x14ac:dyDescent="0.3">
      <c r="B53" s="191"/>
      <c r="C53" s="174" t="s">
        <v>257</v>
      </c>
      <c r="D53" s="179"/>
    </row>
    <row r="54" spans="2:6" ht="16.2" customHeight="1" thickBot="1" x14ac:dyDescent="0.35">
      <c r="B54" s="191"/>
      <c r="C54" s="174" t="s">
        <v>258</v>
      </c>
      <c r="D54" s="176">
        <v>0</v>
      </c>
    </row>
    <row r="55" spans="2:6" ht="16.2" customHeight="1" thickBot="1" x14ac:dyDescent="0.35">
      <c r="B55" s="191"/>
      <c r="C55" s="174" t="s">
        <v>57</v>
      </c>
      <c r="D55" s="177">
        <f>+D53+D54</f>
        <v>0</v>
      </c>
    </row>
    <row r="56" spans="2:6" ht="16.2" customHeight="1" thickTop="1" x14ac:dyDescent="0.3">
      <c r="B56" s="191"/>
      <c r="C56" s="169"/>
      <c r="D56" s="3"/>
    </row>
    <row r="57" spans="2:6" ht="15.6" customHeight="1" x14ac:dyDescent="0.3">
      <c r="B57" s="191"/>
      <c r="C57" s="335" t="s">
        <v>399</v>
      </c>
    </row>
    <row r="58" spans="2:6" ht="26.4" customHeight="1" x14ac:dyDescent="0.3">
      <c r="B58" s="190" t="s">
        <v>259</v>
      </c>
      <c r="C58" s="326" t="s">
        <v>260</v>
      </c>
      <c r="D58" s="25"/>
      <c r="E58" s="25"/>
    </row>
    <row r="59" spans="2:6" ht="15.6" customHeight="1" x14ac:dyDescent="0.3">
      <c r="B59" s="191"/>
      <c r="C59" s="169"/>
    </row>
    <row r="60" spans="2:6" ht="15.6" customHeight="1" x14ac:dyDescent="0.3">
      <c r="B60" s="191"/>
      <c r="C60" s="412" t="s">
        <v>261</v>
      </c>
      <c r="D60" s="324">
        <v>46387</v>
      </c>
      <c r="F60" s="31"/>
    </row>
    <row r="61" spans="2:6" ht="15.6" customHeight="1" x14ac:dyDescent="0.3">
      <c r="B61" s="191"/>
      <c r="C61" s="406"/>
      <c r="D61" s="9" t="s">
        <v>5</v>
      </c>
      <c r="F61" s="32"/>
    </row>
    <row r="62" spans="2:6" ht="15.6" customHeight="1" x14ac:dyDescent="0.3">
      <c r="B62" s="191"/>
      <c r="C62" s="290" t="s">
        <v>262</v>
      </c>
      <c r="D62" s="9"/>
      <c r="F62" s="34"/>
    </row>
    <row r="63" spans="2:6" ht="15.6" customHeight="1" x14ac:dyDescent="0.3">
      <c r="B63" s="191"/>
      <c r="C63" s="290" t="s">
        <v>263</v>
      </c>
      <c r="D63" s="13"/>
      <c r="F63" s="34"/>
    </row>
    <row r="64" spans="2:6" ht="23.4" customHeight="1" thickBot="1" x14ac:dyDescent="0.35">
      <c r="B64" s="191"/>
      <c r="C64" s="290" t="s">
        <v>264</v>
      </c>
      <c r="D64" s="180"/>
      <c r="F64" s="34"/>
    </row>
    <row r="65" spans="2:6" ht="16.2" customHeight="1" thickBot="1" x14ac:dyDescent="0.35">
      <c r="B65" s="191"/>
      <c r="C65" s="174" t="s">
        <v>265</v>
      </c>
      <c r="D65" s="180">
        <f>SUM(D63:D64)</f>
        <v>0</v>
      </c>
      <c r="F65" s="34"/>
    </row>
    <row r="66" spans="2:6" ht="15.6" customHeight="1" x14ac:dyDescent="0.3">
      <c r="B66" s="191"/>
      <c r="D66" s="2">
        <v>0</v>
      </c>
    </row>
    <row r="67" spans="2:6" ht="15.6" customHeight="1" x14ac:dyDescent="0.3">
      <c r="B67" s="191"/>
      <c r="C67" s="335" t="s">
        <v>400</v>
      </c>
    </row>
    <row r="68" spans="2:6" ht="15.6" customHeight="1" x14ac:dyDescent="0.3">
      <c r="B68" s="190" t="s">
        <v>266</v>
      </c>
      <c r="C68" s="325" t="s">
        <v>267</v>
      </c>
      <c r="D68" s="25"/>
      <c r="E68" s="25"/>
    </row>
    <row r="69" spans="2:6" ht="15.6" customHeight="1" x14ac:dyDescent="0.3">
      <c r="B69" s="191"/>
      <c r="C69" s="181"/>
    </row>
    <row r="70" spans="2:6" ht="15.6" customHeight="1" x14ac:dyDescent="0.3">
      <c r="B70" s="191"/>
      <c r="D70" s="324">
        <v>46387</v>
      </c>
    </row>
    <row r="71" spans="2:6" ht="15.6" customHeight="1" x14ac:dyDescent="0.3">
      <c r="B71" s="191"/>
      <c r="D71" s="55" t="s">
        <v>5</v>
      </c>
    </row>
    <row r="72" spans="2:6" x14ac:dyDescent="0.3">
      <c r="C72" s="327" t="s">
        <v>268</v>
      </c>
      <c r="D72" s="185">
        <v>-53463806.443000004</v>
      </c>
    </row>
    <row r="73" spans="2:6" x14ac:dyDescent="0.3">
      <c r="C73" s="182"/>
      <c r="D73" s="186"/>
    </row>
    <row r="74" spans="2:6" x14ac:dyDescent="0.3">
      <c r="C74" s="183" t="s">
        <v>269</v>
      </c>
      <c r="D74" s="161"/>
    </row>
    <row r="75" spans="2:6" x14ac:dyDescent="0.3">
      <c r="C75" s="183" t="s">
        <v>270</v>
      </c>
      <c r="D75" s="161"/>
    </row>
    <row r="76" spans="2:6" x14ac:dyDescent="0.3">
      <c r="C76" s="183" t="s">
        <v>271</v>
      </c>
      <c r="D76" s="161"/>
    </row>
    <row r="77" spans="2:6" x14ac:dyDescent="0.3">
      <c r="C77" s="303" t="s">
        <v>272</v>
      </c>
      <c r="D77" s="161"/>
    </row>
    <row r="78" spans="2:6" x14ac:dyDescent="0.3">
      <c r="C78" s="303" t="s">
        <v>273</v>
      </c>
      <c r="D78" s="187"/>
    </row>
    <row r="79" spans="2:6" x14ac:dyDescent="0.3">
      <c r="C79" s="303" t="s">
        <v>274</v>
      </c>
      <c r="D79" s="161"/>
    </row>
    <row r="80" spans="2:6" x14ac:dyDescent="0.3">
      <c r="C80" s="303" t="s">
        <v>275</v>
      </c>
      <c r="D80" s="161"/>
    </row>
    <row r="81" spans="3:8" x14ac:dyDescent="0.3">
      <c r="C81" s="303" t="s">
        <v>276</v>
      </c>
      <c r="D81" s="161"/>
    </row>
    <row r="82" spans="3:8" x14ac:dyDescent="0.3">
      <c r="C82" s="313" t="s">
        <v>277</v>
      </c>
      <c r="D82" s="161"/>
    </row>
    <row r="83" spans="3:8" x14ac:dyDescent="0.3">
      <c r="C83" s="303" t="s">
        <v>278</v>
      </c>
      <c r="D83" s="161"/>
    </row>
    <row r="84" spans="3:8" x14ac:dyDescent="0.3">
      <c r="C84" s="303" t="s">
        <v>279</v>
      </c>
      <c r="D84" s="161"/>
    </row>
    <row r="85" spans="3:8" x14ac:dyDescent="0.3">
      <c r="C85" s="303" t="s">
        <v>280</v>
      </c>
      <c r="D85" s="161"/>
    </row>
    <row r="86" spans="3:8" ht="15" customHeight="1" thickBot="1" x14ac:dyDescent="0.35">
      <c r="C86" s="303" t="s">
        <v>281</v>
      </c>
      <c r="D86" s="164"/>
      <c r="H86" s="192"/>
    </row>
    <row r="87" spans="3:8" x14ac:dyDescent="0.3">
      <c r="C87" s="183" t="s">
        <v>282</v>
      </c>
      <c r="D87" s="189">
        <f>SUM(D74:D86)</f>
        <v>0</v>
      </c>
    </row>
    <row r="88" spans="3:8" x14ac:dyDescent="0.3">
      <c r="C88" s="182"/>
      <c r="D88" s="188"/>
    </row>
    <row r="89" spans="3:8" x14ac:dyDescent="0.3">
      <c r="C89" s="327" t="s">
        <v>283</v>
      </c>
      <c r="D89" s="192">
        <f>+D87/-D72</f>
        <v>0</v>
      </c>
    </row>
    <row r="90" spans="3:8" x14ac:dyDescent="0.3">
      <c r="D90" s="3"/>
    </row>
    <row r="91" spans="3:8" x14ac:dyDescent="0.3">
      <c r="D91" s="3"/>
    </row>
  </sheetData>
  <mergeCells count="2">
    <mergeCell ref="C5:F5"/>
    <mergeCell ref="C60:C6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F0"/>
  </sheetPr>
  <dimension ref="B3:E7"/>
  <sheetViews>
    <sheetView showGridLines="0" topLeftCell="A6" workbookViewId="0">
      <selection activeCell="F2" sqref="F2:F10"/>
    </sheetView>
  </sheetViews>
  <sheetFormatPr baseColWidth="10" defaultRowHeight="14.4" x14ac:dyDescent="0.3"/>
  <cols>
    <col min="3" max="3" width="28" customWidth="1"/>
  </cols>
  <sheetData>
    <row r="3" spans="2:5" x14ac:dyDescent="0.3">
      <c r="B3" s="335" t="s">
        <v>395</v>
      </c>
    </row>
    <row r="4" spans="2:5" x14ac:dyDescent="0.3">
      <c r="B4" s="225"/>
      <c r="C4" s="225"/>
      <c r="D4" s="225"/>
      <c r="E4" s="328">
        <v>46022</v>
      </c>
    </row>
    <row r="5" spans="2:5" ht="15" customHeight="1" thickBot="1" x14ac:dyDescent="0.35">
      <c r="B5" s="329" t="s">
        <v>284</v>
      </c>
      <c r="C5" s="329" t="s">
        <v>285</v>
      </c>
      <c r="D5" s="329" t="s">
        <v>286</v>
      </c>
      <c r="E5" s="277" t="s">
        <v>5</v>
      </c>
    </row>
    <row r="6" spans="2:5" ht="15" customHeight="1" thickBot="1" x14ac:dyDescent="0.35">
      <c r="B6" s="225" t="s">
        <v>287</v>
      </c>
      <c r="C6" s="313" t="s">
        <v>288</v>
      </c>
      <c r="D6" s="278">
        <v>1</v>
      </c>
      <c r="E6" s="329" t="s">
        <v>289</v>
      </c>
    </row>
    <row r="7" spans="2:5" ht="15" customHeight="1" thickBot="1" x14ac:dyDescent="0.35">
      <c r="B7" s="225"/>
      <c r="C7" s="303" t="s">
        <v>57</v>
      </c>
      <c r="D7" s="225"/>
      <c r="E7" s="329" t="s">
        <v>246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F0"/>
  </sheetPr>
  <dimension ref="C1:K43"/>
  <sheetViews>
    <sheetView showGridLines="0" workbookViewId="0">
      <selection activeCell="G2" sqref="G2:G8"/>
    </sheetView>
  </sheetViews>
  <sheetFormatPr baseColWidth="10" defaultRowHeight="14.4" x14ac:dyDescent="0.3"/>
  <cols>
    <col min="3" max="3" width="32.88671875" customWidth="1"/>
  </cols>
  <sheetData>
    <row r="1" spans="3:11" ht="37.799999999999997" customHeight="1" x14ac:dyDescent="0.3">
      <c r="C1" s="416" t="s">
        <v>290</v>
      </c>
      <c r="D1" s="406"/>
      <c r="E1" s="406"/>
      <c r="F1" s="406"/>
      <c r="G1" s="406"/>
      <c r="H1" s="406"/>
      <c r="I1" s="406"/>
      <c r="J1" s="406"/>
    </row>
    <row r="2" spans="3:11" x14ac:dyDescent="0.3">
      <c r="C2" s="200"/>
      <c r="D2" s="200"/>
      <c r="E2" s="200"/>
      <c r="F2" s="200"/>
      <c r="G2" s="200"/>
      <c r="H2" s="12"/>
    </row>
    <row r="3" spans="3:11" x14ac:dyDescent="0.3">
      <c r="C3" s="335" t="s">
        <v>394</v>
      </c>
      <c r="D3" s="313" t="s">
        <v>291</v>
      </c>
      <c r="E3" s="193"/>
      <c r="G3" s="200"/>
      <c r="H3" s="201"/>
    </row>
    <row r="4" spans="3:11" x14ac:dyDescent="0.3">
      <c r="C4" s="312" t="s">
        <v>292</v>
      </c>
      <c r="D4" s="312" t="s">
        <v>293</v>
      </c>
      <c r="E4" s="312" t="s">
        <v>60</v>
      </c>
      <c r="F4" s="204">
        <v>46203</v>
      </c>
      <c r="G4" s="200"/>
      <c r="H4" s="203"/>
    </row>
    <row r="5" spans="3:11" x14ac:dyDescent="0.3">
      <c r="C5" s="202"/>
      <c r="D5" s="76"/>
      <c r="E5" s="193"/>
      <c r="F5" s="62" t="s">
        <v>5</v>
      </c>
      <c r="G5" s="200"/>
      <c r="H5" s="76"/>
    </row>
    <row r="6" spans="3:11" ht="15" customHeight="1" x14ac:dyDescent="0.3">
      <c r="C6" s="313" t="s">
        <v>294</v>
      </c>
      <c r="D6" s="313" t="s">
        <v>295</v>
      </c>
      <c r="E6" s="313" t="s">
        <v>181</v>
      </c>
      <c r="F6" s="68">
        <v>0</v>
      </c>
      <c r="G6" s="200"/>
      <c r="H6" s="205"/>
    </row>
    <row r="7" spans="3:11" ht="15" customHeight="1" thickBot="1" x14ac:dyDescent="0.35">
      <c r="C7" s="313" t="s">
        <v>57</v>
      </c>
      <c r="D7" s="193"/>
      <c r="E7" s="62"/>
      <c r="F7" s="263">
        <f>+F6</f>
        <v>0</v>
      </c>
      <c r="G7" s="200"/>
      <c r="H7" s="205"/>
    </row>
    <row r="8" spans="3:11" x14ac:dyDescent="0.3">
      <c r="C8" s="99"/>
      <c r="G8" s="200"/>
      <c r="H8" s="205"/>
    </row>
    <row r="9" spans="3:11" x14ac:dyDescent="0.3">
      <c r="C9" s="169"/>
    </row>
    <row r="10" spans="3:11" ht="26.4" customHeight="1" x14ac:dyDescent="0.3">
      <c r="C10" s="330" t="s">
        <v>296</v>
      </c>
    </row>
    <row r="11" spans="3:11" x14ac:dyDescent="0.3">
      <c r="C11" s="366" t="s">
        <v>416</v>
      </c>
    </row>
    <row r="12" spans="3:11" s="97" customFormat="1" x14ac:dyDescent="0.3">
      <c r="C12" s="392">
        <v>2026</v>
      </c>
    </row>
    <row r="13" spans="3:11" ht="19.2" customHeight="1" x14ac:dyDescent="0.3">
      <c r="C13" s="90"/>
      <c r="D13" s="90"/>
      <c r="E13" s="90" t="s">
        <v>297</v>
      </c>
      <c r="F13" s="90" t="s">
        <v>298</v>
      </c>
      <c r="G13" s="196"/>
      <c r="H13" s="207"/>
      <c r="I13" s="207"/>
      <c r="J13" s="207"/>
      <c r="K13" s="207"/>
    </row>
    <row r="14" spans="3:11" ht="29.4" customHeight="1" thickBot="1" x14ac:dyDescent="0.35">
      <c r="C14" s="194" t="s">
        <v>299</v>
      </c>
      <c r="D14" s="194" t="s">
        <v>292</v>
      </c>
      <c r="E14" s="195"/>
      <c r="F14" s="194" t="s">
        <v>300</v>
      </c>
      <c r="G14" s="197" t="s">
        <v>60</v>
      </c>
      <c r="H14" s="204">
        <v>46203</v>
      </c>
      <c r="I14" s="204">
        <v>46022</v>
      </c>
      <c r="J14" s="207" t="s">
        <v>301</v>
      </c>
      <c r="K14" s="208"/>
    </row>
    <row r="15" spans="3:11" x14ac:dyDescent="0.3">
      <c r="C15" s="105"/>
      <c r="D15" s="90"/>
      <c r="E15" s="90"/>
      <c r="F15" s="90"/>
      <c r="G15" s="196"/>
      <c r="H15" s="206" t="s">
        <v>5</v>
      </c>
      <c r="I15" s="206" t="s">
        <v>5</v>
      </c>
      <c r="J15" s="206" t="s">
        <v>5</v>
      </c>
    </row>
    <row r="16" spans="3:11" ht="19.2" customHeight="1" x14ac:dyDescent="0.3">
      <c r="C16" s="105" t="s">
        <v>302</v>
      </c>
      <c r="D16" s="90" t="s">
        <v>303</v>
      </c>
      <c r="E16" s="90" t="s">
        <v>304</v>
      </c>
      <c r="F16" s="242" t="s">
        <v>305</v>
      </c>
      <c r="G16" s="196" t="s">
        <v>306</v>
      </c>
      <c r="H16" s="68">
        <v>0</v>
      </c>
      <c r="I16" s="68">
        <v>0</v>
      </c>
      <c r="J16" s="264" t="s">
        <v>246</v>
      </c>
      <c r="K16" s="101"/>
    </row>
    <row r="17" spans="3:11" ht="19.2" customHeight="1" x14ac:dyDescent="0.3">
      <c r="C17" s="105" t="s">
        <v>307</v>
      </c>
      <c r="D17" s="90" t="s">
        <v>303</v>
      </c>
      <c r="E17" s="90" t="s">
        <v>304</v>
      </c>
      <c r="F17" s="242" t="s">
        <v>305</v>
      </c>
      <c r="G17" s="196" t="s">
        <v>306</v>
      </c>
      <c r="H17" s="68">
        <v>0</v>
      </c>
      <c r="I17" s="68">
        <v>0</v>
      </c>
      <c r="J17" s="264" t="s">
        <v>246</v>
      </c>
      <c r="K17" s="101"/>
    </row>
    <row r="18" spans="3:11" ht="19.2" customHeight="1" x14ac:dyDescent="0.3">
      <c r="C18" s="105" t="s">
        <v>302</v>
      </c>
      <c r="D18" s="90" t="s">
        <v>303</v>
      </c>
      <c r="E18" s="90" t="s">
        <v>304</v>
      </c>
      <c r="F18" s="242" t="s">
        <v>305</v>
      </c>
      <c r="G18" s="196" t="s">
        <v>306</v>
      </c>
      <c r="H18" s="68">
        <v>0</v>
      </c>
      <c r="I18" s="68">
        <v>0</v>
      </c>
      <c r="J18" s="264" t="s">
        <v>246</v>
      </c>
      <c r="K18" s="101"/>
    </row>
    <row r="19" spans="3:11" ht="19.2" customHeight="1" x14ac:dyDescent="0.3">
      <c r="C19" s="105" t="s">
        <v>308</v>
      </c>
      <c r="D19" s="90" t="s">
        <v>303</v>
      </c>
      <c r="E19" s="90" t="s">
        <v>304</v>
      </c>
      <c r="F19" s="242" t="s">
        <v>305</v>
      </c>
      <c r="G19" s="196" t="s">
        <v>306</v>
      </c>
      <c r="H19" s="68">
        <v>0</v>
      </c>
      <c r="I19" s="68">
        <v>0</v>
      </c>
      <c r="J19" s="264" t="s">
        <v>246</v>
      </c>
      <c r="K19" s="101"/>
    </row>
    <row r="20" spans="3:11" ht="19.2" customHeight="1" x14ac:dyDescent="0.3">
      <c r="C20" s="105" t="s">
        <v>309</v>
      </c>
      <c r="D20" s="90" t="s">
        <v>303</v>
      </c>
      <c r="E20" s="90" t="s">
        <v>304</v>
      </c>
      <c r="F20" s="242" t="s">
        <v>305</v>
      </c>
      <c r="G20" s="196" t="s">
        <v>306</v>
      </c>
      <c r="H20" s="68">
        <v>0</v>
      </c>
      <c r="I20" s="68">
        <v>0</v>
      </c>
      <c r="J20" s="264" t="s">
        <v>246</v>
      </c>
      <c r="K20" s="101"/>
    </row>
    <row r="21" spans="3:11" ht="19.2" customHeight="1" x14ac:dyDescent="0.3">
      <c r="C21" s="105" t="s">
        <v>310</v>
      </c>
      <c r="D21" s="90" t="s">
        <v>303</v>
      </c>
      <c r="E21" s="90" t="s">
        <v>304</v>
      </c>
      <c r="F21" s="242" t="s">
        <v>305</v>
      </c>
      <c r="G21" s="196" t="s">
        <v>306</v>
      </c>
      <c r="H21" s="68">
        <v>0</v>
      </c>
      <c r="I21" s="68">
        <v>0</v>
      </c>
      <c r="J21" s="264" t="s">
        <v>246</v>
      </c>
      <c r="K21" s="101"/>
    </row>
    <row r="22" spans="3:11" ht="19.2" customHeight="1" x14ac:dyDescent="0.3">
      <c r="C22" s="105" t="s">
        <v>311</v>
      </c>
      <c r="D22" s="90" t="s">
        <v>303</v>
      </c>
      <c r="E22" s="90" t="s">
        <v>304</v>
      </c>
      <c r="F22" s="242" t="s">
        <v>305</v>
      </c>
      <c r="G22" s="196" t="s">
        <v>306</v>
      </c>
      <c r="H22" s="68">
        <v>0</v>
      </c>
      <c r="I22" s="68">
        <v>0</v>
      </c>
      <c r="J22" s="264" t="s">
        <v>246</v>
      </c>
      <c r="K22" s="101"/>
    </row>
    <row r="23" spans="3:11" ht="19.2" customHeight="1" x14ac:dyDescent="0.3">
      <c r="C23" s="105" t="s">
        <v>312</v>
      </c>
      <c r="D23" s="90" t="s">
        <v>303</v>
      </c>
      <c r="E23" s="90" t="s">
        <v>304</v>
      </c>
      <c r="F23" s="242" t="s">
        <v>305</v>
      </c>
      <c r="G23" s="196" t="s">
        <v>306</v>
      </c>
      <c r="H23" s="68">
        <v>0</v>
      </c>
      <c r="I23" s="68">
        <v>0</v>
      </c>
      <c r="J23" s="264" t="s">
        <v>246</v>
      </c>
      <c r="K23" s="101"/>
    </row>
    <row r="24" spans="3:11" ht="19.2" customHeight="1" x14ac:dyDescent="0.3">
      <c r="C24" s="105" t="s">
        <v>313</v>
      </c>
      <c r="D24" s="90" t="s">
        <v>303</v>
      </c>
      <c r="E24" s="90" t="s">
        <v>304</v>
      </c>
      <c r="F24" s="242" t="s">
        <v>305</v>
      </c>
      <c r="G24" s="196" t="s">
        <v>306</v>
      </c>
      <c r="H24" s="68">
        <v>0</v>
      </c>
      <c r="I24" s="68">
        <v>0</v>
      </c>
      <c r="J24" s="264" t="s">
        <v>246</v>
      </c>
      <c r="K24" s="101"/>
    </row>
    <row r="25" spans="3:11" ht="19.2" customHeight="1" x14ac:dyDescent="0.3">
      <c r="C25" s="105" t="s">
        <v>314</v>
      </c>
      <c r="D25" s="90" t="s">
        <v>303</v>
      </c>
      <c r="E25" s="90" t="s">
        <v>304</v>
      </c>
      <c r="F25" s="242" t="s">
        <v>305</v>
      </c>
      <c r="G25" s="196" t="s">
        <v>306</v>
      </c>
      <c r="H25" s="68">
        <v>0</v>
      </c>
      <c r="I25" s="68">
        <v>0</v>
      </c>
      <c r="J25" s="264" t="s">
        <v>246</v>
      </c>
      <c r="K25" s="101"/>
    </row>
    <row r="26" spans="3:11" ht="19.2" customHeight="1" x14ac:dyDescent="0.3">
      <c r="C26" s="105" t="s">
        <v>315</v>
      </c>
      <c r="D26" s="90" t="s">
        <v>303</v>
      </c>
      <c r="E26" s="90" t="s">
        <v>304</v>
      </c>
      <c r="F26" s="242" t="s">
        <v>305</v>
      </c>
      <c r="G26" s="196" t="s">
        <v>306</v>
      </c>
      <c r="H26" s="68">
        <v>0</v>
      </c>
      <c r="I26" s="68">
        <v>0</v>
      </c>
      <c r="J26" s="264" t="s">
        <v>246</v>
      </c>
      <c r="K26" s="101"/>
    </row>
    <row r="27" spans="3:11" ht="19.2" customHeight="1" x14ac:dyDescent="0.3">
      <c r="C27" s="105" t="s">
        <v>316</v>
      </c>
      <c r="D27" s="90" t="s">
        <v>303</v>
      </c>
      <c r="E27" s="90" t="s">
        <v>304</v>
      </c>
      <c r="F27" s="242" t="s">
        <v>305</v>
      </c>
      <c r="G27" s="196" t="s">
        <v>306</v>
      </c>
      <c r="H27" s="68">
        <v>0</v>
      </c>
      <c r="I27" s="68">
        <v>0</v>
      </c>
      <c r="J27" s="264" t="s">
        <v>246</v>
      </c>
      <c r="K27" s="101"/>
    </row>
    <row r="28" spans="3:11" ht="19.2" customHeight="1" x14ac:dyDescent="0.3">
      <c r="C28" s="105" t="s">
        <v>317</v>
      </c>
      <c r="D28" s="90" t="s">
        <v>303</v>
      </c>
      <c r="E28" s="90" t="s">
        <v>304</v>
      </c>
      <c r="F28" s="242" t="s">
        <v>305</v>
      </c>
      <c r="G28" s="196" t="s">
        <v>306</v>
      </c>
      <c r="H28" s="68">
        <v>0</v>
      </c>
      <c r="I28" s="68">
        <v>0</v>
      </c>
      <c r="J28" s="264" t="s">
        <v>246</v>
      </c>
      <c r="K28" s="101"/>
    </row>
    <row r="29" spans="3:11" ht="19.2" customHeight="1" x14ac:dyDescent="0.3">
      <c r="C29" s="105" t="s">
        <v>318</v>
      </c>
      <c r="D29" s="90" t="s">
        <v>303</v>
      </c>
      <c r="E29" s="90" t="s">
        <v>304</v>
      </c>
      <c r="F29" s="242" t="s">
        <v>305</v>
      </c>
      <c r="G29" s="196" t="s">
        <v>306</v>
      </c>
      <c r="H29" s="68">
        <v>0</v>
      </c>
      <c r="I29" s="68">
        <v>0</v>
      </c>
      <c r="J29" s="264" t="s">
        <v>246</v>
      </c>
      <c r="K29" s="101"/>
    </row>
    <row r="30" spans="3:11" ht="19.2" customHeight="1" x14ac:dyDescent="0.3">
      <c r="C30" s="105" t="s">
        <v>319</v>
      </c>
      <c r="D30" s="90" t="s">
        <v>303</v>
      </c>
      <c r="E30" s="90" t="s">
        <v>304</v>
      </c>
      <c r="F30" s="242" t="s">
        <v>305</v>
      </c>
      <c r="G30" s="196" t="s">
        <v>306</v>
      </c>
      <c r="H30" s="68">
        <v>0</v>
      </c>
      <c r="I30" s="68">
        <v>0</v>
      </c>
      <c r="J30" s="264" t="s">
        <v>246</v>
      </c>
      <c r="K30" s="101"/>
    </row>
    <row r="31" spans="3:11" ht="19.2" customHeight="1" x14ac:dyDescent="0.3">
      <c r="C31" s="105" t="s">
        <v>320</v>
      </c>
      <c r="D31" s="90" t="s">
        <v>303</v>
      </c>
      <c r="E31" s="90" t="s">
        <v>304</v>
      </c>
      <c r="F31" s="242" t="s">
        <v>305</v>
      </c>
      <c r="G31" s="196" t="s">
        <v>306</v>
      </c>
      <c r="H31" s="68">
        <v>0</v>
      </c>
      <c r="I31" s="68">
        <v>0</v>
      </c>
      <c r="J31" s="264" t="s">
        <v>246</v>
      </c>
      <c r="K31" s="101"/>
    </row>
    <row r="32" spans="3:11" ht="19.2" customHeight="1" x14ac:dyDescent="0.3">
      <c r="C32" s="105" t="s">
        <v>321</v>
      </c>
      <c r="D32" s="90" t="s">
        <v>303</v>
      </c>
      <c r="E32" s="90" t="s">
        <v>304</v>
      </c>
      <c r="F32" s="242" t="s">
        <v>305</v>
      </c>
      <c r="G32" s="196" t="s">
        <v>306</v>
      </c>
      <c r="H32" s="68">
        <v>0</v>
      </c>
      <c r="I32" s="68">
        <v>0</v>
      </c>
      <c r="J32" s="264" t="s">
        <v>246</v>
      </c>
      <c r="K32" s="101"/>
    </row>
    <row r="33" spans="3:11" ht="19.2" customHeight="1" x14ac:dyDescent="0.3">
      <c r="C33" s="105" t="s">
        <v>322</v>
      </c>
      <c r="D33" s="90" t="s">
        <v>303</v>
      </c>
      <c r="E33" s="90" t="s">
        <v>304</v>
      </c>
      <c r="F33" s="242" t="s">
        <v>305</v>
      </c>
      <c r="G33" s="196" t="s">
        <v>306</v>
      </c>
      <c r="H33" s="68">
        <v>0</v>
      </c>
      <c r="I33" s="68">
        <v>0</v>
      </c>
      <c r="J33" s="264" t="s">
        <v>246</v>
      </c>
      <c r="K33" s="101"/>
    </row>
    <row r="34" spans="3:11" ht="19.2" customHeight="1" x14ac:dyDescent="0.3">
      <c r="C34" s="105" t="s">
        <v>323</v>
      </c>
      <c r="D34" s="90" t="s">
        <v>303</v>
      </c>
      <c r="E34" s="90" t="s">
        <v>304</v>
      </c>
      <c r="F34" s="242" t="s">
        <v>305</v>
      </c>
      <c r="G34" s="196" t="s">
        <v>306</v>
      </c>
      <c r="H34" s="68">
        <v>0</v>
      </c>
      <c r="I34" s="68">
        <v>0</v>
      </c>
      <c r="J34" s="264" t="s">
        <v>246</v>
      </c>
      <c r="K34" s="101"/>
    </row>
    <row r="35" spans="3:11" ht="19.2" customHeight="1" x14ac:dyDescent="0.3">
      <c r="C35" s="105" t="s">
        <v>324</v>
      </c>
      <c r="D35" s="90" t="s">
        <v>303</v>
      </c>
      <c r="E35" s="90" t="s">
        <v>304</v>
      </c>
      <c r="F35" s="242" t="s">
        <v>305</v>
      </c>
      <c r="G35" s="196" t="s">
        <v>306</v>
      </c>
      <c r="H35" s="68">
        <v>0</v>
      </c>
      <c r="I35" s="68">
        <v>0</v>
      </c>
      <c r="J35" s="264" t="s">
        <v>246</v>
      </c>
      <c r="K35" s="101"/>
    </row>
    <row r="36" spans="3:11" ht="19.2" customHeight="1" x14ac:dyDescent="0.3">
      <c r="C36" s="105" t="s">
        <v>323</v>
      </c>
      <c r="D36" s="90" t="s">
        <v>303</v>
      </c>
      <c r="E36" s="90" t="s">
        <v>304</v>
      </c>
      <c r="F36" s="242" t="s">
        <v>305</v>
      </c>
      <c r="G36" s="196" t="s">
        <v>306</v>
      </c>
      <c r="H36" s="68">
        <v>0</v>
      </c>
      <c r="I36" s="68">
        <v>0</v>
      </c>
      <c r="J36" s="264" t="s">
        <v>246</v>
      </c>
      <c r="K36" s="101"/>
    </row>
    <row r="37" spans="3:11" ht="19.2" customHeight="1" x14ac:dyDescent="0.3">
      <c r="C37" s="105" t="s">
        <v>322</v>
      </c>
      <c r="D37" s="90" t="s">
        <v>303</v>
      </c>
      <c r="E37" s="90" t="s">
        <v>304</v>
      </c>
      <c r="F37" s="242" t="s">
        <v>305</v>
      </c>
      <c r="G37" s="196" t="s">
        <v>306</v>
      </c>
      <c r="H37" s="68">
        <v>0</v>
      </c>
      <c r="I37" s="68">
        <v>0</v>
      </c>
      <c r="J37" s="264" t="s">
        <v>246</v>
      </c>
      <c r="K37" s="101"/>
    </row>
    <row r="38" spans="3:11" ht="19.2" customHeight="1" x14ac:dyDescent="0.3">
      <c r="C38" s="105" t="s">
        <v>321</v>
      </c>
      <c r="D38" s="90" t="s">
        <v>303</v>
      </c>
      <c r="E38" s="90" t="s">
        <v>304</v>
      </c>
      <c r="F38" s="242" t="s">
        <v>305</v>
      </c>
      <c r="G38" s="196" t="s">
        <v>306</v>
      </c>
      <c r="H38" s="68">
        <v>0</v>
      </c>
      <c r="I38" s="68">
        <v>0</v>
      </c>
      <c r="J38" s="264" t="s">
        <v>246</v>
      </c>
    </row>
    <row r="39" spans="3:11" ht="15" customHeight="1" thickBot="1" x14ac:dyDescent="0.35">
      <c r="C39" s="198"/>
      <c r="D39" s="194"/>
      <c r="E39" s="194"/>
      <c r="F39" s="194"/>
      <c r="G39" s="197"/>
      <c r="H39" s="100"/>
      <c r="I39" s="100"/>
      <c r="J39" s="100"/>
      <c r="K39" s="100"/>
    </row>
    <row r="40" spans="3:11" x14ac:dyDescent="0.3">
      <c r="C40" s="184"/>
      <c r="D40" s="183"/>
      <c r="E40" s="183"/>
      <c r="F40" s="183"/>
      <c r="G40" s="413"/>
      <c r="H40" s="414"/>
      <c r="I40" s="199"/>
      <c r="J40" s="415"/>
      <c r="K40" s="414"/>
    </row>
    <row r="41" spans="3:11" x14ac:dyDescent="0.3">
      <c r="C41" s="182"/>
      <c r="D41" s="182"/>
      <c r="E41" s="182"/>
      <c r="F41" s="182"/>
      <c r="G41" s="182"/>
      <c r="H41" s="182"/>
      <c r="I41" s="182"/>
      <c r="J41" s="182"/>
      <c r="K41" s="182"/>
    </row>
    <row r="42" spans="3:11" x14ac:dyDescent="0.3">
      <c r="C42" s="99"/>
    </row>
    <row r="43" spans="3:11" x14ac:dyDescent="0.3">
      <c r="C43" s="99"/>
    </row>
  </sheetData>
  <mergeCells count="3">
    <mergeCell ref="G40:H40"/>
    <mergeCell ref="J40:K40"/>
    <mergeCell ref="C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F0"/>
  </sheetPr>
  <dimension ref="C1:E35"/>
  <sheetViews>
    <sheetView showGridLines="0" topLeftCell="A21" workbookViewId="0">
      <selection activeCell="G35" sqref="G35"/>
    </sheetView>
  </sheetViews>
  <sheetFormatPr baseColWidth="10" defaultRowHeight="14.4" x14ac:dyDescent="0.3"/>
  <cols>
    <col min="3" max="3" width="26.44140625" customWidth="1"/>
    <col min="4" max="4" width="15.5546875" customWidth="1"/>
    <col min="5" max="5" width="13.77734375" customWidth="1"/>
    <col min="6" max="6" width="15" customWidth="1"/>
    <col min="7" max="7" width="13.88671875" customWidth="1"/>
  </cols>
  <sheetData>
    <row r="1" spans="3:5" x14ac:dyDescent="0.3">
      <c r="C1" s="5" t="s">
        <v>403</v>
      </c>
    </row>
    <row r="2" spans="3:5" x14ac:dyDescent="0.3">
      <c r="C2" s="335" t="s">
        <v>401</v>
      </c>
    </row>
    <row r="3" spans="3:5" x14ac:dyDescent="0.3">
      <c r="C3" s="265"/>
      <c r="D3" s="331">
        <v>46022</v>
      </c>
    </row>
    <row r="4" spans="3:5" x14ac:dyDescent="0.3">
      <c r="C4" s="270" t="s">
        <v>325</v>
      </c>
      <c r="D4" s="270" t="s">
        <v>326</v>
      </c>
      <c r="E4" s="270" t="s">
        <v>327</v>
      </c>
    </row>
    <row r="5" spans="3:5" x14ac:dyDescent="0.3">
      <c r="C5" s="267" t="s">
        <v>328</v>
      </c>
      <c r="D5" s="273">
        <v>50334500</v>
      </c>
      <c r="E5" s="274">
        <v>1</v>
      </c>
    </row>
    <row r="6" spans="3:5" x14ac:dyDescent="0.3">
      <c r="C6" s="271" t="s">
        <v>22</v>
      </c>
      <c r="D6" s="272">
        <v>50334500</v>
      </c>
      <c r="E6" s="275">
        <v>1</v>
      </c>
    </row>
    <row r="7" spans="3:5" x14ac:dyDescent="0.3">
      <c r="C7" s="266"/>
    </row>
    <row r="8" spans="3:5" x14ac:dyDescent="0.3">
      <c r="C8" s="335" t="s">
        <v>402</v>
      </c>
    </row>
    <row r="9" spans="3:5" x14ac:dyDescent="0.3">
      <c r="C9" s="351" t="s">
        <v>329</v>
      </c>
    </row>
    <row r="10" spans="3:5" x14ac:dyDescent="0.3">
      <c r="D10" s="268">
        <v>46022</v>
      </c>
    </row>
    <row r="11" spans="3:5" x14ac:dyDescent="0.3">
      <c r="C11" s="25"/>
      <c r="D11" s="25"/>
    </row>
    <row r="12" spans="3:5" ht="20.399999999999999" customHeight="1" x14ac:dyDescent="0.3">
      <c r="C12" s="352" t="s">
        <v>330</v>
      </c>
      <c r="D12" s="269">
        <v>50334500</v>
      </c>
    </row>
    <row r="13" spans="3:5" x14ac:dyDescent="0.3">
      <c r="C13" s="352" t="s">
        <v>331</v>
      </c>
      <c r="D13" s="269">
        <v>0</v>
      </c>
    </row>
    <row r="14" spans="3:5" x14ac:dyDescent="0.3">
      <c r="C14" s="353" t="s">
        <v>84</v>
      </c>
      <c r="D14" s="276">
        <v>50334500</v>
      </c>
    </row>
    <row r="15" spans="3:5" x14ac:dyDescent="0.3">
      <c r="C15" s="393"/>
      <c r="D15" s="394"/>
    </row>
    <row r="16" spans="3:5" x14ac:dyDescent="0.3">
      <c r="C16" s="335" t="s">
        <v>405</v>
      </c>
    </row>
    <row r="17" spans="3:4" x14ac:dyDescent="0.3">
      <c r="C17" s="5" t="s">
        <v>404</v>
      </c>
    </row>
    <row r="18" spans="3:4" ht="15.6" x14ac:dyDescent="0.3">
      <c r="C18" s="354"/>
      <c r="D18" s="355" t="s">
        <v>406</v>
      </c>
    </row>
    <row r="19" spans="3:4" x14ac:dyDescent="0.3">
      <c r="C19" s="356"/>
      <c r="D19" s="357" t="s">
        <v>253</v>
      </c>
    </row>
    <row r="20" spans="3:4" ht="15.6" x14ac:dyDescent="0.3">
      <c r="C20" s="358"/>
      <c r="D20" s="354"/>
    </row>
    <row r="21" spans="3:4" x14ac:dyDescent="0.3">
      <c r="C21" s="19" t="s">
        <v>407</v>
      </c>
      <c r="D21" s="24">
        <v>0</v>
      </c>
    </row>
    <row r="22" spans="3:4" ht="15" thickBot="1" x14ac:dyDescent="0.35">
      <c r="C22" s="19" t="s">
        <v>408</v>
      </c>
      <c r="D22" s="24">
        <v>50334500</v>
      </c>
    </row>
    <row r="23" spans="3:4" ht="23.4" thickBot="1" x14ac:dyDescent="0.35">
      <c r="C23" s="19" t="s">
        <v>409</v>
      </c>
      <c r="D23" s="359">
        <f>+D21/D22</f>
        <v>0</v>
      </c>
    </row>
    <row r="24" spans="3:4" ht="15" thickTop="1" x14ac:dyDescent="0.3">
      <c r="C24" s="19"/>
      <c r="D24" s="357"/>
    </row>
    <row r="25" spans="3:4" x14ac:dyDescent="0.3">
      <c r="C25" s="333" t="s">
        <v>434</v>
      </c>
    </row>
    <row r="26" spans="3:4" x14ac:dyDescent="0.3">
      <c r="C26" s="361" t="s">
        <v>332</v>
      </c>
    </row>
    <row r="28" spans="3:4" ht="15.6" x14ac:dyDescent="0.3">
      <c r="C28" s="354"/>
      <c r="D28" s="362" t="s">
        <v>406</v>
      </c>
    </row>
    <row r="29" spans="3:4" x14ac:dyDescent="0.3">
      <c r="C29" s="78"/>
      <c r="D29" s="363" t="s">
        <v>253</v>
      </c>
    </row>
    <row r="30" spans="3:4" ht="15.6" x14ac:dyDescent="0.3">
      <c r="C30" s="358"/>
      <c r="D30" s="354"/>
    </row>
    <row r="31" spans="3:4" x14ac:dyDescent="0.3">
      <c r="C31" s="19" t="s">
        <v>410</v>
      </c>
      <c r="D31" s="24">
        <v>0</v>
      </c>
    </row>
    <row r="32" spans="3:4" x14ac:dyDescent="0.3">
      <c r="C32" s="19" t="s">
        <v>411</v>
      </c>
      <c r="D32" s="47">
        <v>0</v>
      </c>
    </row>
    <row r="33" spans="3:4" ht="15" thickBot="1" x14ac:dyDescent="0.35">
      <c r="C33" s="19" t="s">
        <v>412</v>
      </c>
      <c r="D33" s="24">
        <v>0</v>
      </c>
    </row>
    <row r="34" spans="3:4" ht="15" thickBot="1" x14ac:dyDescent="0.35">
      <c r="C34" s="19" t="s">
        <v>413</v>
      </c>
      <c r="D34" s="365">
        <f>SUM(D31:D33)</f>
        <v>0</v>
      </c>
    </row>
    <row r="35" spans="3:4" ht="15" thickTop="1" x14ac:dyDescent="0.3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92D050"/>
  </sheetPr>
  <dimension ref="B1:AN12"/>
  <sheetViews>
    <sheetView showGridLines="0" workbookViewId="0">
      <selection activeCell="D1" sqref="D1:D17"/>
    </sheetView>
  </sheetViews>
  <sheetFormatPr baseColWidth="10" defaultRowHeight="14.4" x14ac:dyDescent="0.3"/>
  <cols>
    <col min="2" max="2" width="36" customWidth="1"/>
    <col min="3" max="3" width="13.5546875" customWidth="1"/>
    <col min="4" max="5" width="13.6640625" customWidth="1"/>
    <col min="6" max="13" width="11.5546875" customWidth="1"/>
    <col min="14" max="14" width="14.77734375" customWidth="1"/>
    <col min="15" max="38" width="13" hidden="1" customWidth="1"/>
    <col min="39" max="39" width="12" customWidth="1"/>
  </cols>
  <sheetData>
    <row r="1" spans="2:40" x14ac:dyDescent="0.3">
      <c r="B1" s="5" t="s">
        <v>419</v>
      </c>
    </row>
    <row r="2" spans="2:40" x14ac:dyDescent="0.3">
      <c r="B2" s="335" t="s">
        <v>417</v>
      </c>
    </row>
    <row r="3" spans="2:40" x14ac:dyDescent="0.3">
      <c r="C3" s="50" t="s">
        <v>0</v>
      </c>
    </row>
    <row r="4" spans="2:40" x14ac:dyDescent="0.3">
      <c r="C4" s="10" t="s">
        <v>5</v>
      </c>
    </row>
    <row r="5" spans="2:40" x14ac:dyDescent="0.3">
      <c r="C5" s="10"/>
    </row>
    <row r="6" spans="2:40" x14ac:dyDescent="0.3">
      <c r="B6" s="174" t="s">
        <v>334</v>
      </c>
      <c r="C6" s="37"/>
    </row>
    <row r="7" spans="2:40" x14ac:dyDescent="0.3">
      <c r="B7" s="174" t="s">
        <v>335</v>
      </c>
      <c r="C7" s="37"/>
    </row>
    <row r="8" spans="2:40" x14ac:dyDescent="0.3">
      <c r="B8" s="174" t="s">
        <v>336</v>
      </c>
      <c r="C8" s="37"/>
    </row>
    <row r="9" spans="2:40" x14ac:dyDescent="0.3">
      <c r="B9" s="174" t="s">
        <v>337</v>
      </c>
      <c r="C9" s="37"/>
    </row>
    <row r="10" spans="2:40" x14ac:dyDescent="0.3">
      <c r="B10" s="174" t="s">
        <v>338</v>
      </c>
      <c r="C10" s="37"/>
    </row>
    <row r="11" spans="2:40" ht="15" customHeight="1" thickBot="1" x14ac:dyDescent="0.35">
      <c r="B11" s="174" t="s">
        <v>339</v>
      </c>
      <c r="C11" s="36"/>
      <c r="AN11" s="113"/>
    </row>
    <row r="12" spans="2:40" ht="15" customHeight="1" thickBot="1" x14ac:dyDescent="0.35">
      <c r="B12" s="174" t="s">
        <v>57</v>
      </c>
      <c r="C12" s="35" t="str">
        <f ca="1">SUM(C6:C12)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92D050"/>
  </sheetPr>
  <dimension ref="B1:C11"/>
  <sheetViews>
    <sheetView showGridLines="0" workbookViewId="0">
      <selection activeCell="D2" sqref="D2:D13"/>
    </sheetView>
  </sheetViews>
  <sheetFormatPr baseColWidth="10" defaultRowHeight="14.4" x14ac:dyDescent="0.3"/>
  <cols>
    <col min="2" max="2" width="40.33203125" customWidth="1"/>
    <col min="3" max="3" width="13.77734375" customWidth="1"/>
    <col min="4" max="4" width="12.21875" customWidth="1"/>
  </cols>
  <sheetData>
    <row r="1" spans="2:3" x14ac:dyDescent="0.3">
      <c r="B1" s="5" t="s">
        <v>333</v>
      </c>
    </row>
    <row r="2" spans="2:3" x14ac:dyDescent="0.3">
      <c r="B2" s="335" t="s">
        <v>418</v>
      </c>
    </row>
    <row r="3" spans="2:3" x14ac:dyDescent="0.3">
      <c r="B3" s="417"/>
      <c r="C3" s="50" t="s">
        <v>101</v>
      </c>
    </row>
    <row r="4" spans="2:3" x14ac:dyDescent="0.3">
      <c r="B4" s="406"/>
      <c r="C4" s="10" t="s">
        <v>5</v>
      </c>
    </row>
    <row r="5" spans="2:3" x14ac:dyDescent="0.3">
      <c r="B5" s="1"/>
      <c r="C5" s="10"/>
    </row>
    <row r="6" spans="2:3" x14ac:dyDescent="0.3">
      <c r="B6" s="174" t="s">
        <v>340</v>
      </c>
      <c r="C6" s="37"/>
    </row>
    <row r="7" spans="2:3" x14ac:dyDescent="0.3">
      <c r="B7" s="174" t="s">
        <v>341</v>
      </c>
      <c r="C7" s="37"/>
    </row>
    <row r="8" spans="2:3" x14ac:dyDescent="0.3">
      <c r="B8" s="174" t="s">
        <v>342</v>
      </c>
      <c r="C8" s="37"/>
    </row>
    <row r="9" spans="2:3" x14ac:dyDescent="0.3">
      <c r="B9" s="174" t="s">
        <v>343</v>
      </c>
      <c r="C9" s="37"/>
    </row>
    <row r="10" spans="2:3" ht="15" customHeight="1" thickBot="1" x14ac:dyDescent="0.35">
      <c r="B10" s="174" t="s">
        <v>344</v>
      </c>
      <c r="C10" s="36"/>
    </row>
    <row r="11" spans="2:3" ht="15" customHeight="1" thickBot="1" x14ac:dyDescent="0.35">
      <c r="B11" s="174" t="s">
        <v>57</v>
      </c>
      <c r="C11" s="35">
        <f>SUM(C6:C10)</f>
        <v>0</v>
      </c>
    </row>
  </sheetData>
  <mergeCells count="1">
    <mergeCell ref="B3:B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E3:J33"/>
  <sheetViews>
    <sheetView showGridLines="0" topLeftCell="D10" workbookViewId="0">
      <selection activeCell="I28" sqref="I28"/>
    </sheetView>
  </sheetViews>
  <sheetFormatPr baseColWidth="10" defaultRowHeight="14.4" x14ac:dyDescent="0.3"/>
  <cols>
    <col min="5" max="5" width="32.6640625" customWidth="1"/>
    <col min="6" max="6" width="15.21875" customWidth="1"/>
    <col min="7" max="8" width="15.109375" customWidth="1"/>
  </cols>
  <sheetData>
    <row r="3" spans="5:8" x14ac:dyDescent="0.3">
      <c r="E3" s="335" t="s">
        <v>420</v>
      </c>
    </row>
    <row r="4" spans="5:8" x14ac:dyDescent="0.3">
      <c r="E4" s="288" t="s">
        <v>345</v>
      </c>
    </row>
    <row r="6" spans="5:8" x14ac:dyDescent="0.3">
      <c r="E6" s="419"/>
      <c r="F6" s="10"/>
      <c r="G6" s="10" t="s">
        <v>346</v>
      </c>
      <c r="H6" s="10" t="s">
        <v>347</v>
      </c>
    </row>
    <row r="7" spans="5:8" x14ac:dyDescent="0.3">
      <c r="E7" s="406"/>
      <c r="F7" s="10" t="s">
        <v>101</v>
      </c>
      <c r="G7" s="10" t="s">
        <v>348</v>
      </c>
      <c r="H7" s="10" t="s">
        <v>349</v>
      </c>
    </row>
    <row r="8" spans="5:8" x14ac:dyDescent="0.3">
      <c r="E8" s="411"/>
      <c r="F8" s="368" t="s">
        <v>5</v>
      </c>
      <c r="G8" s="368" t="s">
        <v>5</v>
      </c>
      <c r="H8" s="368" t="s">
        <v>5</v>
      </c>
    </row>
    <row r="9" spans="5:8" x14ac:dyDescent="0.3">
      <c r="E9" s="51" t="s">
        <v>350</v>
      </c>
      <c r="F9" s="367"/>
      <c r="G9" s="367">
        <f>+F9*-0.1</f>
        <v>0</v>
      </c>
      <c r="H9" s="367">
        <f>+F9*0.1</f>
        <v>0</v>
      </c>
    </row>
    <row r="10" spans="5:8" x14ac:dyDescent="0.3">
      <c r="E10" s="51" t="s">
        <v>351</v>
      </c>
      <c r="F10" s="367"/>
      <c r="G10" s="367">
        <f>+F10*-0.1</f>
        <v>0</v>
      </c>
      <c r="H10" s="367">
        <f>+F10*0.1</f>
        <v>0</v>
      </c>
    </row>
    <row r="11" spans="5:8" x14ac:dyDescent="0.3">
      <c r="E11" s="234" t="s">
        <v>352</v>
      </c>
      <c r="F11" s="369"/>
      <c r="G11" s="369">
        <f>+F11*-0.1</f>
        <v>0</v>
      </c>
      <c r="H11" s="369">
        <f>+F11*0.1</f>
        <v>0</v>
      </c>
    </row>
    <row r="12" spans="5:8" ht="22.8" customHeight="1" x14ac:dyDescent="0.3">
      <c r="E12" s="377" t="s">
        <v>353</v>
      </c>
      <c r="F12" s="369">
        <f>SUM(F9:F11)</f>
        <v>0</v>
      </c>
      <c r="G12" s="369">
        <f>SUM(G9:G11)</f>
        <v>0</v>
      </c>
      <c r="H12" s="369">
        <f>SUM(H9:H11)</f>
        <v>0</v>
      </c>
    </row>
    <row r="15" spans="5:8" x14ac:dyDescent="0.3">
      <c r="E15" s="335" t="s">
        <v>421</v>
      </c>
    </row>
    <row r="16" spans="5:8" x14ac:dyDescent="0.3">
      <c r="E16" s="288" t="s">
        <v>354</v>
      </c>
    </row>
    <row r="18" spans="5:10" x14ac:dyDescent="0.3">
      <c r="E18" s="420"/>
      <c r="F18" s="418" t="s">
        <v>355</v>
      </c>
      <c r="G18" s="9" t="s">
        <v>356</v>
      </c>
      <c r="H18" s="370" t="s">
        <v>357</v>
      </c>
    </row>
    <row r="19" spans="5:10" x14ac:dyDescent="0.3">
      <c r="E19" s="411"/>
      <c r="F19" s="411"/>
      <c r="G19" s="371" t="s">
        <v>5</v>
      </c>
      <c r="H19" s="371" t="s">
        <v>5</v>
      </c>
    </row>
    <row r="20" spans="5:10" x14ac:dyDescent="0.3">
      <c r="E20" s="373" t="s">
        <v>358</v>
      </c>
      <c r="F20" s="374">
        <v>0</v>
      </c>
      <c r="G20" s="375">
        <f>+F20*0.1</f>
        <v>0</v>
      </c>
      <c r="H20" s="375">
        <f>+F20*-0.1</f>
        <v>0</v>
      </c>
    </row>
    <row r="21" spans="5:10" ht="22.8" customHeight="1" x14ac:dyDescent="0.3">
      <c r="E21" s="376" t="s">
        <v>353</v>
      </c>
      <c r="F21" s="372"/>
      <c r="G21" s="369">
        <f>+G20</f>
        <v>0</v>
      </c>
      <c r="H21" s="369">
        <f>+H20</f>
        <v>0</v>
      </c>
    </row>
    <row r="24" spans="5:10" x14ac:dyDescent="0.3">
      <c r="E24" s="378" t="s">
        <v>422</v>
      </c>
    </row>
    <row r="25" spans="5:10" x14ac:dyDescent="0.3">
      <c r="E25" s="333" t="s">
        <v>435</v>
      </c>
    </row>
    <row r="27" spans="5:10" ht="15" thickBot="1" x14ac:dyDescent="0.35">
      <c r="E27" s="360"/>
    </row>
    <row r="28" spans="5:10" ht="21" thickBot="1" x14ac:dyDescent="0.35">
      <c r="E28" s="380" t="s">
        <v>423</v>
      </c>
      <c r="F28" s="390" t="s">
        <v>60</v>
      </c>
      <c r="G28" s="391" t="s">
        <v>424</v>
      </c>
      <c r="H28" s="391" t="s">
        <v>425</v>
      </c>
      <c r="I28" s="379" t="s">
        <v>426</v>
      </c>
      <c r="J28" s="379" t="s">
        <v>427</v>
      </c>
    </row>
    <row r="29" spans="5:10" x14ac:dyDescent="0.3">
      <c r="E29" s="385" t="s">
        <v>175</v>
      </c>
      <c r="F29" s="381" t="s">
        <v>170</v>
      </c>
      <c r="G29" s="386">
        <v>0</v>
      </c>
      <c r="H29">
        <v>0</v>
      </c>
      <c r="I29" s="382">
        <v>44971</v>
      </c>
      <c r="J29" s="382">
        <v>47569</v>
      </c>
    </row>
    <row r="30" spans="5:10" x14ac:dyDescent="0.3">
      <c r="E30" s="57" t="s">
        <v>175</v>
      </c>
      <c r="F30" s="381" t="s">
        <v>161</v>
      </c>
      <c r="G30" s="387">
        <v>0</v>
      </c>
      <c r="H30">
        <v>0</v>
      </c>
      <c r="I30" s="382">
        <v>44949</v>
      </c>
      <c r="J30" s="382">
        <v>47908</v>
      </c>
    </row>
    <row r="31" spans="5:10" x14ac:dyDescent="0.3">
      <c r="E31" s="225" t="s">
        <v>428</v>
      </c>
      <c r="F31" s="381" t="s">
        <v>170</v>
      </c>
      <c r="G31" s="387">
        <v>0</v>
      </c>
      <c r="H31">
        <v>0</v>
      </c>
      <c r="I31" s="382">
        <v>45826</v>
      </c>
      <c r="J31" s="382">
        <v>46696</v>
      </c>
    </row>
    <row r="32" spans="5:10" ht="15" thickBot="1" x14ac:dyDescent="0.35">
      <c r="E32" s="383" t="s">
        <v>429</v>
      </c>
      <c r="F32" s="279" t="s">
        <v>161</v>
      </c>
      <c r="G32" s="388">
        <v>0</v>
      </c>
      <c r="H32">
        <v>0</v>
      </c>
      <c r="I32" s="384">
        <v>45264</v>
      </c>
      <c r="J32" s="384">
        <v>46179</v>
      </c>
    </row>
    <row r="33" spans="5:8" ht="16.2" thickBot="1" x14ac:dyDescent="0.35">
      <c r="E33" s="364"/>
      <c r="F33" s="389"/>
      <c r="G33" s="265" t="s">
        <v>57</v>
      </c>
      <c r="H33" s="391">
        <f>SUM(H29:H32)</f>
        <v>0</v>
      </c>
    </row>
  </sheetData>
  <mergeCells count="3">
    <mergeCell ref="F18:F19"/>
    <mergeCell ref="E6:E8"/>
    <mergeCell ref="E18:E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Efectivo</vt:lpstr>
      <vt:lpstr>Deudores</vt:lpstr>
      <vt:lpstr>Inventarios</vt:lpstr>
      <vt:lpstr>Activo Fijo</vt:lpstr>
      <vt:lpstr>Activo por derechos de uso</vt:lpstr>
      <vt:lpstr>Pasivos derechos de  uso</vt:lpstr>
      <vt:lpstr>Pasivos financieros </vt:lpstr>
      <vt:lpstr>Cuentas por pagar</vt:lpstr>
      <vt:lpstr>Impuestos Diferidos</vt:lpstr>
      <vt:lpstr>Inversion en relacionadas</vt:lpstr>
      <vt:lpstr>Empresas relacionadas</vt:lpstr>
      <vt:lpstr>Patrimonio</vt:lpstr>
      <vt:lpstr>Otros gastos por funcion</vt:lpstr>
      <vt:lpstr>Otros ingresos por funcion</vt:lpstr>
      <vt:lpstr>Cuadros adicionales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 Loreto Garrido Coloma</dc:creator>
  <cp:lastModifiedBy>Cristiàn Saavedra</cp:lastModifiedBy>
  <cp:lastPrinted>2024-01-30T17:49:35Z</cp:lastPrinted>
  <dcterms:created xsi:type="dcterms:W3CDTF">2023-05-10T14:20:27Z</dcterms:created>
  <dcterms:modified xsi:type="dcterms:W3CDTF">2026-10-04T23:36:25Z</dcterms:modified>
</cp:coreProperties>
</file>