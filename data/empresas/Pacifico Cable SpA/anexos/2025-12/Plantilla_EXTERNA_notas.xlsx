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undo\Programa de informes\Notas\Pacifico\"/>
    </mc:Choice>
  </mc:AlternateContent>
  <xr:revisionPtr revIDLastSave="0" documentId="13_ncr:1_{53CFE13D-BB30-467D-9EF2-C2F19AA34527}" xr6:coauthVersionLast="47" xr6:coauthVersionMax="47" xr10:uidLastSave="{00000000-0000-0000-0000-000000000000}"/>
  <bookViews>
    <workbookView xWindow="-108" yWindow="-108" windowWidth="23256" windowHeight="13896" firstSheet="14" activeTab="14" xr2:uid="{00000000-000D-0000-FFFF-FFFF00000000}"/>
  </bookViews>
  <sheets>
    <sheet name="Efectivo" sheetId="3" r:id="rId1"/>
    <sheet name="Deudores" sheetId="5" r:id="rId2"/>
    <sheet name="Inventarios" sheetId="6" r:id="rId3"/>
    <sheet name="Activo Fijo" sheetId="8" r:id="rId4"/>
    <sheet name="Activo por derechos de uso" sheetId="9" r:id="rId5"/>
    <sheet name="Pasivos derechos de  uso" sheetId="13" r:id="rId6"/>
    <sheet name="Pasivos financieros " sheetId="14" r:id="rId7"/>
    <sheet name="Cuentas por pagar" sheetId="15" r:id="rId8"/>
    <sheet name="Impuestos Diferidos" sheetId="17" r:id="rId9"/>
    <sheet name="Inversion en relacionadas" sheetId="18" r:id="rId10"/>
    <sheet name="Empresas relacionadas" sheetId="19" r:id="rId11"/>
    <sheet name="Patrimonio" sheetId="20" r:id="rId12"/>
    <sheet name="Otros gastos por funcion" sheetId="27" r:id="rId13"/>
    <sheet name="Otros ingresos por funcion" sheetId="28" r:id="rId14"/>
    <sheet name="Cuadros adicionales" sheetId="29" r:id="rId15"/>
  </sheets>
  <definedNames>
    <definedName name="_1PAR">#REF!</definedName>
    <definedName name="_2C">#REF!</definedName>
    <definedName name="_3C">#REF!</definedName>
    <definedName name="_4C">#REF!</definedName>
    <definedName name="_9C">#REF!</definedName>
    <definedName name="_BAS1">#REF!</definedName>
    <definedName name="_om2">#REF!</definedName>
    <definedName name="_om3">#REF!</definedName>
    <definedName name="_om9">#REF!</definedName>
    <definedName name="_Order1" hidden="1">255</definedName>
    <definedName name="_Order2" hidden="1">255</definedName>
    <definedName name="_Regression_Out" hidden="1">#REF!</definedName>
    <definedName name="_Regression_X" hidden="1">#REF!</definedName>
    <definedName name="_Regression_Y" hidden="1">#REF!</definedName>
    <definedName name="A_impresión_IM">#REF!</definedName>
    <definedName name="ANEXO3A">#REF!</definedName>
    <definedName name="Area">#REF!</definedName>
    <definedName name="AUDBASISCLPFC">#REF!</definedName>
    <definedName name="AUDBASISCLPFD">#REF!</definedName>
    <definedName name="AUDBASISNCLPFC">#REF!</definedName>
    <definedName name="AUDBASISNCLPFD">#REF!</definedName>
    <definedName name="AUDBASISUSDFC">#REF!</definedName>
    <definedName name="AUDBASISUSDFD">#REF!</definedName>
    <definedName name="ayu">#REF!</definedName>
    <definedName name="BAS">#REF!</definedName>
    <definedName name="_xlnm.Database">#REF!</definedName>
    <definedName name="Bins__aisi304_steel_lining">#REF!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2" hidden="1">#REF!</definedName>
    <definedName name="BLPH3" hidden="1">#REF!</definedName>
    <definedName name="BLPH4" hidden="1">#REF!</definedName>
    <definedName name="BLPH5" hidden="1">#REF!</definedName>
    <definedName name="BLPH6" hidden="1">#REF!</definedName>
    <definedName name="BLPH7" hidden="1">#REF!</definedName>
    <definedName name="BLPH8" hidden="1">#REF!</definedName>
    <definedName name="BRLBASISCLPFC">#REF!</definedName>
    <definedName name="BRLBASISCLPFD">#REF!</definedName>
    <definedName name="BRLBASISNCLPFC">#REF!</definedName>
    <definedName name="BRLBASISNCLPFD">#REF!</definedName>
    <definedName name="BRLBASISUSDFC">#REF!</definedName>
    <definedName name="BRLBASISUSDFD">#REF!</definedName>
    <definedName name="CADBASISCLPFC">#REF!</definedName>
    <definedName name="CADBASISCLPFD">#REF!</definedName>
    <definedName name="CADBASISNCLPFC">#REF!</definedName>
    <definedName name="CADBASISNCLPFD">#REF!</definedName>
    <definedName name="CADBASISUSDFC">#REF!</definedName>
    <definedName name="CADBASISUSDFD">#REF!</definedName>
    <definedName name="CADEYREG">#REF!</definedName>
    <definedName name="cap">#REF!</definedName>
    <definedName name="car">#REF!</definedName>
    <definedName name="cat">#REF!</definedName>
    <definedName name="CATEG">#REF!</definedName>
    <definedName name="CEDEYREG">#REF!</definedName>
    <definedName name="CHFBASISCLPFC">#REF!</definedName>
    <definedName name="CHFBASISCLPFD">#REF!</definedName>
    <definedName name="CHFBASISNCLPFC">#REF!</definedName>
    <definedName name="CHFBASISNCLPFD">#REF!</definedName>
    <definedName name="CHFBASISUSDFC">#REF!</definedName>
    <definedName name="CHFBASISUSDFD">#REF!</definedName>
    <definedName name="Ciwil_work">#REF!</definedName>
    <definedName name="CNYBASISCLPFC">#REF!</definedName>
    <definedName name="CNYBASISCLPFD">#REF!</definedName>
    <definedName name="CNYBASISNCLPFC">#REF!</definedName>
    <definedName name="CNYBASISNCLPFD">#REF!</definedName>
    <definedName name="CNYBASISUSDFC">#REF!</definedName>
    <definedName name="CNYBASISUSDFD">#REF!</definedName>
    <definedName name="conv_t">#REF!</definedName>
    <definedName name="COPBASISCLPFC">#REF!</definedName>
    <definedName name="COPBASISCLPFD">#REF!</definedName>
    <definedName name="COPBASISNCLPFC">#REF!</definedName>
    <definedName name="COPBASISNCLPFD">#REF!</definedName>
    <definedName name="COPBASISUSDFC">#REF!</definedName>
    <definedName name="COPBASISUSDFD">#REF!</definedName>
    <definedName name="cuentas">#REF!</definedName>
    <definedName name="CURVA_COLL">#REF!</definedName>
    <definedName name="curva_fra">#REF!</definedName>
    <definedName name="Database">#REF!</definedName>
    <definedName name="deltah">#REF!</definedName>
    <definedName name="DKKBASISCLPFC">#REF!</definedName>
    <definedName name="DKKBASISCLPFD">#REF!</definedName>
    <definedName name="DKKBASISNCLPFC">#REF!</definedName>
    <definedName name="DKKBASISNCLPFD">#REF!</definedName>
    <definedName name="DKKBASISUSDFC">#REF!</definedName>
    <definedName name="DKKBASISUSDFD">#REF!</definedName>
    <definedName name="dsf">#REF!</definedName>
    <definedName name="EE">#REF!</definedName>
    <definedName name="effactor260">#REF!</definedName>
    <definedName name="FCD">#REF!</definedName>
    <definedName name="FECHAUF">#REF!</definedName>
    <definedName name="FX">#REF!</definedName>
    <definedName name="gbp">#REF!</definedName>
    <definedName name="GBPBASISCLPFC">#REF!</definedName>
    <definedName name="GBPBASISCLPFD">#REF!</definedName>
    <definedName name="GBPBASISNCLPFC">#REF!</definedName>
    <definedName name="GBPBASISNCLPFD">#REF!</definedName>
    <definedName name="GBPBASISUSDFC">#REF!</definedName>
    <definedName name="GBPBASISUSDFD">#REF!</definedName>
    <definedName name="grafos">#REF!</definedName>
    <definedName name="H">#REF!</definedName>
    <definedName name="hc">#REF!</definedName>
    <definedName name="HH__Kg_Fe">#REF!</definedName>
    <definedName name="HH__m3_Ho__NO_Incl_Fe">#REF!</definedName>
    <definedName name="HH_Kg_fe">#REF!</definedName>
    <definedName name="HH_m3_Ho_sFe">#REF!</definedName>
    <definedName name="HKDBASISCLPFC">#REF!</definedName>
    <definedName name="HKDBASISCLPFD">#REF!</definedName>
    <definedName name="HKDBASISNCLPFC">#REF!</definedName>
    <definedName name="HKDBASISNCLPFD">#REF!</definedName>
    <definedName name="HKDBASISUSDFC">#REF!</definedName>
    <definedName name="HKDBASISUSDFD">#REF!</definedName>
    <definedName name="hn">#REF!</definedName>
    <definedName name="Imprimir_área_IM">#REF!</definedName>
    <definedName name="Impuesto">#REF!</definedName>
    <definedName name="index_2">#REF!</definedName>
    <definedName name="INDICE_INI">#REF!</definedName>
    <definedName name="Installation">#REF!</definedName>
    <definedName name="Installation___Electrical">#REF!</definedName>
    <definedName name="Installation___Instr">#REF!</definedName>
    <definedName name="installationA">#REF!</definedName>
    <definedName name="installationpiping">#REF!</definedName>
    <definedName name="InstallationTele">#REF!</definedName>
    <definedName name="Interés">#REF!</definedName>
    <definedName name="Itemizado_EE">#REF!</definedName>
    <definedName name="Itemizado_IN">#REF!</definedName>
    <definedName name="Itemizado_Me">#REF!</definedName>
    <definedName name="Itemizado_Me1">#REF!</definedName>
    <definedName name="J1927.">#REF!</definedName>
    <definedName name="JPYBASISCLPFC">#REF!</definedName>
    <definedName name="JPYBASISCLPFD">#REF!</definedName>
    <definedName name="JPYBASISNCLPFC">#REF!</definedName>
    <definedName name="JPYBASISNCLPFD">#REF!</definedName>
    <definedName name="JPYBASISUSDFC">#REF!</definedName>
    <definedName name="JPYBASISUSDFD">#REF!</definedName>
    <definedName name="llave">#REF!</definedName>
    <definedName name="LLAVE2">#REF!</definedName>
    <definedName name="MAG">#REF!</definedName>
    <definedName name="MR">#REF!</definedName>
    <definedName name="MXNBASISCLPFC">#REF!</definedName>
    <definedName name="MXNBASISCLPFD">#REF!</definedName>
    <definedName name="MXNBASISNCLPFC">#REF!</definedName>
    <definedName name="MXNBASISNCLPFD">#REF!</definedName>
    <definedName name="MXNBASISUSDFC">#REF!</definedName>
    <definedName name="MXNBASISUSDFD">#REF!</definedName>
    <definedName name="NOKBASISCLPFC">#REF!</definedName>
    <definedName name="NOKBASISCLPFD">#REF!</definedName>
    <definedName name="NOKBASISNCLPFC">#REF!</definedName>
    <definedName name="NOKBASISNCLPFD">#REF!</definedName>
    <definedName name="NOKBASISUSDFC">#REF!</definedName>
    <definedName name="NOKBASISUSDFD">#REF!</definedName>
    <definedName name="PED">#REF!</definedName>
    <definedName name="PENBASISCLPFC">#REF!</definedName>
    <definedName name="PENBASISCLPFD">#REF!</definedName>
    <definedName name="PENBASISNCLPFC">#REF!</definedName>
    <definedName name="PENBASISNCLPFD">#REF!</definedName>
    <definedName name="PENBASISUSDFC">#REF!</definedName>
    <definedName name="PENBASISUSDFD">#REF!</definedName>
    <definedName name="periodo_fecha">#REF!</definedName>
    <definedName name="PREC">#REF!</definedName>
    <definedName name="Print_Area_MI">#REF!</definedName>
    <definedName name="PRINT_TITLES_MI">#REF!</definedName>
    <definedName name="PROV">#REF!</definedName>
    <definedName name="RESERVA">#REF!</definedName>
    <definedName name="RESERVA1">#REF!</definedName>
    <definedName name="Rt">#REF!</definedName>
    <definedName name="SEKBASISCLPFC">#REF!</definedName>
    <definedName name="SEKBASISCLPFD">#REF!</definedName>
    <definedName name="SEKBASISNCLPFC">#REF!</definedName>
    <definedName name="SEKBASISNCLPFD">#REF!</definedName>
    <definedName name="SEKBASISUSDFC">#REF!</definedName>
    <definedName name="SEKBASISUSDFD">#REF!</definedName>
    <definedName name="solver_drv" hidden="1">2</definedName>
    <definedName name="solver_est" hidden="1">2</definedName>
    <definedName name="solver_itr" hidden="1">100</definedName>
    <definedName name="solver_lin" hidden="1">0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2</definedName>
    <definedName name="solver_val" hidden="1">0</definedName>
    <definedName name="T">#REF!</definedName>
    <definedName name="tanks_AISI316">#REF!</definedName>
    <definedName name="TIT">#REF!</definedName>
    <definedName name="Títulos_a_imprimir_IM">#REF!</definedName>
    <definedName name="totalarea">#REF!</definedName>
    <definedName name="usd">#REF!</definedName>
    <definedName name="USD__Kg_Fe">#REF!</definedName>
    <definedName name="USD__m3_Ho__NO_Incl_Fe">#REF!</definedName>
    <definedName name="USD_hh_Erect">#REF!</definedName>
    <definedName name="USD_Ho_sFe">#REF!</definedName>
    <definedName name="USD_Kg_fe">#REF!</definedName>
    <definedName name="usd_peso">#REF!</definedName>
    <definedName name="WAT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7" l="1"/>
  <c r="D23" i="20"/>
  <c r="D14" i="20"/>
  <c r="D6" i="20"/>
  <c r="H72" i="14"/>
  <c r="H70" i="14"/>
  <c r="G37" i="14"/>
  <c r="G39" i="14" s="1"/>
  <c r="D25" i="14"/>
  <c r="E25" i="14"/>
  <c r="F25" i="14"/>
  <c r="G25" i="14"/>
  <c r="H25" i="14"/>
  <c r="I25" i="14"/>
  <c r="J25" i="14"/>
  <c r="C25" i="14"/>
  <c r="K22" i="14"/>
  <c r="K21" i="14"/>
  <c r="K25" i="14" s="1"/>
  <c r="C11" i="14"/>
  <c r="D11" i="14"/>
  <c r="E8" i="14"/>
  <c r="E7" i="14"/>
  <c r="P38" i="8"/>
  <c r="P39" i="8"/>
  <c r="P40" i="8"/>
  <c r="C40" i="8"/>
  <c r="P35" i="8"/>
  <c r="P37" i="8"/>
  <c r="P34" i="8"/>
  <c r="C25" i="6"/>
  <c r="K82" i="14"/>
  <c r="J82" i="14"/>
  <c r="H33" i="29"/>
  <c r="D34" i="20"/>
  <c r="H20" i="29"/>
  <c r="H21" i="29" s="1"/>
  <c r="G20" i="29"/>
  <c r="G21" i="29" s="1"/>
  <c r="F12" i="29"/>
  <c r="H9" i="29"/>
  <c r="H12" i="29" s="1"/>
  <c r="C11" i="28"/>
  <c r="F7" i="19"/>
  <c r="D87" i="17"/>
  <c r="D89" i="17" s="1"/>
  <c r="D65" i="17"/>
  <c r="D55" i="17"/>
  <c r="D51" i="17"/>
  <c r="D37" i="17"/>
  <c r="D41" i="17" s="1"/>
  <c r="E22" i="17"/>
  <c r="D22" i="17"/>
  <c r="L104" i="14"/>
  <c r="K104" i="14"/>
  <c r="I72" i="14"/>
  <c r="H39" i="14"/>
  <c r="H37" i="14"/>
  <c r="K24" i="14"/>
  <c r="K23" i="14"/>
  <c r="H11" i="14"/>
  <c r="G11" i="14"/>
  <c r="F11" i="14"/>
  <c r="H10" i="14"/>
  <c r="E10" i="14"/>
  <c r="H9" i="14"/>
  <c r="E9" i="14"/>
  <c r="H8" i="14"/>
  <c r="H7" i="14"/>
  <c r="K35" i="13"/>
  <c r="K36" i="13" s="1"/>
  <c r="D13" i="13"/>
  <c r="C13" i="13"/>
  <c r="C23" i="9"/>
  <c r="C57" i="6"/>
  <c r="D13" i="3"/>
  <c r="P33" i="8"/>
  <c r="D25" i="8"/>
  <c r="C25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11" i="14" l="1"/>
  <c r="E25" i="8"/>
  <c r="G12" i="29"/>
  <c r="I70" i="14" l="1"/>
</calcChain>
</file>

<file path=xl/sharedStrings.xml><?xml version="1.0" encoding="utf-8"?>
<sst xmlns="http://schemas.openxmlformats.org/spreadsheetml/2006/main" count="877" uniqueCount="429">
  <si>
    <t>30.06.2026</t>
  </si>
  <si>
    <t>Concepto</t>
  </si>
  <si>
    <t>Activo fijo bruto</t>
  </si>
  <si>
    <t>Depreciación acumulada</t>
  </si>
  <si>
    <t>Activo fijo neto</t>
  </si>
  <si>
    <t>M$</t>
  </si>
  <si>
    <t>Terrenos</t>
  </si>
  <si>
    <t>Edificios y construcciones</t>
  </si>
  <si>
    <t>Redes de transmisión</t>
  </si>
  <si>
    <t>Plantas transmisoras</t>
  </si>
  <si>
    <t>Equipos portátiles</t>
  </si>
  <si>
    <t>Equipos de computación</t>
  </si>
  <si>
    <t>Equipos seriados</t>
  </si>
  <si>
    <t>Vehículos</t>
  </si>
  <si>
    <t>Muebles y útiles</t>
  </si>
  <si>
    <t>Otros activos</t>
  </si>
  <si>
    <t>Activos en leasing</t>
  </si>
  <si>
    <t>Obras en curso</t>
  </si>
  <si>
    <t>Instalaciones domiciliarias</t>
  </si>
  <si>
    <t>Deterioro PPE</t>
  </si>
  <si>
    <t>Asignacion de compra</t>
  </si>
  <si>
    <t>Amortizacion PPA</t>
  </si>
  <si>
    <t>Totales</t>
  </si>
  <si>
    <t xml:space="preserve"> Edificios y</t>
  </si>
  <si>
    <t xml:space="preserve"> Redes de</t>
  </si>
  <si>
    <t xml:space="preserve"> Plantas</t>
  </si>
  <si>
    <t xml:space="preserve"> Equipos</t>
  </si>
  <si>
    <t xml:space="preserve"> Equipo</t>
  </si>
  <si>
    <t xml:space="preserve"> Vehículos</t>
  </si>
  <si>
    <t xml:space="preserve"> Muebles</t>
  </si>
  <si>
    <t xml:space="preserve"> Instalación</t>
  </si>
  <si>
    <t xml:space="preserve"> Otros</t>
  </si>
  <si>
    <t xml:space="preserve"> Activos</t>
  </si>
  <si>
    <t xml:space="preserve"> Obras</t>
  </si>
  <si>
    <t>Construcciones</t>
  </si>
  <si>
    <t>Transmisión</t>
  </si>
  <si>
    <t>Transmisoras</t>
  </si>
  <si>
    <t>Computación</t>
  </si>
  <si>
    <t>Portátil</t>
  </si>
  <si>
    <t xml:space="preserve">M$ </t>
  </si>
  <si>
    <t>Seriados</t>
  </si>
  <si>
    <t>y Útiles</t>
  </si>
  <si>
    <t>Domiciliaria</t>
  </si>
  <si>
    <t>Activos</t>
  </si>
  <si>
    <t>en Leasing</t>
  </si>
  <si>
    <t>en Curso</t>
  </si>
  <si>
    <t xml:space="preserve"> Total</t>
  </si>
  <si>
    <t>Saldo inicial al 01/01/2026</t>
  </si>
  <si>
    <t>Adiciones</t>
  </si>
  <si>
    <t>Desapropiaciones</t>
  </si>
  <si>
    <t>Gasto por depreciación</t>
  </si>
  <si>
    <t>Deterioro</t>
  </si>
  <si>
    <t>Transferencias</t>
  </si>
  <si>
    <t>Saldo final al 31/12/2026</t>
  </si>
  <si>
    <t>31-06-2026</t>
  </si>
  <si>
    <t>Detalle</t>
  </si>
  <si>
    <t>Fondos mutuos</t>
  </si>
  <si>
    <t>Total</t>
  </si>
  <si>
    <t>DETALLE DE FONDOS MUTUOS</t>
  </si>
  <si>
    <t>Banco</t>
  </si>
  <si>
    <t>Moneda</t>
  </si>
  <si>
    <t xml:space="preserve">Cuentas comerciales netas vencidas según plazo </t>
  </si>
  <si>
    <t>No vencido</t>
  </si>
  <si>
    <t>De 0 a 30 días</t>
  </si>
  <si>
    <t>De 31 a 60 días</t>
  </si>
  <si>
    <t>De 61 a 90 días</t>
  </si>
  <si>
    <t>De 91 a 120 días</t>
  </si>
  <si>
    <t>De 121 a 180 días</t>
  </si>
  <si>
    <t>Mayor a 180 días</t>
  </si>
  <si>
    <t xml:space="preserve">Total </t>
  </si>
  <si>
    <t>Saldo inicial</t>
  </si>
  <si>
    <t>La composición de este rubro es la siguiente:</t>
  </si>
  <si>
    <t>Bodega central (*)</t>
  </si>
  <si>
    <t>Otras bodegas (**)</t>
  </si>
  <si>
    <t>Bodega tecnica</t>
  </si>
  <si>
    <t>Bodega en transito</t>
  </si>
  <si>
    <t>Bodega de contratistas</t>
  </si>
  <si>
    <t>Bodega de operaciones</t>
  </si>
  <si>
    <t>Deterioro por obsolescencia de materiales</t>
  </si>
  <si>
    <t>El movimiento de la provisión de obsolescencia al cierre de cada ejercicio es el siguiente:</t>
  </si>
  <si>
    <t xml:space="preserve">     M$</t>
  </si>
  <si>
    <t>Disminución por obsolescencia</t>
  </si>
  <si>
    <t>Utilización por castigo</t>
  </si>
  <si>
    <t>Aumento por obsolescencia</t>
  </si>
  <si>
    <t>Saldo final</t>
  </si>
  <si>
    <t xml:space="preserve"> Los movimientos de los inventarios son los siguientes:</t>
  </si>
  <si>
    <t>Movimiento</t>
  </si>
  <si>
    <t>Compras</t>
  </si>
  <si>
    <t xml:space="preserve">Traspaso a PPE </t>
  </si>
  <si>
    <t>Consumos (1)</t>
  </si>
  <si>
    <t>Provisión de  obsolescencia</t>
  </si>
  <si>
    <t>Otros movimientos</t>
  </si>
  <si>
    <t>Traspasos</t>
  </si>
  <si>
    <t>Durante el ejercicio 2025 y 2024, se efectuaron traspasos desde inventarios a propiedades, planta y equipo, por los siguientes conceptos:</t>
  </si>
  <si>
    <t>Licencias</t>
  </si>
  <si>
    <t>Equipos computacionales</t>
  </si>
  <si>
    <t>Equipos portatiles</t>
  </si>
  <si>
    <t>Muebles y utiles</t>
  </si>
  <si>
    <t>Materiales domiciliarios</t>
  </si>
  <si>
    <t>Vehiculos</t>
  </si>
  <si>
    <t>Equipos Seriados</t>
  </si>
  <si>
    <t>31.12.2025</t>
  </si>
  <si>
    <t>Movimientos de amortizacion acumulada</t>
  </si>
  <si>
    <t>Gasto por amortización</t>
  </si>
  <si>
    <t>Saldo final al 31/12/2025</t>
  </si>
  <si>
    <t>A continuación, se detallan los valores registrados en el estado de resultados de contratos de arrendamientos no considerados derechos de uso:</t>
  </si>
  <si>
    <t>Tipo de contrato</t>
  </si>
  <si>
    <t>Arriendos de corto plazo</t>
  </si>
  <si>
    <t>Arriendos de bajo valor</t>
  </si>
  <si>
    <t>Arriendos que no transfieren control (1)</t>
  </si>
  <si>
    <t>Los pagos mínimos no descontados por compromisos futuros de los arriendos no considerados como derechos de uso son los siguientes:</t>
  </si>
  <si>
    <t>Menos de 1 año</t>
  </si>
  <si>
    <t>Entre 1 y 5 años</t>
  </si>
  <si>
    <t>Mas de 5 años</t>
  </si>
  <si>
    <t>Arriendos que no transfieren control</t>
  </si>
  <si>
    <t>31.12.2026</t>
  </si>
  <si>
    <t>Corriente</t>
  </si>
  <si>
    <t>No corriente</t>
  </si>
  <si>
    <t xml:space="preserve">Arriendo Bodegas </t>
  </si>
  <si>
    <t xml:space="preserve">Arriendo casa matriz </t>
  </si>
  <si>
    <t>Hub´s</t>
  </si>
  <si>
    <t xml:space="preserve">Otros espacios </t>
  </si>
  <si>
    <t>Sucursales</t>
  </si>
  <si>
    <t>Arriendo postes</t>
  </si>
  <si>
    <t>Arriendo vehículos</t>
  </si>
  <si>
    <t xml:space="preserve">VENCIMIENTO DE PASIVOS SIN DESCONTAR </t>
  </si>
  <si>
    <t>Detalle al 30/06/2026</t>
  </si>
  <si>
    <t>90 días</t>
  </si>
  <si>
    <t>90 días a 1 años</t>
  </si>
  <si>
    <t>Total Corriente</t>
  </si>
  <si>
    <t>2 a 3 años</t>
  </si>
  <si>
    <t>4 a 7 años</t>
  </si>
  <si>
    <t>Total No Corriente</t>
  </si>
  <si>
    <t>Pasivos por derecho de uso</t>
  </si>
  <si>
    <t xml:space="preserve">CAMBIOS EN PASIVO POR DERECHO DE USO </t>
  </si>
  <si>
    <t xml:space="preserve">                 Pagos</t>
  </si>
  <si>
    <t>Tipo</t>
  </si>
  <si>
    <t>Nuevos Contratos</t>
  </si>
  <si>
    <t>Baja de contratos</t>
  </si>
  <si>
    <t>Interés Devengado</t>
  </si>
  <si>
    <t>Otros</t>
  </si>
  <si>
    <t>Reajuste</t>
  </si>
  <si>
    <t>Capital</t>
  </si>
  <si>
    <t>Intereses (1)</t>
  </si>
  <si>
    <t>Saldo final al 30/06/2026</t>
  </si>
  <si>
    <t xml:space="preserve">Préstamos bancarios </t>
  </si>
  <si>
    <t>Leasings financieros</t>
  </si>
  <si>
    <t xml:space="preserve">VENCIMIENTO DE PASIVOS SIN DESCONTAR (NIC 32) </t>
  </si>
  <si>
    <t>Otros acreedores financieros</t>
  </si>
  <si>
    <t>Instrumentos de cobertura</t>
  </si>
  <si>
    <t>Nuevos Créditos</t>
  </si>
  <si>
    <t>Mark to Market</t>
  </si>
  <si>
    <t>Préstamos bancarios</t>
  </si>
  <si>
    <t>Total Otros Pasivos Financieros</t>
  </si>
  <si>
    <t>DETALLE LEASING FINANCIERO 2026</t>
  </si>
  <si>
    <t>Institución</t>
  </si>
  <si>
    <t>Vencimiento</t>
  </si>
  <si>
    <t>Número de operación</t>
  </si>
  <si>
    <t>Tasa interés anual</t>
  </si>
  <si>
    <t>No Corriente</t>
  </si>
  <si>
    <t>Banco Crédito e Inversiones</t>
  </si>
  <si>
    <t>UF</t>
  </si>
  <si>
    <t>CLP$</t>
  </si>
  <si>
    <t>Intereses diferidos arriendos financieros</t>
  </si>
  <si>
    <t>Totales arriendos financieros</t>
  </si>
  <si>
    <t>DETALLE PRESTAMOS BANCARIOS 2025</t>
  </si>
  <si>
    <t>Tipo de operación</t>
  </si>
  <si>
    <t>Banco de crédito e Inversiones</t>
  </si>
  <si>
    <t>CLP</t>
  </si>
  <si>
    <t>Préstamo</t>
  </si>
  <si>
    <t>Banco de Crédito e Inversiones</t>
  </si>
  <si>
    <t>US$</t>
  </si>
  <si>
    <t>Gastos de Crédito</t>
  </si>
  <si>
    <t>Sub- Total préstamos bancarios</t>
  </si>
  <si>
    <t>Intereses devengados préstamos bancarios</t>
  </si>
  <si>
    <t>Totales préstamos bancarios</t>
  </si>
  <si>
    <t>Detalle de instrumentos de cobertura</t>
  </si>
  <si>
    <t xml:space="preserve"> Entidad                </t>
  </si>
  <si>
    <t xml:space="preserve"> Cobertura       </t>
  </si>
  <si>
    <t xml:space="preserve"> Partida cubierta USD </t>
  </si>
  <si>
    <t xml:space="preserve"> Partida cubierta M$ </t>
  </si>
  <si>
    <t xml:space="preserve"> Tipo de instrumento </t>
  </si>
  <si>
    <t xml:space="preserve"> Riesgo cubierto           </t>
  </si>
  <si>
    <t xml:space="preserve"> Moneda </t>
  </si>
  <si>
    <t xml:space="preserve"> Liquidación </t>
  </si>
  <si>
    <t xml:space="preserve"> Vencimiento </t>
  </si>
  <si>
    <t xml:space="preserve"> Activo M$ </t>
  </si>
  <si>
    <t xml:space="preserve"> Pasivo M$ </t>
  </si>
  <si>
    <t xml:space="preserve"> DB Terra Chile Holdco SpA </t>
  </si>
  <si>
    <t xml:space="preserve"> Préstamo USD    </t>
  </si>
  <si>
    <t xml:space="preserve">                    </t>
  </si>
  <si>
    <t xml:space="preserve"> CCS                 </t>
  </si>
  <si>
    <t xml:space="preserve"> Moneda y tasa            </t>
  </si>
  <si>
    <t xml:space="preserve"> USD    </t>
  </si>
  <si>
    <t xml:space="preserve"> Trimestral  </t>
  </si>
  <si>
    <t xml:space="preserve"> 16-03-27    </t>
  </si>
  <si>
    <t xml:space="preserve"> Préstamo $      </t>
  </si>
  <si>
    <t xml:space="preserve">                     </t>
  </si>
  <si>
    <t xml:space="preserve"> IRS                 </t>
  </si>
  <si>
    <t xml:space="preserve"> Tasa                     </t>
  </si>
  <si>
    <t xml:space="preserve"> $      </t>
  </si>
  <si>
    <t xml:space="preserve">                 </t>
  </si>
  <si>
    <t xml:space="preserve">                          </t>
  </si>
  <si>
    <t xml:space="preserve">        </t>
  </si>
  <si>
    <t xml:space="preserve">             </t>
  </si>
  <si>
    <t>VENCIMIENTOS</t>
  </si>
  <si>
    <t xml:space="preserve"> Cuentas comerciales según plazo </t>
  </si>
  <si>
    <t xml:space="preserve">No vencidas y de 0 a 30 días </t>
  </si>
  <si>
    <t>Ingresos percibidos por adelantado</t>
  </si>
  <si>
    <t> NOTA DE IMPUESTOS DIFERIDOS</t>
  </si>
  <si>
    <t>1)</t>
  </si>
  <si>
    <t>Los saldos acumulados netos de las diferencias temporarias originaron activos y pasivos por impuestos diferidos, cuyo detalle es el siguiente:</t>
  </si>
  <si>
    <t>Pasivos</t>
  </si>
  <si>
    <t>Provisión vacaciones</t>
  </si>
  <si>
    <t>Activos en leasing netos</t>
  </si>
  <si>
    <t>Provisión de incobrables</t>
  </si>
  <si>
    <t xml:space="preserve">Propiedades, planta y equipos (1) </t>
  </si>
  <si>
    <t>Intangibles (2)</t>
  </si>
  <si>
    <t>Provisión obsolescencia</t>
  </si>
  <si>
    <t xml:space="preserve"> </t>
  </si>
  <si>
    <t>Arrendamiento (IFRS 16)</t>
  </si>
  <si>
    <t>Costos financieros créditos</t>
  </si>
  <si>
    <t>Provisiones y anticipos</t>
  </si>
  <si>
    <t xml:space="preserve">Perdida tributaria </t>
  </si>
  <si>
    <t>reclasificación</t>
  </si>
  <si>
    <t xml:space="preserve">Total neto </t>
  </si>
  <si>
    <t>2)</t>
  </si>
  <si>
    <t>Conciliación del saldo inicial y final de impuestos diferidos al 31 de diciembre de 2025 y 2024</t>
  </si>
  <si>
    <t xml:space="preserve">Saldo inicial impuestos diferidos al 1 de enero </t>
  </si>
  <si>
    <t>(cargos)/abonos que no afectaron resultado:</t>
  </si>
  <si>
    <t xml:space="preserve">   Variaciones por revalorización de propiedad, planta y equipos con efecto en     reservas</t>
  </si>
  <si>
    <t>-</t>
  </si>
  <si>
    <t xml:space="preserve">   Variaciones por instrumento de cobertura con efecto en reservas</t>
  </si>
  <si>
    <t>Sub total (cargos)/abonos que no afectaron el resultado</t>
  </si>
  <si>
    <t>(cargos)/abonos que afectaron resultado:</t>
  </si>
  <si>
    <t>Saldo final impuestos diferidos al 31 de diciembre</t>
  </si>
  <si>
    <t>3)</t>
  </si>
  <si>
    <t>Los efectos de impuestos por los ejercicios 2025 y 2024 se detallan a continuación:</t>
  </si>
  <si>
    <t xml:space="preserve"> M$ </t>
  </si>
  <si>
    <t>Efectos en reservas de patrimonio</t>
  </si>
  <si>
    <t>Efecto por impuestos diferidos</t>
  </si>
  <si>
    <t>Efectos en resultado</t>
  </si>
  <si>
    <t xml:space="preserve">Efecto de impuestos diferidos </t>
  </si>
  <si>
    <t xml:space="preserve">Efecto por impuestos a la renta </t>
  </si>
  <si>
    <t>4)</t>
  </si>
  <si>
    <t xml:space="preserve"> La composición del gasto por impuesto a la renta es la siguiente:</t>
  </si>
  <si>
    <t>Movimientos en activos por impuestos diferidos</t>
  </si>
  <si>
    <t>Gasto por impuesto a las ganancias:</t>
  </si>
  <si>
    <t>Gasto por impuestos corrientes (Impuesto único)</t>
  </si>
  <si>
    <t>Gasto por impuestos relativo a la creación y reversión de diferencias temporarias</t>
  </si>
  <si>
    <t>(Gasto) ingreso por impuesto a las ganancias</t>
  </si>
  <si>
    <t>5)</t>
  </si>
  <si>
    <t>Reconciliación de tasa efectiva:</t>
  </si>
  <si>
    <t>Resultado antes de impuesto a la renta</t>
  </si>
  <si>
    <t>Gasto por impuesto utilizando la tasa legal</t>
  </si>
  <si>
    <t>Efecto corrección monetaria patrimonio tributario</t>
  </si>
  <si>
    <t>Efecto corrección monetaria pérdida tributaria arrastre</t>
  </si>
  <si>
    <t>Efecto corrección monetaria inversión tributaria</t>
  </si>
  <si>
    <t>Efecto amortización ppa</t>
  </si>
  <si>
    <t>Efecto goodwill no asignado</t>
  </si>
  <si>
    <t>Efecto Instrumento de cobertura</t>
  </si>
  <si>
    <t>Efecto impositivo por cambio de regimen</t>
  </si>
  <si>
    <t xml:space="preserve">Efecto impositivo por fusión </t>
  </si>
  <si>
    <t>Efecto impositivo castigo de incobrables</t>
  </si>
  <si>
    <t>Efecto impositivo de otras diferencias permanentes</t>
  </si>
  <si>
    <t>Ajuste por reliquidación de impuesto a la renta</t>
  </si>
  <si>
    <t>Efecto impositivo de anticipo clientes</t>
  </si>
  <si>
    <t>Gasto por impuesto utilizando la tasa efectiva</t>
  </si>
  <si>
    <t>Tasa efectiva</t>
  </si>
  <si>
    <t>RUT</t>
  </si>
  <si>
    <t>Nombre</t>
  </si>
  <si>
    <t>Participación</t>
  </si>
  <si>
    <t>78.079.629-4</t>
  </si>
  <si>
    <t>Neoconex Fibra SpA</t>
  </si>
  <si>
    <t>La composición del rubro de cuentas por cobrar corrientes con empresas relacionadas por los años 2026 y 2025 es el siguiente:</t>
  </si>
  <si>
    <t>Tipo de</t>
  </si>
  <si>
    <t>Nombre entidad</t>
  </si>
  <si>
    <t>relación</t>
  </si>
  <si>
    <t xml:space="preserve">DB Terra Chile Parent SpA </t>
  </si>
  <si>
    <t>Accionista</t>
  </si>
  <si>
    <t>a)           Transacciones significativas con empresas relacionadas</t>
  </si>
  <si>
    <t>Naturaleza de la relación</t>
  </si>
  <si>
    <t xml:space="preserve">Descripción de la </t>
  </si>
  <si>
    <t>R.U.T.</t>
  </si>
  <si>
    <t>Transacción</t>
  </si>
  <si>
    <t>Efecto en resultado cargo/(abono)</t>
  </si>
  <si>
    <t>77.494.542-17</t>
  </si>
  <si>
    <t>DB Terra Chile Parent SpA</t>
  </si>
  <si>
    <t>Matriz</t>
  </si>
  <si>
    <t>Cobro por pago proveedores , etc</t>
  </si>
  <si>
    <t>Pesos Chilenos</t>
  </si>
  <si>
    <t>77.494.542-18</t>
  </si>
  <si>
    <t>77.494.542-16</t>
  </si>
  <si>
    <t>77.494.542-15</t>
  </si>
  <si>
    <t>77.494.542-14</t>
  </si>
  <si>
    <t>77.494.542-13</t>
  </si>
  <si>
    <t>77.494.542-12</t>
  </si>
  <si>
    <t>77.494.542-11</t>
  </si>
  <si>
    <t>77.494.542-10</t>
  </si>
  <si>
    <t>77.494.542-9</t>
  </si>
  <si>
    <t>77.494.542-8</t>
  </si>
  <si>
    <t>77.494.542-7</t>
  </si>
  <si>
    <t>77.494.542-6</t>
  </si>
  <si>
    <t>77.494.542-5</t>
  </si>
  <si>
    <t>77.494.542-4</t>
  </si>
  <si>
    <t>77.494.542-3</t>
  </si>
  <si>
    <t>77.494.542-2</t>
  </si>
  <si>
    <t>77.494.542-1</t>
  </si>
  <si>
    <t>77.494.542-0</t>
  </si>
  <si>
    <t>Nombre del accionista</t>
  </si>
  <si>
    <t>N° de acciones</t>
  </si>
  <si>
    <t>% participacion</t>
  </si>
  <si>
    <t>Movimiento de acciones</t>
  </si>
  <si>
    <t>Saldo inicial acciones DB Terra Chile Holdco SpA.</t>
  </si>
  <si>
    <t>Adiciones (bajas)</t>
  </si>
  <si>
    <t>Otras reservas</t>
  </si>
  <si>
    <t>Otros ingresos por función</t>
  </si>
  <si>
    <t xml:space="preserve">Indemnizaciones y  multas </t>
  </si>
  <si>
    <t>Castigo de inventarios</t>
  </si>
  <si>
    <t>Castigo de proyectos</t>
  </si>
  <si>
    <t>Castigo de otros deudores</t>
  </si>
  <si>
    <t>Provision obsolescencia</t>
  </si>
  <si>
    <t>Otros  (cta 3106104)</t>
  </si>
  <si>
    <t>Venta de activos fijos</t>
  </si>
  <si>
    <t>Diferencia de inventarios</t>
  </si>
  <si>
    <t>Indemnizaciones de seguros</t>
  </si>
  <si>
    <t>Otros (cta 3103110)</t>
  </si>
  <si>
    <t>RIESGO DE TIPO DE CAMBIO</t>
  </si>
  <si>
    <t>Aumento</t>
  </si>
  <si>
    <t>Baja</t>
  </si>
  <si>
    <t>10% T/C</t>
  </si>
  <si>
    <t>10% de T/C</t>
  </si>
  <si>
    <t>Saldos de pasivos en USD</t>
  </si>
  <si>
    <t>Saldos de pasivos en Euros</t>
  </si>
  <si>
    <t>Saldos de pasivos en Yuan</t>
  </si>
  <si>
    <t>Utilidad (pérdida) por variación de tipo de cambio</t>
  </si>
  <si>
    <t>RIESGO DE TASAS DE INTERES</t>
  </si>
  <si>
    <t>Valor al cierre 
M$</t>
  </si>
  <si>
    <t>Aumento 10% ICP</t>
  </si>
  <si>
    <t>Baja 10% de ICP</t>
  </si>
  <si>
    <t>Saldos de desembolsos en CLP</t>
  </si>
  <si>
    <t>DB Terra Chile Holdco SpA</t>
  </si>
  <si>
    <t>CAMBIOS EN PASIVO FINANCIERO 2026</t>
  </si>
  <si>
    <t>#N06.2</t>
  </si>
  <si>
    <t>#N07.1</t>
  </si>
  <si>
    <t>#N07.2</t>
  </si>
  <si>
    <t>#N07.3</t>
  </si>
  <si>
    <t>#N07.4</t>
  </si>
  <si>
    <t>#N09.1</t>
  </si>
  <si>
    <t>#N09.2[COMPARATIVO]</t>
  </si>
  <si>
    <t>#N10.2</t>
  </si>
  <si>
    <t>#N10.3</t>
  </si>
  <si>
    <t>#N16.1</t>
  </si>
  <si>
    <t>#N16.2[COMPARATIVO]</t>
  </si>
  <si>
    <t xml:space="preserve">#N15.3[COMPARATIVO] </t>
  </si>
  <si>
    <t>#N15.5</t>
  </si>
  <si>
    <t>Instrument type</t>
  </si>
  <si>
    <t>Description</t>
  </si>
  <si>
    <t>Issuer</t>
  </si>
  <si>
    <t>Currency</t>
  </si>
  <si>
    <t>Issue date</t>
  </si>
  <si>
    <t>Maturity date</t>
  </si>
  <si>
    <t>Transaction type</t>
  </si>
  <si>
    <t>Annual nominal interest rate</t>
  </si>
  <si>
    <t>USD</t>
  </si>
  <si>
    <t>7.95%</t>
  </si>
  <si>
    <t>Subtotal bonds</t>
  </si>
  <si>
    <t>Accrued interest</t>
  </si>
  <si>
    <t xml:space="preserve">            - </t>
  </si>
  <si>
    <t>Total bonds</t>
  </si>
  <si>
    <t>BONOS EMITIDOS</t>
  </si>
  <si>
    <t>#N15.6</t>
  </si>
  <si>
    <t>#N15.7</t>
  </si>
  <si>
    <t>Bono corporativo</t>
  </si>
  <si>
    <t xml:space="preserve">Bono 144A </t>
  </si>
  <si>
    <t>Bono</t>
  </si>
  <si>
    <t>#N14.1</t>
  </si>
  <si>
    <t>#N14.3</t>
  </si>
  <si>
    <t>#N13.1</t>
  </si>
  <si>
    <t>#N13.2</t>
  </si>
  <si>
    <t>#N13.3</t>
  </si>
  <si>
    <t>#N13.4</t>
  </si>
  <si>
    <t>#N13.5</t>
  </si>
  <si>
    <t>#N20.1</t>
  </si>
  <si>
    <t>#N20.2</t>
  </si>
  <si>
    <t>Capital suscrito y pagado y número de accionistas</t>
  </si>
  <si>
    <t>Utilidad (pérdida) por acción</t>
  </si>
  <si>
    <t>#N20.3</t>
  </si>
  <si>
    <t xml:space="preserve"> 31-12-2025</t>
  </si>
  <si>
    <t>Pérdida del ejercicio M$</t>
  </si>
  <si>
    <t>Número de acciones</t>
  </si>
  <si>
    <t>Pérdida básica por acción (pesos por acción)</t>
  </si>
  <si>
    <t>Saldo inicial 01-01</t>
  </si>
  <si>
    <t>Revalorización de PPyE</t>
  </si>
  <si>
    <t>Reservas por coberturas</t>
  </si>
  <si>
    <t>Saldo 31-12-2025</t>
  </si>
  <si>
    <t xml:space="preserve">#N15.4[COMPARATIVO] </t>
  </si>
  <si>
    <t>#N15.8</t>
  </si>
  <si>
    <t xml:space="preserve">#N14.2[COMPARATIVO] </t>
  </si>
  <si>
    <t>#N25.1</t>
  </si>
  <si>
    <t>#N25.2</t>
  </si>
  <si>
    <t>Otros gastos por función</t>
  </si>
  <si>
    <t>#N27.1</t>
  </si>
  <si>
    <t>#N27.2</t>
  </si>
  <si>
    <t>GARANTIAS OBTENIDAS Y OTORGADAS</t>
  </si>
  <si>
    <t xml:space="preserve">Banco </t>
  </si>
  <si>
    <t>Monto en Moneda Origen</t>
  </si>
  <si>
    <t>Monto CLP</t>
  </si>
  <si>
    <t xml:space="preserve">Inicio </t>
  </si>
  <si>
    <t>Termino</t>
  </si>
  <si>
    <t>Banco del Estado de Chile</t>
  </si>
  <si>
    <t>Banco Scotiabank</t>
  </si>
  <si>
    <t>#N10.4</t>
  </si>
  <si>
    <t>#N04.3</t>
  </si>
  <si>
    <t>#N17.4</t>
  </si>
  <si>
    <t>#N16.3[COMPARATIVO]</t>
  </si>
  <si>
    <t>#N20.4</t>
  </si>
  <si>
    <t>#N27.3</t>
  </si>
  <si>
    <t>Scotiabank</t>
  </si>
  <si>
    <t>Estado</t>
  </si>
  <si>
    <t>$</t>
  </si>
  <si>
    <t xml:space="preserve"> -   </t>
  </si>
  <si>
    <t>Bajas</t>
  </si>
  <si>
    <t xml:space="preserve">                      - </t>
  </si>
  <si>
    <t xml:space="preserve"> - </t>
  </si>
  <si>
    <t xml:space="preserve">                         - </t>
  </si>
  <si>
    <t>Gastos anticipados</t>
  </si>
  <si>
    <t>DB Terra Chile Holdco SpA.</t>
  </si>
  <si>
    <t>Utilidas por venta de materiales a terceros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</si>
</sst>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 * #,##0_ ;_ * \-#,##0_ ;_ * &quot;-&quot;_ ;_ @_ "/>
    <numFmt numFmtId="43" formatCode="_ * #,##0.00_ ;_ * \-#,##0.00_ ;_ * &quot;-&quot;??_ ;_ @_ "/>
    <numFmt numFmtId="164" formatCode="_ * #,##0_ ;_ * \-#,##0_ ;_ * &quot;-&quot;??_ ;_ @_ "/>
    <numFmt numFmtId="165" formatCode="_(#,##0_);_(\ \(#,##0\);_(&quot;-&quot;??_);_(@_)"/>
    <numFmt numFmtId="166" formatCode="_(* #,##0_);_(* \(#,##0\);_(* &quot;-&quot;??_);_(@_)"/>
    <numFmt numFmtId="167" formatCode="_-* #,##0_-;\-* #,##0_-;_-* &quot;-&quot;_-;_-@_-"/>
    <numFmt numFmtId="168" formatCode="0.0%"/>
    <numFmt numFmtId="169" formatCode="_-* #,##0.00_-;\-* #,##0.00_-;_-* &quot;-&quot;??_-;_-@_-"/>
    <numFmt numFmtId="182" formatCode="_(* #,##0.00_);_(* \(#,##0.00\);_(* &quot;-&quot;??_);_(@_)"/>
  </numFmts>
  <fonts count="7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8"/>
      <color rgb="FFFF0000"/>
      <name val="Arial"/>
      <family val="2"/>
    </font>
    <font>
      <sz val="9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rgb="FFFF000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9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9"/>
      <color theme="1"/>
      <name val="Arial"/>
      <family val="2"/>
    </font>
    <font>
      <u/>
      <sz val="9"/>
      <color theme="1"/>
      <name val="Arial"/>
      <family val="2"/>
    </font>
    <font>
      <u/>
      <sz val="9"/>
      <color rgb="FF000000"/>
      <name val="Arial"/>
      <family val="2"/>
    </font>
    <font>
      <sz val="8"/>
      <color rgb="FF000000"/>
      <name val="Arial"/>
      <family val="2"/>
    </font>
    <font>
      <sz val="10"/>
      <color theme="1"/>
      <name val="Georgia"/>
      <family val="1"/>
    </font>
    <font>
      <sz val="8"/>
      <color theme="1"/>
      <name val="Georgia"/>
      <family val="1"/>
    </font>
    <font>
      <sz val="10"/>
      <color rgb="FF000000"/>
      <name val="Georgia"/>
      <family val="1"/>
    </font>
    <font>
      <u/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6"/>
      <color theme="1"/>
      <name val="Arial"/>
      <family val="2"/>
    </font>
    <font>
      <b/>
      <sz val="6"/>
      <color rgb="FF000000"/>
      <name val="Arial"/>
      <family val="2"/>
    </font>
    <font>
      <b/>
      <u/>
      <sz val="9"/>
      <color rgb="FF000000"/>
      <name val="Arial"/>
      <family val="2"/>
    </font>
    <font>
      <u/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9"/>
      <color rgb="FF000000"/>
      <name val="Arial"/>
      <family val="2"/>
    </font>
    <font>
      <sz val="11"/>
      <color theme="1"/>
      <name val="Arial"/>
      <family val="2"/>
    </font>
    <font>
      <sz val="7"/>
      <color rgb="FF000000"/>
      <name val="Arial"/>
      <family val="2"/>
    </font>
    <font>
      <u/>
      <sz val="8"/>
      <color theme="1"/>
      <name val="Arial"/>
      <family val="2"/>
    </font>
    <font>
      <sz val="8"/>
      <name val="Arial"/>
      <family val="2"/>
    </font>
    <font>
      <b/>
      <sz val="12"/>
      <color theme="1"/>
      <name val="Calibri"/>
      <family val="2"/>
      <scheme val="minor"/>
    </font>
    <font>
      <sz val="7"/>
      <color theme="1"/>
      <name val="Arial"/>
      <family val="2"/>
    </font>
    <font>
      <b/>
      <sz val="7"/>
      <color rgb="FF000000"/>
      <name val="Arial"/>
      <family val="2"/>
    </font>
    <font>
      <b/>
      <sz val="7"/>
      <color theme="1"/>
      <name val="Arial"/>
      <family val="2"/>
    </font>
    <font>
      <u/>
      <sz val="10"/>
      <color theme="1"/>
      <name val="Calibri"/>
      <family val="2"/>
      <scheme val="minor"/>
    </font>
    <font>
      <u/>
      <sz val="7"/>
      <color rgb="FF000000"/>
      <name val="Arial"/>
      <family val="2"/>
    </font>
    <font>
      <sz val="8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0"/>
      <color rgb="FF000000"/>
      <name val="Times New Roman"/>
      <family val="1"/>
    </font>
    <font>
      <sz val="7"/>
      <color rgb="FFFF0000"/>
      <name val="Arial"/>
      <family val="2"/>
    </font>
    <font>
      <sz val="9"/>
      <color theme="1"/>
      <name val="Times New Roman"/>
      <family val="1"/>
    </font>
    <font>
      <b/>
      <sz val="11"/>
      <name val="Calibri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sz val="8"/>
      <color theme="1"/>
      <name val="Arial"/>
      <family val="2"/>
    </font>
    <font>
      <sz val="10"/>
      <color rgb="FFFF0000"/>
      <name val="Consolas"/>
      <family val="3"/>
    </font>
    <font>
      <u/>
      <sz val="11"/>
      <name val="Arial"/>
      <family val="2"/>
    </font>
    <font>
      <b/>
      <u/>
      <sz val="11"/>
      <name val="Calibri"/>
      <family val="2"/>
      <scheme val="minor"/>
    </font>
    <font>
      <b/>
      <sz val="11"/>
      <name val="Calibri"/>
      <family val="2"/>
      <scheme val="minor"/>
    </font>
    <font>
      <sz val="8.25"/>
      <color rgb="FFFF0000"/>
      <name val="Source Code Pro"/>
      <family val="3"/>
    </font>
    <font>
      <sz val="8.25"/>
      <color rgb="FFFF0000"/>
      <name val="Source Code Pro"/>
      <family val="3"/>
    </font>
    <font>
      <sz val="7"/>
      <color rgb="FF111827"/>
      <name val="Calibri"/>
      <family val="2"/>
    </font>
    <font>
      <sz val="7"/>
      <color rgb="FF000000"/>
      <name val="Calibri"/>
      <family val="2"/>
    </font>
    <font>
      <sz val="7"/>
      <color rgb="FF000000"/>
      <name val="Aptos Narrow"/>
      <family val="2"/>
    </font>
    <font>
      <sz val="7"/>
      <color rgb="FF374151"/>
      <name val="Calibri"/>
      <family val="2"/>
    </font>
    <font>
      <sz val="12"/>
      <color theme="1"/>
      <name val="Aptos"/>
      <family val="2"/>
    </font>
    <font>
      <b/>
      <sz val="9"/>
      <color theme="1"/>
      <name val="Arial"/>
      <family val="2"/>
    </font>
    <font>
      <sz val="11"/>
      <color theme="1"/>
      <name val="Georgia"/>
      <family val="1"/>
    </font>
    <font>
      <b/>
      <sz val="11"/>
      <color theme="1"/>
      <name val="Georgia"/>
      <family val="1"/>
    </font>
    <font>
      <b/>
      <u/>
      <sz val="10"/>
      <name val="Arial"/>
      <family val="2"/>
    </font>
    <font>
      <sz val="6"/>
      <color rgb="FF000000"/>
      <name val="Arial"/>
      <family val="2"/>
    </font>
    <font>
      <sz val="9.5"/>
      <color rgb="FF000000"/>
      <name val="Arial"/>
      <family val="2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1">
    <xf numFmtId="0" fontId="0" fillId="0" borderId="0"/>
    <xf numFmtId="43" fontId="1" fillId="0" borderId="0"/>
    <xf numFmtId="41" fontId="1" fillId="0" borderId="0"/>
    <xf numFmtId="9" fontId="1" fillId="0" borderId="0"/>
    <xf numFmtId="0" fontId="7" fillId="0" borderId="0"/>
    <xf numFmtId="0" fontId="9" fillId="0" borderId="0"/>
    <xf numFmtId="41" fontId="51" fillId="0" borderId="0"/>
    <xf numFmtId="0" fontId="9" fillId="0" borderId="0"/>
    <xf numFmtId="0" fontId="1" fillId="0" borderId="0"/>
    <xf numFmtId="10" fontId="9" fillId="0" borderId="0"/>
    <xf numFmtId="167" fontId="1" fillId="0" borderId="0"/>
    <xf numFmtId="43" fontId="9" fillId="0" borderId="0"/>
    <xf numFmtId="169" fontId="9" fillId="0" borderId="0"/>
    <xf numFmtId="0" fontId="9" fillId="0" borderId="0"/>
    <xf numFmtId="0" fontId="1" fillId="0" borderId="0"/>
    <xf numFmtId="0" fontId="9" fillId="0" borderId="0"/>
    <xf numFmtId="0" fontId="34" fillId="0" borderId="0"/>
    <xf numFmtId="9" fontId="34" fillId="0" borderId="0"/>
    <xf numFmtId="41" fontId="1" fillId="0" borderId="0"/>
    <xf numFmtId="41" fontId="1" fillId="0" borderId="0"/>
    <xf numFmtId="41" fontId="1" fillId="0" borderId="0"/>
  </cellStyleXfs>
  <cellXfs count="446">
    <xf numFmtId="0" fontId="0" fillId="0" borderId="0" xfId="0"/>
    <xf numFmtId="0" fontId="5" fillId="0" borderId="0" xfId="0" applyFont="1" applyAlignment="1">
      <alignment horizontal="justify" vertical="center" wrapText="1"/>
    </xf>
    <xf numFmtId="3" fontId="0" fillId="0" borderId="0" xfId="0" applyNumberFormat="1"/>
    <xf numFmtId="41" fontId="0" fillId="0" borderId="0" xfId="0" applyNumberFormat="1"/>
    <xf numFmtId="41" fontId="0" fillId="0" borderId="0" xfId="2" applyFont="1"/>
    <xf numFmtId="0" fontId="6" fillId="0" borderId="0" xfId="0" applyFont="1"/>
    <xf numFmtId="0" fontId="12" fillId="0" borderId="0" xfId="0" applyFont="1"/>
    <xf numFmtId="0" fontId="0" fillId="0" borderId="0" xfId="0" applyAlignment="1">
      <alignment horizontal="center"/>
    </xf>
    <xf numFmtId="0" fontId="13" fillId="0" borderId="0" xfId="0" applyFont="1"/>
    <xf numFmtId="0" fontId="1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0" fontId="5" fillId="0" borderId="0" xfId="0" applyFont="1" applyAlignment="1">
      <alignment horizontal="right" vertical="center" wrapText="1"/>
    </xf>
    <xf numFmtId="164" fontId="5" fillId="0" borderId="7" xfId="1" applyNumberFormat="1" applyFont="1" applyBorder="1" applyAlignment="1">
      <alignment vertical="center" wrapText="1"/>
    </xf>
    <xf numFmtId="164" fontId="0" fillId="0" borderId="0" xfId="1" applyNumberFormat="1" applyFont="1"/>
    <xf numFmtId="165" fontId="0" fillId="0" borderId="0" xfId="2" applyNumberFormat="1" applyFont="1"/>
    <xf numFmtId="165" fontId="0" fillId="0" borderId="0" xfId="0" applyNumberFormat="1"/>
    <xf numFmtId="0" fontId="5" fillId="4" borderId="0" xfId="0" applyFont="1" applyFill="1" applyAlignment="1">
      <alignment vertical="center" wrapText="1"/>
    </xf>
    <xf numFmtId="0" fontId="15" fillId="4" borderId="0" xfId="0" applyFont="1" applyFill="1" applyAlignment="1">
      <alignment vertical="center" wrapText="1"/>
    </xf>
    <xf numFmtId="0" fontId="17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justify" vertical="center" wrapText="1"/>
    </xf>
    <xf numFmtId="0" fontId="5" fillId="4" borderId="0" xfId="0" applyFont="1" applyFill="1" applyAlignment="1">
      <alignment horizontal="center" vertical="center" wrapText="1"/>
    </xf>
    <xf numFmtId="3" fontId="5" fillId="4" borderId="0" xfId="0" applyNumberFormat="1" applyFont="1" applyFill="1" applyAlignment="1">
      <alignment horizontal="right" vertical="center" wrapText="1"/>
    </xf>
    <xf numFmtId="0" fontId="0" fillId="0" borderId="1" xfId="0" applyBorder="1"/>
    <xf numFmtId="0" fontId="20" fillId="0" borderId="0" xfId="0" applyFont="1" applyAlignment="1">
      <alignment horizontal="justify" vertical="center"/>
    </xf>
    <xf numFmtId="0" fontId="21" fillId="0" borderId="0" xfId="0" applyFont="1" applyAlignment="1">
      <alignment horizontal="justify" vertical="center"/>
    </xf>
    <xf numFmtId="0" fontId="15" fillId="4" borderId="0" xfId="0" applyFont="1" applyFill="1" applyAlignment="1">
      <alignment horizontal="justify" vertical="center" wrapText="1"/>
    </xf>
    <xf numFmtId="165" fontId="5" fillId="4" borderId="0" xfId="0" applyNumberFormat="1" applyFont="1" applyFill="1" applyAlignment="1">
      <alignment horizontal="right" vertical="center" wrapText="1"/>
    </xf>
    <xf numFmtId="165" fontId="5" fillId="4" borderId="6" xfId="0" applyNumberFormat="1" applyFont="1" applyFill="1" applyBorder="1" applyAlignment="1">
      <alignment horizontal="right" vertical="center" wrapText="1"/>
    </xf>
    <xf numFmtId="14" fontId="16" fillId="0" borderId="0" xfId="0" applyNumberFormat="1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9" fillId="0" borderId="0" xfId="0" applyFont="1" applyAlignment="1">
      <alignment horizontal="justify" vertical="center" wrapText="1"/>
    </xf>
    <xf numFmtId="165" fontId="15" fillId="0" borderId="6" xfId="0" applyNumberFormat="1" applyFont="1" applyBorder="1" applyAlignment="1">
      <alignment horizontal="right" vertical="center" wrapText="1"/>
    </xf>
    <xf numFmtId="165" fontId="5" fillId="0" borderId="6" xfId="0" applyNumberFormat="1" applyFont="1" applyBorder="1" applyAlignment="1">
      <alignment horizontal="right" vertical="center" wrapText="1"/>
    </xf>
    <xf numFmtId="165" fontId="5" fillId="0" borderId="0" xfId="0" applyNumberFormat="1" applyFont="1" applyAlignment="1">
      <alignment horizontal="right" vertical="center" wrapText="1"/>
    </xf>
    <xf numFmtId="0" fontId="19" fillId="0" borderId="0" xfId="0" applyFont="1" applyAlignment="1">
      <alignment horizontal="justify" vertical="center"/>
    </xf>
    <xf numFmtId="0" fontId="23" fillId="0" borderId="0" xfId="0" applyFont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65" fontId="23" fillId="0" borderId="0" xfId="0" applyNumberFormat="1" applyFont="1"/>
    <xf numFmtId="164" fontId="26" fillId="0" borderId="0" xfId="1" applyNumberFormat="1" applyFont="1" applyAlignment="1">
      <alignment horizontal="right" vertical="center" wrapText="1"/>
    </xf>
    <xf numFmtId="0" fontId="5" fillId="4" borderId="0" xfId="0" applyFont="1" applyFill="1" applyAlignment="1">
      <alignment horizontal="right" vertical="center" wrapText="1"/>
    </xf>
    <xf numFmtId="0" fontId="0" fillId="0" borderId="6" xfId="0" applyBorder="1"/>
    <xf numFmtId="0" fontId="17" fillId="0" borderId="0" xfId="0" applyFont="1" applyAlignment="1">
      <alignment horizontal="center" vertical="center" wrapText="1"/>
    </xf>
    <xf numFmtId="14" fontId="17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165" fontId="15" fillId="0" borderId="7" xfId="0" applyNumberFormat="1" applyFont="1" applyBorder="1" applyAlignment="1">
      <alignment vertical="center" wrapText="1"/>
    </xf>
    <xf numFmtId="0" fontId="27" fillId="0" borderId="0" xfId="0" applyFont="1" applyAlignment="1">
      <alignment horizontal="left" vertical="center" wrapText="1"/>
    </xf>
    <xf numFmtId="0" fontId="28" fillId="0" borderId="0" xfId="0" applyFont="1" applyAlignment="1">
      <alignment vertical="center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18" fillId="0" borderId="0" xfId="0" applyFont="1" applyAlignment="1">
      <alignment vertical="center" wrapText="1"/>
    </xf>
    <xf numFmtId="0" fontId="3" fillId="4" borderId="0" xfId="0" applyFont="1" applyFill="1" applyAlignment="1">
      <alignment horizontal="justify" vertical="center" wrapText="1"/>
    </xf>
    <xf numFmtId="0" fontId="18" fillId="4" borderId="0" xfId="0" applyFont="1" applyFill="1" applyAlignment="1">
      <alignment horizontal="justify" vertical="center" wrapText="1"/>
    </xf>
    <xf numFmtId="0" fontId="18" fillId="4" borderId="1" xfId="0" applyFont="1" applyFill="1" applyBorder="1" applyAlignment="1">
      <alignment horizontal="left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8" fillId="4" borderId="0" xfId="0" applyFont="1" applyFill="1" applyAlignment="1">
      <alignment horizontal="center" vertical="center" wrapText="1"/>
    </xf>
    <xf numFmtId="0" fontId="18" fillId="4" borderId="0" xfId="0" applyFont="1" applyFill="1" applyAlignment="1">
      <alignment horizontal="left" vertical="center" wrapText="1"/>
    </xf>
    <xf numFmtId="165" fontId="18" fillId="4" borderId="0" xfId="0" applyNumberFormat="1" applyFont="1" applyFill="1" applyAlignment="1">
      <alignment horizontal="right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7" fillId="4" borderId="0" xfId="0" applyFont="1" applyFill="1" applyAlignment="1">
      <alignment horizontal="center" vertical="center" wrapText="1"/>
    </xf>
    <xf numFmtId="0" fontId="18" fillId="4" borderId="1" xfId="0" applyFont="1" applyFill="1" applyBorder="1" applyAlignment="1">
      <alignment horizontal="justify" vertical="center" wrapText="1"/>
    </xf>
    <xf numFmtId="164" fontId="5" fillId="0" borderId="0" xfId="0" applyNumberFormat="1" applyFont="1" applyAlignment="1">
      <alignment horizontal="left" vertical="center" wrapText="1"/>
    </xf>
    <xf numFmtId="164" fontId="5" fillId="0" borderId="1" xfId="0" applyNumberFormat="1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0" fontId="28" fillId="0" borderId="0" xfId="0" applyFont="1" applyAlignment="1">
      <alignment horizontal="center" vertical="center" wrapText="1"/>
    </xf>
    <xf numFmtId="0" fontId="18" fillId="4" borderId="0" xfId="0" applyFont="1" applyFill="1" applyAlignment="1">
      <alignment horizontal="right" vertical="center" wrapText="1"/>
    </xf>
    <xf numFmtId="165" fontId="18" fillId="4" borderId="0" xfId="1" applyNumberFormat="1" applyFont="1" applyFill="1" applyAlignment="1">
      <alignment horizontal="right" vertical="center" wrapText="1"/>
    </xf>
    <xf numFmtId="165" fontId="18" fillId="4" borderId="6" xfId="1" applyNumberFormat="1" applyFont="1" applyFill="1" applyBorder="1" applyAlignment="1">
      <alignment horizontal="right" vertical="center" wrapText="1"/>
    </xf>
    <xf numFmtId="0" fontId="0" fillId="4" borderId="0" xfId="0" applyFill="1" applyAlignment="1">
      <alignment wrapText="1"/>
    </xf>
    <xf numFmtId="0" fontId="30" fillId="4" borderId="0" xfId="0" applyFont="1" applyFill="1" applyAlignment="1">
      <alignment horizontal="center" vertical="center" wrapText="1"/>
    </xf>
    <xf numFmtId="0" fontId="31" fillId="0" borderId="0" xfId="0" applyFont="1"/>
    <xf numFmtId="0" fontId="15" fillId="0" borderId="0" xfId="0" applyFont="1"/>
    <xf numFmtId="164" fontId="0" fillId="0" borderId="0" xfId="0" applyNumberFormat="1"/>
    <xf numFmtId="0" fontId="15" fillId="0" borderId="0" xfId="0" applyFont="1" applyAlignment="1">
      <alignment horizontal="justify" vertical="center"/>
    </xf>
    <xf numFmtId="164" fontId="0" fillId="0" borderId="3" xfId="0" applyNumberFormat="1" applyBorder="1"/>
    <xf numFmtId="165" fontId="5" fillId="0" borderId="1" xfId="0" applyNumberFormat="1" applyFont="1" applyBorder="1" applyAlignment="1">
      <alignment horizontal="right" vertical="center" wrapText="1"/>
    </xf>
    <xf numFmtId="166" fontId="5" fillId="0" borderId="0" xfId="1" applyNumberFormat="1" applyFont="1" applyAlignment="1">
      <alignment horizontal="right" vertical="center" wrapText="1"/>
    </xf>
    <xf numFmtId="166" fontId="5" fillId="0" borderId="6" xfId="0" applyNumberFormat="1" applyFont="1" applyBorder="1" applyAlignment="1">
      <alignment horizontal="right" vertical="center" wrapText="1"/>
    </xf>
    <xf numFmtId="164" fontId="5" fillId="0" borderId="7" xfId="0" applyNumberFormat="1" applyFont="1" applyBorder="1" applyAlignment="1">
      <alignment horizontal="left" vertical="center" wrapText="1"/>
    </xf>
    <xf numFmtId="0" fontId="36" fillId="0" borderId="0" xfId="0" applyFont="1" applyAlignment="1">
      <alignment horizontal="left" vertical="center" wrapText="1"/>
    </xf>
    <xf numFmtId="0" fontId="36" fillId="0" borderId="0" xfId="0" applyFont="1" applyAlignment="1">
      <alignment horizontal="right" vertical="center" wrapText="1"/>
    </xf>
    <xf numFmtId="0" fontId="32" fillId="0" borderId="0" xfId="0" applyFont="1" applyAlignment="1">
      <alignment horizontal="left" vertical="center" wrapText="1"/>
    </xf>
    <xf numFmtId="0" fontId="36" fillId="0" borderId="7" xfId="0" applyFont="1" applyBorder="1" applyAlignment="1">
      <alignment horizontal="right" vertical="center" wrapText="1"/>
    </xf>
    <xf numFmtId="164" fontId="32" fillId="0" borderId="0" xfId="1" applyNumberFormat="1" applyFont="1" applyAlignment="1">
      <alignment horizontal="right" vertical="center" wrapText="1"/>
    </xf>
    <xf numFmtId="164" fontId="36" fillId="0" borderId="7" xfId="1" applyNumberFormat="1" applyFont="1" applyBorder="1" applyAlignment="1">
      <alignment horizontal="right" vertical="center" wrapText="1"/>
    </xf>
    <xf numFmtId="0" fontId="37" fillId="0" borderId="0" xfId="0" applyFont="1" applyAlignment="1">
      <alignment horizontal="center" vertical="center" wrapText="1"/>
    </xf>
    <xf numFmtId="165" fontId="32" fillId="0" borderId="0" xfId="1" applyNumberFormat="1" applyFont="1" applyAlignment="1">
      <alignment horizontal="right" vertical="center" wrapText="1"/>
    </xf>
    <xf numFmtId="165" fontId="36" fillId="0" borderId="7" xfId="1" applyNumberFormat="1" applyFont="1" applyBorder="1" applyAlignment="1">
      <alignment horizontal="right" vertical="center" wrapText="1"/>
    </xf>
    <xf numFmtId="0" fontId="0" fillId="3" borderId="0" xfId="0" applyFill="1"/>
    <xf numFmtId="0" fontId="36" fillId="0" borderId="0" xfId="0" applyFont="1" applyAlignment="1">
      <alignment horizontal="center" vertical="center" wrapText="1"/>
    </xf>
    <xf numFmtId="0" fontId="10" fillId="0" borderId="0" xfId="0" applyFont="1" applyAlignment="1">
      <alignment horizontal="justify" vertical="center"/>
    </xf>
    <xf numFmtId="0" fontId="36" fillId="0" borderId="6" xfId="0" applyFont="1" applyBorder="1" applyAlignment="1">
      <alignment vertical="center" wrapText="1"/>
    </xf>
    <xf numFmtId="0" fontId="36" fillId="0" borderId="0" xfId="0" applyFont="1" applyAlignment="1">
      <alignment vertical="center" wrapText="1"/>
    </xf>
    <xf numFmtId="0" fontId="39" fillId="0" borderId="0" xfId="0" applyFont="1"/>
    <xf numFmtId="165" fontId="19" fillId="0" borderId="0" xfId="1" applyNumberFormat="1" applyFont="1" applyAlignment="1">
      <alignment vertical="center" wrapText="1"/>
    </xf>
    <xf numFmtId="0" fontId="32" fillId="0" borderId="0" xfId="0" applyFont="1" applyAlignment="1">
      <alignment horizontal="justify" vertical="center" wrapText="1"/>
    </xf>
    <xf numFmtId="0" fontId="40" fillId="4" borderId="0" xfId="0" applyFont="1" applyFill="1" applyAlignment="1">
      <alignment horizontal="left" vertical="center" wrapText="1"/>
    </xf>
    <xf numFmtId="0" fontId="40" fillId="4" borderId="0" xfId="0" applyFont="1" applyFill="1" applyAlignment="1">
      <alignment horizontal="center" vertical="center" wrapText="1"/>
    </xf>
    <xf numFmtId="0" fontId="32" fillId="4" borderId="0" xfId="0" applyFont="1" applyFill="1" applyAlignment="1">
      <alignment horizontal="center" vertical="center" wrapText="1"/>
    </xf>
    <xf numFmtId="0" fontId="36" fillId="4" borderId="0" xfId="0" applyFont="1" applyFill="1" applyAlignment="1">
      <alignment horizontal="center" vertical="center" wrapText="1"/>
    </xf>
    <xf numFmtId="0" fontId="32" fillId="4" borderId="0" xfId="0" applyFont="1" applyFill="1" applyAlignment="1">
      <alignment horizontal="justify" vertical="center" wrapText="1"/>
    </xf>
    <xf numFmtId="0" fontId="32" fillId="4" borderId="0" xfId="0" applyFont="1" applyFill="1" applyAlignment="1">
      <alignment horizontal="right" vertical="center" wrapText="1"/>
    </xf>
    <xf numFmtId="0" fontId="41" fillId="0" borderId="0" xfId="0" applyFont="1"/>
    <xf numFmtId="0" fontId="42" fillId="0" borderId="0" xfId="0" applyFont="1"/>
    <xf numFmtId="165" fontId="0" fillId="3" borderId="0" xfId="2" applyNumberFormat="1" applyFont="1" applyFill="1"/>
    <xf numFmtId="0" fontId="24" fillId="3" borderId="0" xfId="0" applyFont="1" applyFill="1" applyAlignment="1">
      <alignment horizontal="center" vertical="center" wrapText="1"/>
    </xf>
    <xf numFmtId="165" fontId="24" fillId="3" borderId="0" xfId="0" applyNumberFormat="1" applyFont="1" applyFill="1" applyAlignment="1">
      <alignment vertical="center" wrapText="1"/>
    </xf>
    <xf numFmtId="0" fontId="23" fillId="3" borderId="0" xfId="0" applyFont="1" applyFill="1"/>
    <xf numFmtId="0" fontId="24" fillId="3" borderId="0" xfId="0" applyFont="1" applyFill="1" applyAlignment="1">
      <alignment horizontal="left" vertical="center" wrapText="1"/>
    </xf>
    <xf numFmtId="0" fontId="10" fillId="3" borderId="0" xfId="0" applyFont="1" applyFill="1" applyAlignment="1">
      <alignment vertical="center" wrapText="1"/>
    </xf>
    <xf numFmtId="14" fontId="22" fillId="3" borderId="0" xfId="0" applyNumberFormat="1" applyFont="1" applyFill="1" applyAlignment="1">
      <alignment vertical="center" wrapText="1"/>
    </xf>
    <xf numFmtId="0" fontId="24" fillId="3" borderId="1" xfId="0" applyFont="1" applyFill="1" applyBorder="1" applyAlignment="1">
      <alignment horizontal="center" vertical="center" wrapText="1"/>
    </xf>
    <xf numFmtId="165" fontId="24" fillId="3" borderId="3" xfId="0" applyNumberFormat="1" applyFont="1" applyFill="1" applyBorder="1" applyAlignment="1">
      <alignment horizontal="right" vertical="center" wrapText="1"/>
    </xf>
    <xf numFmtId="0" fontId="43" fillId="0" borderId="0" xfId="0" applyFont="1"/>
    <xf numFmtId="0" fontId="4" fillId="4" borderId="0" xfId="0" applyFont="1" applyFill="1" applyAlignment="1">
      <alignment horizontal="left" vertical="center" wrapText="1"/>
    </xf>
    <xf numFmtId="164" fontId="2" fillId="0" borderId="0" xfId="0" applyNumberFormat="1" applyFont="1"/>
    <xf numFmtId="165" fontId="4" fillId="0" borderId="0" xfId="0" applyNumberFormat="1" applyFont="1"/>
    <xf numFmtId="41" fontId="5" fillId="4" borderId="0" xfId="2" applyFont="1" applyFill="1" applyAlignment="1">
      <alignment horizontal="right" vertical="center" wrapText="1"/>
    </xf>
    <xf numFmtId="0" fontId="23" fillId="0" borderId="0" xfId="0" applyFont="1" applyAlignment="1">
      <alignment horizontal="center"/>
    </xf>
    <xf numFmtId="0" fontId="11" fillId="0" borderId="0" xfId="0" applyFont="1" applyAlignment="1">
      <alignment horizontal="left" vertical="center" wrapText="1"/>
    </xf>
    <xf numFmtId="0" fontId="32" fillId="4" borderId="0" xfId="0" applyFont="1" applyFill="1" applyAlignment="1">
      <alignment horizontal="left" vertical="center" wrapText="1"/>
    </xf>
    <xf numFmtId="3" fontId="25" fillId="0" borderId="0" xfId="0" applyNumberFormat="1" applyFont="1" applyAlignment="1">
      <alignment horizontal="right" vertical="center" wrapText="1"/>
    </xf>
    <xf numFmtId="3" fontId="26" fillId="0" borderId="0" xfId="0" applyNumberFormat="1" applyFont="1" applyAlignment="1">
      <alignment horizontal="right" vertical="center" wrapText="1"/>
    </xf>
    <xf numFmtId="3" fontId="23" fillId="0" borderId="0" xfId="0" applyNumberFormat="1" applyFont="1"/>
    <xf numFmtId="0" fontId="24" fillId="3" borderId="2" xfId="0" applyFont="1" applyFill="1" applyBorder="1" applyAlignment="1">
      <alignment horizontal="center" vertical="center" wrapText="1"/>
    </xf>
    <xf numFmtId="0" fontId="24" fillId="3" borderId="16" xfId="0" applyFont="1" applyFill="1" applyBorder="1" applyAlignment="1">
      <alignment horizontal="left" vertical="center" wrapText="1"/>
    </xf>
    <xf numFmtId="0" fontId="24" fillId="3" borderId="12" xfId="0" applyFont="1" applyFill="1" applyBorder="1" applyAlignment="1">
      <alignment horizontal="center" vertical="center" wrapText="1"/>
    </xf>
    <xf numFmtId="0" fontId="15" fillId="3" borderId="0" xfId="0" applyFont="1" applyFill="1"/>
    <xf numFmtId="0" fontId="32" fillId="3" borderId="0" xfId="0" applyFont="1" applyFill="1" applyAlignment="1">
      <alignment horizontal="left" vertical="center" wrapText="1"/>
    </xf>
    <xf numFmtId="0" fontId="24" fillId="3" borderId="14" xfId="0" applyFont="1" applyFill="1" applyBorder="1" applyAlignment="1">
      <alignment horizontal="left" vertical="center" wrapText="1"/>
    </xf>
    <xf numFmtId="0" fontId="24" fillId="3" borderId="16" xfId="0" applyFont="1" applyFill="1" applyBorder="1" applyAlignment="1">
      <alignment horizontal="center" vertical="center" wrapText="1"/>
    </xf>
    <xf numFmtId="0" fontId="24" fillId="3" borderId="17" xfId="0" applyFont="1" applyFill="1" applyBorder="1" applyAlignment="1">
      <alignment vertical="center" wrapText="1"/>
    </xf>
    <xf numFmtId="0" fontId="24" fillId="3" borderId="17" xfId="0" applyFont="1" applyFill="1" applyBorder="1" applyAlignment="1">
      <alignment horizontal="center" vertical="center" wrapText="1"/>
    </xf>
    <xf numFmtId="0" fontId="24" fillId="3" borderId="14" xfId="0" applyFont="1" applyFill="1" applyBorder="1" applyAlignment="1">
      <alignment horizontal="center" vertical="center" wrapText="1"/>
    </xf>
    <xf numFmtId="0" fontId="24" fillId="3" borderId="15" xfId="0" applyFont="1" applyFill="1" applyBorder="1" applyAlignment="1">
      <alignment horizontal="center" vertical="center" wrapText="1"/>
    </xf>
    <xf numFmtId="14" fontId="22" fillId="3" borderId="2" xfId="0" applyNumberFormat="1" applyFont="1" applyFill="1" applyBorder="1" applyAlignment="1">
      <alignment vertical="center" wrapText="1"/>
    </xf>
    <xf numFmtId="0" fontId="23" fillId="3" borderId="12" xfId="0" applyFont="1" applyFill="1" applyBorder="1"/>
    <xf numFmtId="14" fontId="22" fillId="3" borderId="13" xfId="0" applyNumberFormat="1" applyFont="1" applyFill="1" applyBorder="1" applyAlignment="1">
      <alignment vertical="center" wrapText="1"/>
    </xf>
    <xf numFmtId="0" fontId="23" fillId="0" borderId="1" xfId="0" applyFont="1" applyBorder="1" applyAlignment="1">
      <alignment wrapText="1"/>
    </xf>
    <xf numFmtId="41" fontId="18" fillId="4" borderId="0" xfId="0" applyNumberFormat="1" applyFont="1" applyFill="1" applyAlignment="1">
      <alignment horizontal="right" vertical="center" wrapText="1"/>
    </xf>
    <xf numFmtId="41" fontId="18" fillId="4" borderId="7" xfId="0" applyNumberFormat="1" applyFont="1" applyFill="1" applyBorder="1" applyAlignment="1">
      <alignment horizontal="right" vertical="center" wrapText="1"/>
    </xf>
    <xf numFmtId="41" fontId="18" fillId="0" borderId="4" xfId="0" applyNumberFormat="1" applyFont="1" applyBorder="1" applyAlignment="1">
      <alignment horizontal="right" vertical="center"/>
    </xf>
    <xf numFmtId="41" fontId="18" fillId="4" borderId="6" xfId="0" applyNumberFormat="1" applyFont="1" applyFill="1" applyBorder="1" applyAlignment="1">
      <alignment horizontal="right" vertical="center" wrapText="1"/>
    </xf>
    <xf numFmtId="41" fontId="18" fillId="4" borderId="0" xfId="0" applyNumberFormat="1" applyFont="1" applyFill="1" applyAlignment="1">
      <alignment vertical="center" wrapText="1"/>
    </xf>
    <xf numFmtId="41" fontId="18" fillId="4" borderId="7" xfId="0" applyNumberFormat="1" applyFont="1" applyFill="1" applyBorder="1" applyAlignment="1">
      <alignment vertical="center" wrapText="1"/>
    </xf>
    <xf numFmtId="14" fontId="17" fillId="4" borderId="0" xfId="0" applyNumberFormat="1" applyFont="1" applyFill="1" applyAlignment="1">
      <alignment vertical="center" wrapText="1"/>
    </xf>
    <xf numFmtId="0" fontId="24" fillId="0" borderId="0" xfId="0" applyFont="1" applyAlignment="1">
      <alignment horizontal="justify" vertical="center"/>
    </xf>
    <xf numFmtId="0" fontId="17" fillId="4" borderId="0" xfId="0" applyFont="1" applyFill="1" applyAlignment="1">
      <alignment horizontal="left" vertical="center" wrapText="1"/>
    </xf>
    <xf numFmtId="41" fontId="3" fillId="4" borderId="0" xfId="0" applyNumberFormat="1" applyFont="1" applyFill="1" applyAlignment="1">
      <alignment horizontal="right" vertical="center" wrapText="1"/>
    </xf>
    <xf numFmtId="41" fontId="3" fillId="4" borderId="6" xfId="0" applyNumberFormat="1" applyFont="1" applyFill="1" applyBorder="1" applyAlignment="1">
      <alignment horizontal="right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0" fillId="0" borderId="0" xfId="0" applyFont="1" applyAlignment="1">
      <alignment horizontal="left" vertical="center"/>
    </xf>
    <xf numFmtId="41" fontId="5" fillId="0" borderId="6" xfId="0" applyNumberFormat="1" applyFont="1" applyBorder="1" applyAlignment="1">
      <alignment horizontal="right" vertical="center"/>
    </xf>
    <xf numFmtId="41" fontId="5" fillId="0" borderId="4" xfId="0" applyNumberFormat="1" applyFont="1" applyBorder="1" applyAlignment="1">
      <alignment horizontal="right" vertical="center"/>
    </xf>
    <xf numFmtId="41" fontId="30" fillId="0" borderId="0" xfId="0" applyNumberFormat="1" applyFont="1" applyAlignment="1">
      <alignment horizontal="left" vertical="center"/>
    </xf>
    <xf numFmtId="41" fontId="5" fillId="0" borderId="0" xfId="0" applyNumberFormat="1" applyFont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 wrapText="1"/>
    </xf>
    <xf numFmtId="0" fontId="18" fillId="0" borderId="0" xfId="0" applyFont="1" applyAlignment="1">
      <alignment horizontal="justify" vertical="center"/>
    </xf>
    <xf numFmtId="0" fontId="0" fillId="0" borderId="0" xfId="0" applyAlignment="1">
      <alignment vertical="center" wrapText="1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justify" vertical="center" wrapText="1"/>
    </xf>
    <xf numFmtId="41" fontId="3" fillId="0" borderId="0" xfId="0" applyNumberFormat="1" applyFont="1" applyAlignment="1">
      <alignment horizontal="justify" vertical="center" wrapText="1"/>
    </xf>
    <xf numFmtId="41" fontId="3" fillId="0" borderId="0" xfId="0" applyNumberFormat="1" applyFont="1" applyAlignment="1">
      <alignment horizontal="right" vertical="center" wrapText="1"/>
    </xf>
    <xf numFmtId="41" fontId="18" fillId="4" borderId="0" xfId="0" applyNumberFormat="1" applyFont="1" applyFill="1" applyAlignment="1">
      <alignment horizontal="left" vertical="center"/>
    </xf>
    <xf numFmtId="41" fontId="18" fillId="4" borderId="9" xfId="0" applyNumberFormat="1" applyFont="1" applyFill="1" applyBorder="1" applyAlignment="1">
      <alignment horizontal="right" vertical="center" wrapText="1"/>
    </xf>
    <xf numFmtId="0" fontId="35" fillId="0" borderId="0" xfId="0" applyFont="1" applyAlignment="1">
      <alignment horizontal="right"/>
    </xf>
    <xf numFmtId="0" fontId="44" fillId="0" borderId="0" xfId="0" applyFont="1"/>
    <xf numFmtId="168" fontId="29" fillId="4" borderId="0" xfId="3" applyNumberFormat="1" applyFont="1" applyFill="1" applyAlignment="1">
      <alignment horizontal="right" vertical="center"/>
    </xf>
    <xf numFmtId="0" fontId="3" fillId="4" borderId="0" xfId="0" applyFont="1" applyFill="1" applyAlignment="1">
      <alignment horizontal="center" vertical="center" wrapText="1"/>
    </xf>
    <xf numFmtId="0" fontId="32" fillId="0" borderId="6" xfId="0" applyFont="1" applyBorder="1" applyAlignment="1">
      <alignment horizontal="left" vertical="center" wrapText="1"/>
    </xf>
    <xf numFmtId="0" fontId="0" fillId="0" borderId="6" xfId="0" applyBorder="1" applyAlignment="1">
      <alignment vertical="top" wrapText="1"/>
    </xf>
    <xf numFmtId="0" fontId="32" fillId="0" borderId="0" xfId="0" applyFont="1" applyAlignment="1">
      <alignment horizontal="center" vertical="center" wrapText="1"/>
    </xf>
    <xf numFmtId="0" fontId="32" fillId="0" borderId="6" xfId="0" applyFont="1" applyBorder="1" applyAlignment="1">
      <alignment horizontal="center" vertical="center" wrapText="1"/>
    </xf>
    <xf numFmtId="0" fontId="32" fillId="0" borderId="6" xfId="0" applyFont="1" applyBorder="1" applyAlignment="1">
      <alignment horizontal="justify" vertical="center" wrapText="1"/>
    </xf>
    <xf numFmtId="0" fontId="3" fillId="0" borderId="0" xfId="0" applyFont="1" applyAlignment="1">
      <alignment horizontal="right" vertical="center" wrapText="1"/>
    </xf>
    <xf numFmtId="0" fontId="3" fillId="4" borderId="0" xfId="0" applyFont="1" applyFill="1" applyAlignment="1">
      <alignment vertical="center" wrapText="1"/>
    </xf>
    <xf numFmtId="14" fontId="28" fillId="4" borderId="0" xfId="0" applyNumberFormat="1" applyFont="1" applyFill="1" applyAlignment="1">
      <alignment vertical="center" wrapText="1"/>
    </xf>
    <xf numFmtId="0" fontId="28" fillId="4" borderId="0" xfId="0" applyFont="1" applyFill="1" applyAlignment="1">
      <alignment vertical="center" wrapText="1"/>
    </xf>
    <xf numFmtId="0" fontId="18" fillId="4" borderId="0" xfId="0" applyFont="1" applyFill="1" applyAlignment="1">
      <alignment vertical="center" wrapText="1"/>
    </xf>
    <xf numFmtId="14" fontId="18" fillId="4" borderId="1" xfId="0" applyNumberFormat="1" applyFont="1" applyFill="1" applyBorder="1" applyAlignment="1">
      <alignment horizontal="center" vertical="center" wrapText="1"/>
    </xf>
    <xf numFmtId="3" fontId="18" fillId="4" borderId="0" xfId="0" applyNumberFormat="1" applyFont="1" applyFill="1" applyAlignment="1">
      <alignment vertical="center" wrapText="1"/>
    </xf>
    <xf numFmtId="0" fontId="36" fillId="0" borderId="5" xfId="0" applyFont="1" applyBorder="1" applyAlignment="1">
      <alignment horizontal="center" vertical="center" wrapText="1"/>
    </xf>
    <xf numFmtId="0" fontId="32" fillId="0" borderId="0" xfId="0" applyFont="1" applyAlignment="1">
      <alignment vertical="center" wrapText="1"/>
    </xf>
    <xf numFmtId="0" fontId="32" fillId="0" borderId="6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5" fillId="0" borderId="6" xfId="0" applyFont="1" applyBorder="1" applyAlignment="1">
      <alignment vertical="center"/>
    </xf>
    <xf numFmtId="4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/>
    </xf>
    <xf numFmtId="165" fontId="5" fillId="3" borderId="0" xfId="0" applyNumberFormat="1" applyFont="1" applyFill="1" applyAlignment="1">
      <alignment horizontal="right" vertical="center" wrapText="1"/>
    </xf>
    <xf numFmtId="165" fontId="3" fillId="3" borderId="6" xfId="1" applyNumberFormat="1" applyFont="1" applyFill="1" applyBorder="1" applyAlignment="1">
      <alignment horizontal="right" vertical="center" wrapText="1"/>
    </xf>
    <xf numFmtId="165" fontId="18" fillId="3" borderId="0" xfId="0" applyNumberFormat="1" applyFont="1" applyFill="1" applyAlignment="1">
      <alignment horizontal="right" vertical="center" wrapText="1"/>
    </xf>
    <xf numFmtId="165" fontId="18" fillId="3" borderId="6" xfId="0" applyNumberFormat="1" applyFont="1" applyFill="1" applyBorder="1" applyAlignment="1">
      <alignment horizontal="right" vertical="center" wrapText="1"/>
    </xf>
    <xf numFmtId="14" fontId="12" fillId="0" borderId="1" xfId="0" applyNumberFormat="1" applyFont="1" applyBorder="1" applyAlignment="1">
      <alignment horizontal="center"/>
    </xf>
    <xf numFmtId="0" fontId="18" fillId="4" borderId="1" xfId="0" applyFont="1" applyFill="1" applyBorder="1" applyAlignment="1">
      <alignment horizontal="right" vertical="center" wrapText="1"/>
    </xf>
    <xf numFmtId="165" fontId="18" fillId="3" borderId="1" xfId="0" applyNumberFormat="1" applyFont="1" applyFill="1" applyBorder="1" applyAlignment="1">
      <alignment horizontal="right" vertical="center" wrapText="1"/>
    </xf>
    <xf numFmtId="10" fontId="36" fillId="0" borderId="0" xfId="3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41" fontId="18" fillId="3" borderId="6" xfId="0" applyNumberFormat="1" applyFont="1" applyFill="1" applyBorder="1" applyAlignment="1">
      <alignment horizontal="right" vertical="center" wrapText="1"/>
    </xf>
    <xf numFmtId="41" fontId="5" fillId="0" borderId="0" xfId="2" applyFont="1" applyAlignment="1">
      <alignment horizontal="right" vertical="center"/>
    </xf>
    <xf numFmtId="41" fontId="5" fillId="0" borderId="6" xfId="2" applyFont="1" applyBorder="1" applyAlignment="1">
      <alignment horizontal="right" vertical="center"/>
    </xf>
    <xf numFmtId="166" fontId="2" fillId="0" borderId="0" xfId="0" applyNumberFormat="1" applyFont="1"/>
    <xf numFmtId="165" fontId="32" fillId="0" borderId="0" xfId="0" applyNumberFormat="1" applyFont="1" applyAlignment="1">
      <alignment horizontal="right" vertical="center" wrapText="1"/>
    </xf>
    <xf numFmtId="14" fontId="48" fillId="0" borderId="0" xfId="0" applyNumberFormat="1" applyFont="1" applyAlignment="1">
      <alignment horizontal="center" vertical="center"/>
    </xf>
    <xf numFmtId="0" fontId="48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center"/>
    </xf>
    <xf numFmtId="0" fontId="49" fillId="0" borderId="0" xfId="0" applyFont="1" applyAlignment="1">
      <alignment horizontal="center" vertical="center"/>
    </xf>
    <xf numFmtId="0" fontId="49" fillId="4" borderId="0" xfId="0" applyFont="1" applyFill="1" applyAlignment="1">
      <alignment horizontal="center" vertical="center"/>
    </xf>
    <xf numFmtId="0" fontId="31" fillId="3" borderId="0" xfId="0" applyFont="1" applyFill="1"/>
    <xf numFmtId="0" fontId="31" fillId="0" borderId="0" xfId="0" applyFont="1" applyAlignment="1">
      <alignment wrapText="1"/>
    </xf>
    <xf numFmtId="164" fontId="4" fillId="3" borderId="0" xfId="0" applyNumberFormat="1" applyFont="1" applyFill="1"/>
    <xf numFmtId="0" fontId="50" fillId="0" borderId="0" xfId="0" applyFont="1"/>
    <xf numFmtId="0" fontId="46" fillId="0" borderId="0" xfId="0" applyFont="1" applyAlignment="1">
      <alignment horizontal="left" vertical="center" wrapText="1"/>
    </xf>
    <xf numFmtId="14" fontId="22" fillId="3" borderId="0" xfId="0" applyNumberFormat="1" applyFont="1" applyFill="1" applyAlignment="1">
      <alignment horizontal="center" vertical="center" wrapText="1"/>
    </xf>
    <xf numFmtId="166" fontId="5" fillId="3" borderId="0" xfId="0" applyNumberFormat="1" applyFont="1" applyFill="1" applyAlignment="1">
      <alignment horizontal="right" vertical="center" wrapText="1"/>
    </xf>
    <xf numFmtId="0" fontId="5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right" vertical="center" wrapText="1"/>
    </xf>
    <xf numFmtId="165" fontId="15" fillId="3" borderId="6" xfId="0" applyNumberFormat="1" applyFont="1" applyFill="1" applyBorder="1" applyAlignment="1">
      <alignment horizontal="right" vertical="center" wrapText="1"/>
    </xf>
    <xf numFmtId="165" fontId="5" fillId="3" borderId="7" xfId="0" applyNumberFormat="1" applyFont="1" applyFill="1" applyBorder="1" applyAlignment="1">
      <alignment horizontal="right" vertical="center" wrapText="1"/>
    </xf>
    <xf numFmtId="0" fontId="31" fillId="3" borderId="0" xfId="0" applyFont="1" applyFill="1" applyAlignment="1">
      <alignment wrapText="1"/>
    </xf>
    <xf numFmtId="165" fontId="0" fillId="3" borderId="0" xfId="0" applyNumberFormat="1" applyFill="1"/>
    <xf numFmtId="165" fontId="18" fillId="3" borderId="0" xfId="1" applyNumberFormat="1" applyFont="1" applyFill="1" applyAlignment="1">
      <alignment horizontal="right" vertical="center" wrapText="1"/>
    </xf>
    <xf numFmtId="165" fontId="3" fillId="4" borderId="0" xfId="1" applyNumberFormat="1" applyFont="1" applyFill="1" applyAlignment="1">
      <alignment horizontal="right" vertical="center" wrapText="1"/>
    </xf>
    <xf numFmtId="165" fontId="18" fillId="3" borderId="7" xfId="0" applyNumberFormat="1" applyFont="1" applyFill="1" applyBorder="1" applyAlignment="1">
      <alignment horizontal="right" vertical="center" wrapText="1"/>
    </xf>
    <xf numFmtId="164" fontId="5" fillId="0" borderId="10" xfId="0" applyNumberFormat="1" applyFont="1" applyBorder="1" applyAlignment="1">
      <alignment horizontal="left" vertical="center" wrapText="1"/>
    </xf>
    <xf numFmtId="164" fontId="5" fillId="0" borderId="0" xfId="0" applyNumberFormat="1" applyFont="1" applyAlignment="1">
      <alignment horizontal="right" vertical="center" wrapText="1"/>
    </xf>
    <xf numFmtId="0" fontId="3" fillId="0" borderId="0" xfId="0" applyFont="1" applyAlignment="1">
      <alignment vertical="center"/>
    </xf>
    <xf numFmtId="0" fontId="3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indent="2"/>
    </xf>
    <xf numFmtId="14" fontId="33" fillId="0" borderId="0" xfId="0" applyNumberFormat="1" applyFont="1" applyAlignment="1">
      <alignment horizontal="left" vertical="center" indent="2"/>
    </xf>
    <xf numFmtId="3" fontId="3" fillId="0" borderId="0" xfId="0" applyNumberFormat="1" applyFont="1" applyAlignment="1">
      <alignment horizontal="right" vertical="center" wrapText="1"/>
    </xf>
    <xf numFmtId="0" fontId="3" fillId="0" borderId="1" xfId="0" applyFont="1" applyBorder="1" applyAlignment="1">
      <alignment horizontal="left" vertical="center" indent="2"/>
    </xf>
    <xf numFmtId="0" fontId="3" fillId="0" borderId="18" xfId="0" applyFont="1" applyBorder="1" applyAlignment="1">
      <alignment horizontal="left" vertical="center" indent="2"/>
    </xf>
    <xf numFmtId="3" fontId="3" fillId="0" borderId="18" xfId="0" applyNumberFormat="1" applyFont="1" applyBorder="1" applyAlignment="1">
      <alignment horizontal="right" vertical="center" indent="2"/>
    </xf>
    <xf numFmtId="3" fontId="3" fillId="0" borderId="0" xfId="0" applyNumberFormat="1" applyFont="1" applyAlignment="1">
      <alignment horizontal="right" vertical="center" indent="2"/>
    </xf>
    <xf numFmtId="9" fontId="3" fillId="0" borderId="0" xfId="0" applyNumberFormat="1" applyFont="1" applyAlignment="1">
      <alignment horizontal="right" vertical="center" indent="2"/>
    </xf>
    <xf numFmtId="9" fontId="3" fillId="0" borderId="18" xfId="0" applyNumberFormat="1" applyFont="1" applyBorder="1" applyAlignment="1">
      <alignment horizontal="right" vertical="center" indent="2"/>
    </xf>
    <xf numFmtId="3" fontId="3" fillId="0" borderId="18" xfId="0" applyNumberFormat="1" applyFont="1" applyBorder="1" applyAlignment="1">
      <alignment vertical="center"/>
    </xf>
    <xf numFmtId="0" fontId="18" fillId="0" borderId="6" xfId="0" applyFont="1" applyBorder="1" applyAlignment="1">
      <alignment horizontal="center" vertical="center"/>
    </xf>
    <xf numFmtId="0" fontId="18" fillId="0" borderId="6" xfId="0" applyFont="1" applyBorder="1" applyAlignment="1">
      <alignment horizontal="right" vertical="center"/>
    </xf>
    <xf numFmtId="0" fontId="10" fillId="4" borderId="19" xfId="0" applyFont="1" applyFill="1" applyBorder="1" applyAlignment="1">
      <alignment horizontal="justify" vertical="center" wrapText="1"/>
    </xf>
    <xf numFmtId="0" fontId="24" fillId="4" borderId="20" xfId="0" applyFont="1" applyFill="1" applyBorder="1" applyAlignment="1">
      <alignment horizontal="justify" vertical="center" wrapText="1"/>
    </xf>
    <xf numFmtId="0" fontId="24" fillId="4" borderId="11" xfId="0" applyFont="1" applyFill="1" applyBorder="1" applyAlignment="1">
      <alignment horizontal="justify" vertical="center" wrapText="1"/>
    </xf>
    <xf numFmtId="0" fontId="52" fillId="0" borderId="0" xfId="0" applyFont="1"/>
    <xf numFmtId="14" fontId="29" fillId="4" borderId="1" xfId="0" applyNumberFormat="1" applyFont="1" applyFill="1" applyBorder="1" applyAlignment="1">
      <alignment horizontal="center" vertical="center" wrapText="1"/>
    </xf>
    <xf numFmtId="0" fontId="18" fillId="4" borderId="5" xfId="0" applyFont="1" applyFill="1" applyBorder="1" applyAlignment="1">
      <alignment horizontal="left" vertical="center" wrapText="1"/>
    </xf>
    <xf numFmtId="0" fontId="0" fillId="0" borderId="5" xfId="0" applyBorder="1"/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7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22" fillId="4" borderId="20" xfId="0" applyFont="1" applyFill="1" applyBorder="1" applyAlignment="1">
      <alignment horizontal="left" vertical="center"/>
    </xf>
    <xf numFmtId="0" fontId="24" fillId="3" borderId="16" xfId="0" applyFont="1" applyFill="1" applyBorder="1" applyAlignment="1">
      <alignment horizontal="left" vertical="center"/>
    </xf>
    <xf numFmtId="0" fontId="24" fillId="3" borderId="0" xfId="0" applyFont="1" applyFill="1" applyAlignment="1">
      <alignment horizontal="left" vertical="center"/>
    </xf>
    <xf numFmtId="0" fontId="24" fillId="3" borderId="17" xfId="0" applyFont="1" applyFill="1" applyBorder="1" applyAlignment="1">
      <alignment horizontal="left" vertical="center"/>
    </xf>
    <xf numFmtId="0" fontId="24" fillId="3" borderId="12" xfId="0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36" fillId="0" borderId="0" xfId="0" applyFont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49" fillId="4" borderId="0" xfId="0" applyFont="1" applyFill="1" applyAlignment="1">
      <alignment horizontal="left" vertical="center"/>
    </xf>
    <xf numFmtId="0" fontId="53" fillId="3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42" fillId="0" borderId="0" xfId="0" applyFont="1" applyAlignment="1">
      <alignment horizontal="left" vertical="center"/>
    </xf>
    <xf numFmtId="0" fontId="54" fillId="0" borderId="0" xfId="0" applyFont="1" applyAlignment="1">
      <alignment horizontal="left" vertical="center"/>
    </xf>
    <xf numFmtId="0" fontId="55" fillId="0" borderId="0" xfId="0" applyFont="1" applyAlignment="1">
      <alignment horizontal="left" vertical="center"/>
    </xf>
    <xf numFmtId="0" fontId="18" fillId="4" borderId="1" xfId="0" applyFont="1" applyFill="1" applyBorder="1" applyAlignment="1">
      <alignment horizontal="left" vertical="center"/>
    </xf>
    <xf numFmtId="0" fontId="18" fillId="4" borderId="0" xfId="0" applyFont="1" applyFill="1" applyAlignment="1">
      <alignment horizontal="left" vertical="center"/>
    </xf>
    <xf numFmtId="0" fontId="18" fillId="4" borderId="6" xfId="0" applyFont="1" applyFill="1" applyBorder="1" applyAlignment="1">
      <alignment horizontal="left" vertical="center"/>
    </xf>
    <xf numFmtId="0" fontId="42" fillId="3" borderId="0" xfId="0" applyFont="1" applyFill="1" applyAlignment="1">
      <alignment horizontal="left" vertical="center"/>
    </xf>
    <xf numFmtId="0" fontId="40" fillId="4" borderId="0" xfId="0" applyFont="1" applyFill="1" applyAlignment="1">
      <alignment horizontal="left" vertical="center"/>
    </xf>
    <xf numFmtId="0" fontId="32" fillId="4" borderId="0" xfId="0" applyFont="1" applyFill="1" applyAlignment="1">
      <alignment horizontal="left" vertical="center"/>
    </xf>
    <xf numFmtId="0" fontId="12" fillId="0" borderId="0" xfId="0" applyFont="1" applyAlignment="1">
      <alignment horizontal="left" vertical="center"/>
    </xf>
    <xf numFmtId="14" fontId="12" fillId="0" borderId="0" xfId="0" applyNumberFormat="1" applyFont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45" fillId="0" borderId="0" xfId="0" applyFont="1" applyAlignment="1">
      <alignment horizontal="left" vertical="center"/>
    </xf>
    <xf numFmtId="14" fontId="17" fillId="4" borderId="0" xfId="0" applyNumberFormat="1" applyFont="1" applyFill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9" fillId="0" borderId="0" xfId="0" applyFont="1" applyAlignment="1">
      <alignment horizontal="left" vertical="center"/>
    </xf>
    <xf numFmtId="14" fontId="28" fillId="0" borderId="0" xfId="0" applyNumberFormat="1" applyFont="1" applyAlignment="1">
      <alignment horizontal="left" vertical="center"/>
    </xf>
    <xf numFmtId="0" fontId="18" fillId="0" borderId="6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164" fontId="5" fillId="0" borderId="0" xfId="1" applyNumberFormat="1" applyFont="1" applyAlignment="1">
      <alignment vertical="center" wrapText="1"/>
    </xf>
    <xf numFmtId="0" fontId="56" fillId="2" borderId="0" xfId="0" applyFont="1" applyFill="1"/>
    <xf numFmtId="0" fontId="52" fillId="2" borderId="0" xfId="0" applyFont="1" applyFill="1" applyAlignment="1">
      <alignment horizontal="left" vertical="center"/>
    </xf>
    <xf numFmtId="0" fontId="57" fillId="2" borderId="0" xfId="0" applyFont="1" applyFill="1"/>
    <xf numFmtId="0" fontId="58" fillId="4" borderId="6" xfId="0" applyFont="1" applyFill="1" applyBorder="1" applyAlignment="1">
      <alignment horizontal="center" vertical="center" wrapText="1"/>
    </xf>
    <xf numFmtId="0" fontId="59" fillId="0" borderId="6" xfId="0" applyFont="1" applyBorder="1" applyAlignment="1">
      <alignment vertical="center" wrapText="1"/>
    </xf>
    <xf numFmtId="0" fontId="59" fillId="0" borderId="0" xfId="0" applyFont="1" applyAlignment="1">
      <alignment vertical="center"/>
    </xf>
    <xf numFmtId="0" fontId="59" fillId="0" borderId="0" xfId="0" applyFont="1" applyAlignment="1">
      <alignment horizontal="center" vertical="center"/>
    </xf>
    <xf numFmtId="0" fontId="59" fillId="4" borderId="0" xfId="0" applyFont="1" applyFill="1" applyAlignment="1">
      <alignment horizontal="right" vertical="center"/>
    </xf>
    <xf numFmtId="0" fontId="59" fillId="0" borderId="0" xfId="0" applyFont="1" applyAlignment="1">
      <alignment horizontal="right" vertical="center"/>
    </xf>
    <xf numFmtId="0" fontId="60" fillId="0" borderId="0" xfId="0" applyFont="1" applyAlignment="1">
      <alignment horizontal="right" vertical="center" wrapText="1"/>
    </xf>
    <xf numFmtId="0" fontId="59" fillId="4" borderId="6" xfId="0" applyFont="1" applyFill="1" applyBorder="1" applyAlignment="1">
      <alignment vertical="center"/>
    </xf>
    <xf numFmtId="0" fontId="59" fillId="4" borderId="6" xfId="0" applyFont="1" applyFill="1" applyBorder="1" applyAlignment="1">
      <alignment horizontal="center" vertical="center"/>
    </xf>
    <xf numFmtId="0" fontId="58" fillId="4" borderId="0" xfId="0" applyFont="1" applyFill="1" applyAlignment="1">
      <alignment vertical="center"/>
    </xf>
    <xf numFmtId="0" fontId="61" fillId="4" borderId="0" xfId="0" applyFont="1" applyFill="1" applyAlignment="1">
      <alignment vertical="center"/>
    </xf>
    <xf numFmtId="0" fontId="61" fillId="4" borderId="0" xfId="0" applyFont="1" applyFill="1" applyAlignment="1">
      <alignment horizontal="right" vertical="center"/>
    </xf>
    <xf numFmtId="0" fontId="61" fillId="4" borderId="6" xfId="0" applyFont="1" applyFill="1" applyBorder="1" applyAlignment="1">
      <alignment horizontal="right" vertical="center"/>
    </xf>
    <xf numFmtId="14" fontId="60" fillId="0" borderId="0" xfId="0" applyNumberFormat="1" applyFont="1" applyAlignment="1">
      <alignment horizontal="center" vertical="center"/>
    </xf>
    <xf numFmtId="14" fontId="59" fillId="0" borderId="0" xfId="0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3" fillId="3" borderId="0" xfId="0" applyFont="1" applyFill="1" applyAlignment="1">
      <alignment horizontal="left" vertical="center" wrapText="1"/>
    </xf>
    <xf numFmtId="0" fontId="3" fillId="3" borderId="18" xfId="0" applyFont="1" applyFill="1" applyBorder="1" applyAlignment="1">
      <alignment horizontal="left" vertical="center" indent="2"/>
    </xf>
    <xf numFmtId="0" fontId="62" fillId="0" borderId="0" xfId="0" applyFont="1"/>
    <xf numFmtId="0" fontId="16" fillId="0" borderId="0" xfId="0" applyFont="1" applyAlignment="1">
      <alignment horizontal="right" vertical="center"/>
    </xf>
    <xf numFmtId="0" fontId="30" fillId="4" borderId="0" xfId="0" applyFont="1" applyFill="1" applyAlignment="1">
      <alignment horizontal="right" vertical="center" wrapText="1"/>
    </xf>
    <xf numFmtId="0" fontId="15" fillId="0" borderId="0" xfId="0" applyFont="1" applyAlignment="1">
      <alignment horizontal="right" vertical="center"/>
    </xf>
    <xf numFmtId="0" fontId="62" fillId="4" borderId="0" xfId="0" applyFont="1" applyFill="1" applyAlignment="1">
      <alignment vertical="center" wrapText="1"/>
    </xf>
    <xf numFmtId="0" fontId="64" fillId="0" borderId="0" xfId="0" applyFont="1" applyAlignment="1">
      <alignment horizontal="justify" vertical="center"/>
    </xf>
    <xf numFmtId="0" fontId="65" fillId="0" borderId="0" xfId="0" applyFont="1" applyAlignment="1">
      <alignment horizontal="justify" vertical="center"/>
    </xf>
    <xf numFmtId="0" fontId="1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62" fillId="0" borderId="0" xfId="0" applyFont="1" applyAlignment="1">
      <alignment vertical="center"/>
    </xf>
    <xf numFmtId="3" fontId="15" fillId="0" borderId="8" xfId="0" applyNumberFormat="1" applyFont="1" applyBorder="1" applyAlignment="1">
      <alignment horizontal="right" vertical="center"/>
    </xf>
    <xf numFmtId="0" fontId="8" fillId="2" borderId="0" xfId="0" applyFont="1" applyFill="1" applyAlignment="1">
      <alignment horizontal="justify" vertical="center"/>
    </xf>
    <xf numFmtId="41" fontId="5" fillId="0" borderId="1" xfId="0" applyNumberFormat="1" applyFont="1" applyBorder="1" applyAlignment="1">
      <alignment horizontal="right" vertical="center" wrapText="1"/>
    </xf>
    <xf numFmtId="0" fontId="15" fillId="0" borderId="0" xfId="0" applyFont="1" applyAlignment="1">
      <alignment horizontal="left" vertical="center" wrapText="1" indent="1"/>
    </xf>
    <xf numFmtId="0" fontId="15" fillId="0" borderId="1" xfId="0" applyFont="1" applyBorder="1" applyAlignment="1">
      <alignment horizontal="center" vertical="center" wrapText="1"/>
    </xf>
    <xf numFmtId="41" fontId="5" fillId="0" borderId="1" xfId="2" applyFont="1" applyBorder="1" applyAlignment="1">
      <alignment horizontal="left" vertical="center" wrapText="1"/>
    </xf>
    <xf numFmtId="0" fontId="15" fillId="0" borderId="18" xfId="0" applyFont="1" applyBorder="1" applyAlignment="1">
      <alignment horizontal="left" vertical="center" wrapText="1"/>
    </xf>
    <xf numFmtId="41" fontId="5" fillId="0" borderId="18" xfId="2" applyFont="1" applyBorder="1" applyAlignment="1">
      <alignment horizontal="right" vertical="center" wrapText="1"/>
    </xf>
    <xf numFmtId="41" fontId="5" fillId="0" borderId="18" xfId="0" applyNumberFormat="1" applyFont="1" applyBorder="1" applyAlignment="1">
      <alignment horizontal="right" vertical="center" wrapText="1"/>
    </xf>
    <xf numFmtId="0" fontId="63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64" fillId="0" borderId="0" xfId="0" applyFont="1" applyAlignment="1">
      <alignment vertical="center"/>
    </xf>
    <xf numFmtId="0" fontId="18" fillId="0" borderId="7" xfId="0" applyFont="1" applyBorder="1" applyAlignment="1">
      <alignment horizontal="right" vertical="center"/>
    </xf>
    <xf numFmtId="0" fontId="18" fillId="0" borderId="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14" fontId="18" fillId="0" borderId="0" xfId="0" applyNumberFormat="1" applyFont="1" applyAlignment="1">
      <alignment horizontal="right" vertical="center"/>
    </xf>
    <xf numFmtId="0" fontId="18" fillId="0" borderId="6" xfId="0" applyFont="1" applyBorder="1" applyAlignment="1">
      <alignment vertical="center"/>
    </xf>
    <xf numFmtId="14" fontId="18" fillId="0" borderId="6" xfId="0" applyNumberFormat="1" applyFont="1" applyBorder="1" applyAlignment="1">
      <alignment horizontal="right" vertical="center"/>
    </xf>
    <xf numFmtId="0" fontId="18" fillId="0" borderId="5" xfId="0" applyFont="1" applyBorder="1" applyAlignment="1">
      <alignment vertical="center" wrapText="1"/>
    </xf>
    <xf numFmtId="0" fontId="62" fillId="0" borderId="5" xfId="0" applyFont="1" applyBorder="1" applyAlignment="1">
      <alignment vertical="center"/>
    </xf>
    <xf numFmtId="0" fontId="18" fillId="0" borderId="7" xfId="0" applyFont="1" applyBorder="1" applyAlignment="1">
      <alignment horizontal="right" vertical="top"/>
    </xf>
    <xf numFmtId="0" fontId="18" fillId="0" borderId="7" xfId="0" applyFont="1" applyBorder="1" applyAlignment="1">
      <alignment vertical="top" wrapText="1"/>
    </xf>
    <xf numFmtId="0" fontId="66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 indent="2"/>
    </xf>
    <xf numFmtId="3" fontId="3" fillId="0" borderId="0" xfId="0" applyNumberFormat="1" applyFont="1" applyAlignment="1">
      <alignment vertical="center"/>
    </xf>
    <xf numFmtId="0" fontId="6" fillId="3" borderId="0" xfId="0" applyFont="1" applyFill="1"/>
    <xf numFmtId="14" fontId="0" fillId="3" borderId="0" xfId="0" applyNumberFormat="1" applyFill="1" applyAlignment="1">
      <alignment horizontal="left" vertical="center"/>
    </xf>
    <xf numFmtId="0" fontId="0" fillId="3" borderId="0" xfId="0" applyFill="1" applyAlignment="1">
      <alignment horizontal="center"/>
    </xf>
    <xf numFmtId="0" fontId="5" fillId="3" borderId="0" xfId="0" applyFont="1" applyFill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vertical="center" wrapText="1"/>
    </xf>
    <xf numFmtId="165" fontId="15" fillId="3" borderId="0" xfId="0" applyNumberFormat="1" applyFont="1" applyFill="1" applyAlignment="1">
      <alignment horizontal="right" vertical="center" wrapText="1"/>
    </xf>
    <xf numFmtId="166" fontId="0" fillId="3" borderId="0" xfId="0" applyNumberFormat="1" applyFill="1"/>
    <xf numFmtId="165" fontId="18" fillId="3" borderId="0" xfId="0" applyNumberFormat="1" applyFont="1" applyFill="1" applyAlignment="1">
      <alignment vertical="center" wrapText="1"/>
    </xf>
    <xf numFmtId="14" fontId="29" fillId="4" borderId="0" xfId="0" applyNumberFormat="1" applyFont="1" applyFill="1" applyAlignment="1">
      <alignment horizontal="center" vertical="center" wrapText="1"/>
    </xf>
    <xf numFmtId="3" fontId="18" fillId="4" borderId="0" xfId="0" applyNumberFormat="1" applyFont="1" applyFill="1" applyAlignment="1">
      <alignment horizontal="right" vertical="center" wrapText="1"/>
    </xf>
    <xf numFmtId="3" fontId="18" fillId="4" borderId="0" xfId="0" applyNumberFormat="1" applyFont="1" applyFill="1" applyAlignment="1">
      <alignment horizontal="right" vertical="center"/>
    </xf>
    <xf numFmtId="3" fontId="18" fillId="4" borderId="7" xfId="0" applyNumberFormat="1" applyFont="1" applyFill="1" applyBorder="1" applyAlignment="1">
      <alignment horizontal="right" vertical="center"/>
    </xf>
    <xf numFmtId="3" fontId="18" fillId="4" borderId="6" xfId="0" applyNumberFormat="1" applyFont="1" applyFill="1" applyBorder="1" applyAlignment="1">
      <alignment horizontal="right" vertical="center"/>
    </xf>
    <xf numFmtId="0" fontId="17" fillId="0" borderId="0" xfId="0" applyFont="1" applyAlignment="1">
      <alignment horizontal="left" vertical="center" wrapText="1" indent="5"/>
    </xf>
    <xf numFmtId="0" fontId="0" fillId="0" borderId="0" xfId="0"/>
    <xf numFmtId="165" fontId="18" fillId="3" borderId="0" xfId="0" applyNumberFormat="1" applyFont="1" applyFill="1" applyAlignment="1">
      <alignment horizontal="right" vertical="center" wrapText="1"/>
    </xf>
    <xf numFmtId="0" fontId="12" fillId="0" borderId="0" xfId="0" applyFont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0" fillId="0" borderId="1" xfId="0" applyBorder="1"/>
    <xf numFmtId="0" fontId="16" fillId="0" borderId="0" xfId="0" applyFont="1" applyAlignment="1">
      <alignment horizontal="left" vertical="center"/>
    </xf>
    <xf numFmtId="0" fontId="18" fillId="0" borderId="5" xfId="0" applyFont="1" applyBorder="1" applyAlignment="1">
      <alignment horizontal="center" vertical="center" wrapText="1"/>
    </xf>
    <xf numFmtId="0" fontId="0" fillId="0" borderId="5" xfId="0" applyBorder="1"/>
    <xf numFmtId="0" fontId="3" fillId="0" borderId="5" xfId="0" applyFont="1" applyBorder="1" applyAlignment="1">
      <alignment horizontal="right" vertical="center" wrapText="1"/>
    </xf>
    <xf numFmtId="0" fontId="24" fillId="0" borderId="0" xfId="0" applyFont="1" applyAlignment="1">
      <alignment horizontal="left" vertical="center" wrapText="1"/>
    </xf>
    <xf numFmtId="0" fontId="5" fillId="0" borderId="0" xfId="0" applyFont="1" applyAlignment="1">
      <alignment horizontal="justify" vertical="center" wrapText="1"/>
    </xf>
    <xf numFmtId="0" fontId="15" fillId="0" borderId="0" xfId="0" applyFont="1" applyAlignment="1">
      <alignment horizontal="left" vertical="center" wrapText="1" indent="4"/>
    </xf>
    <xf numFmtId="0" fontId="15" fillId="0" borderId="0" xfId="0" applyFont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165" fontId="5" fillId="4" borderId="0" xfId="0" applyNumberFormat="1" applyFont="1" applyFill="1" applyBorder="1" applyAlignment="1">
      <alignment horizontal="right" vertical="center" wrapText="1"/>
    </xf>
    <xf numFmtId="0" fontId="18" fillId="4" borderId="0" xfId="0" applyFont="1" applyFill="1" applyAlignment="1">
      <alignment horizontal="right" vertical="center"/>
    </xf>
    <xf numFmtId="3" fontId="18" fillId="0" borderId="0" xfId="0" applyNumberFormat="1" applyFont="1" applyAlignment="1">
      <alignment horizontal="right" vertical="center"/>
    </xf>
    <xf numFmtId="165" fontId="24" fillId="3" borderId="13" xfId="0" applyNumberFormat="1" applyFont="1" applyFill="1" applyBorder="1" applyAlignment="1">
      <alignment vertical="center" wrapText="1"/>
    </xf>
    <xf numFmtId="165" fontId="5" fillId="4" borderId="16" xfId="0" applyNumberFormat="1" applyFont="1" applyFill="1" applyBorder="1" applyAlignment="1">
      <alignment horizontal="right" vertical="center" wrapText="1"/>
    </xf>
    <xf numFmtId="165" fontId="5" fillId="4" borderId="17" xfId="0" applyNumberFormat="1" applyFont="1" applyFill="1" applyBorder="1" applyAlignment="1">
      <alignment horizontal="right" vertical="center" wrapText="1"/>
    </xf>
    <xf numFmtId="165" fontId="5" fillId="4" borderId="14" xfId="0" applyNumberFormat="1" applyFont="1" applyFill="1" applyBorder="1" applyAlignment="1">
      <alignment horizontal="right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5" fillId="4" borderId="15" xfId="0" applyNumberFormat="1" applyFont="1" applyFill="1" applyBorder="1" applyAlignment="1">
      <alignment horizontal="right" vertical="center" wrapText="1"/>
    </xf>
    <xf numFmtId="3" fontId="5" fillId="4" borderId="0" xfId="0" applyNumberFormat="1" applyFont="1" applyFill="1" applyAlignment="1">
      <alignment horizontal="right" vertical="center"/>
    </xf>
    <xf numFmtId="0" fontId="5" fillId="4" borderId="0" xfId="0" applyFont="1" applyFill="1" applyAlignment="1">
      <alignment horizontal="right" vertical="center"/>
    </xf>
    <xf numFmtId="3" fontId="5" fillId="4" borderId="6" xfId="0" applyNumberFormat="1" applyFont="1" applyFill="1" applyBorder="1" applyAlignment="1">
      <alignment horizontal="right" vertical="center"/>
    </xf>
    <xf numFmtId="166" fontId="30" fillId="4" borderId="0" xfId="0" applyNumberFormat="1" applyFont="1" applyFill="1" applyAlignment="1">
      <alignment horizontal="right" vertical="center"/>
    </xf>
    <xf numFmtId="166" fontId="30" fillId="0" borderId="0" xfId="0" applyNumberFormat="1" applyFont="1" applyAlignment="1">
      <alignment horizontal="center" vertical="center" wrapText="1"/>
    </xf>
    <xf numFmtId="166" fontId="15" fillId="0" borderId="0" xfId="0" applyNumberFormat="1" applyFont="1" applyAlignment="1">
      <alignment horizontal="right" vertical="center" wrapText="1"/>
    </xf>
    <xf numFmtId="166" fontId="5" fillId="4" borderId="0" xfId="0" applyNumberFormat="1" applyFont="1" applyFill="1" applyAlignment="1">
      <alignment horizontal="right" vertical="center"/>
    </xf>
    <xf numFmtId="166" fontId="5" fillId="0" borderId="0" xfId="0" applyNumberFormat="1" applyFont="1" applyAlignment="1">
      <alignment horizontal="center" vertical="center" wrapText="1"/>
    </xf>
    <xf numFmtId="166" fontId="67" fillId="4" borderId="0" xfId="0" applyNumberFormat="1" applyFont="1" applyFill="1" applyAlignment="1">
      <alignment horizontal="right" vertical="center"/>
    </xf>
    <xf numFmtId="166" fontId="67" fillId="0" borderId="0" xfId="0" applyNumberFormat="1" applyFont="1" applyAlignment="1">
      <alignment horizontal="center" vertical="center" wrapText="1"/>
    </xf>
    <xf numFmtId="166" fontId="15" fillId="0" borderId="1" xfId="0" applyNumberFormat="1" applyFont="1" applyBorder="1" applyAlignment="1">
      <alignment horizontal="right" vertical="center" wrapText="1"/>
    </xf>
    <xf numFmtId="166" fontId="5" fillId="0" borderId="6" xfId="0" applyNumberFormat="1" applyFont="1" applyBorder="1" applyAlignment="1">
      <alignment horizontal="center" vertical="center" wrapText="1"/>
    </xf>
    <xf numFmtId="166" fontId="5" fillId="4" borderId="6" xfId="0" applyNumberFormat="1" applyFont="1" applyFill="1" applyBorder="1" applyAlignment="1">
      <alignment horizontal="right" vertical="center"/>
    </xf>
    <xf numFmtId="166" fontId="30" fillId="4" borderId="7" xfId="0" applyNumberFormat="1" applyFont="1" applyFill="1" applyBorder="1" applyAlignment="1">
      <alignment horizontal="right" vertical="center"/>
    </xf>
    <xf numFmtId="166" fontId="30" fillId="0" borderId="6" xfId="0" applyNumberFormat="1" applyFont="1" applyBorder="1" applyAlignment="1">
      <alignment horizontal="center" vertical="center" wrapText="1"/>
    </xf>
    <xf numFmtId="166" fontId="30" fillId="4" borderId="6" xfId="0" applyNumberFormat="1" applyFont="1" applyFill="1" applyBorder="1" applyAlignment="1">
      <alignment horizontal="right" vertical="center"/>
    </xf>
    <xf numFmtId="166" fontId="5" fillId="4" borderId="7" xfId="0" applyNumberFormat="1" applyFont="1" applyFill="1" applyBorder="1" applyAlignment="1">
      <alignment horizontal="right" vertical="center"/>
    </xf>
    <xf numFmtId="3" fontId="18" fillId="0" borderId="6" xfId="0" applyNumberFormat="1" applyFont="1" applyBorder="1" applyAlignment="1">
      <alignment horizontal="right" vertical="center"/>
    </xf>
    <xf numFmtId="165" fontId="30" fillId="0" borderId="4" xfId="1" applyNumberFormat="1" applyFont="1" applyBorder="1" applyAlignment="1">
      <alignment horizontal="right" vertical="center" wrapText="1"/>
    </xf>
    <xf numFmtId="3" fontId="68" fillId="4" borderId="0" xfId="0" applyNumberFormat="1" applyFont="1" applyFill="1" applyAlignment="1">
      <alignment horizontal="right" vertical="center" wrapText="1"/>
    </xf>
    <xf numFmtId="3" fontId="68" fillId="4" borderId="7" xfId="0" applyNumberFormat="1" applyFont="1" applyFill="1" applyBorder="1" applyAlignment="1">
      <alignment horizontal="right" vertical="center" wrapText="1"/>
    </xf>
    <xf numFmtId="165" fontId="5" fillId="4" borderId="7" xfId="0" applyNumberFormat="1" applyFont="1" applyFill="1" applyBorder="1" applyAlignment="1">
      <alignment horizontal="right" vertical="center" wrapText="1"/>
    </xf>
    <xf numFmtId="0" fontId="0" fillId="0" borderId="0" xfId="0" applyAlignment="1"/>
    <xf numFmtId="0" fontId="18" fillId="4" borderId="0" xfId="0" applyFont="1" applyFill="1" applyAlignment="1">
      <alignment vertical="center"/>
    </xf>
    <xf numFmtId="14" fontId="18" fillId="4" borderId="0" xfId="0" applyNumberFormat="1" applyFont="1" applyFill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10" fontId="18" fillId="4" borderId="0" xfId="0" applyNumberFormat="1" applyFont="1" applyFill="1" applyAlignment="1">
      <alignment horizontal="center" vertical="center"/>
    </xf>
    <xf numFmtId="0" fontId="0" fillId="0" borderId="0" xfId="0" applyBorder="1"/>
    <xf numFmtId="0" fontId="18" fillId="4" borderId="1" xfId="0" applyFont="1" applyFill="1" applyBorder="1" applyAlignment="1">
      <alignment vertical="center"/>
    </xf>
    <xf numFmtId="14" fontId="18" fillId="4" borderId="1" xfId="0" applyNumberFormat="1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10" fontId="18" fillId="4" borderId="1" xfId="0" applyNumberFormat="1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right" vertical="center"/>
    </xf>
    <xf numFmtId="41" fontId="69" fillId="0" borderId="0" xfId="2" applyFont="1"/>
    <xf numFmtId="14" fontId="18" fillId="4" borderId="0" xfId="0" applyNumberFormat="1" applyFont="1" applyFill="1" applyAlignment="1">
      <alignment horizontal="right" vertical="center"/>
    </xf>
    <xf numFmtId="10" fontId="18" fillId="4" borderId="0" xfId="0" applyNumberFormat="1" applyFont="1" applyFill="1" applyAlignment="1">
      <alignment horizontal="right" vertical="center"/>
    </xf>
    <xf numFmtId="0" fontId="18" fillId="4" borderId="6" xfId="0" applyFont="1" applyFill="1" applyBorder="1" applyAlignment="1">
      <alignment vertical="center"/>
    </xf>
    <xf numFmtId="41" fontId="18" fillId="4" borderId="0" xfId="0" applyNumberFormat="1" applyFont="1" applyFill="1" applyAlignment="1">
      <alignment horizontal="right" vertical="center"/>
    </xf>
    <xf numFmtId="165" fontId="29" fillId="0" borderId="0" xfId="0" applyNumberFormat="1" applyFont="1" applyAlignment="1">
      <alignment horizontal="right" vertical="center" wrapText="1"/>
    </xf>
    <xf numFmtId="10" fontId="29" fillId="4" borderId="0" xfId="3" applyNumberFormat="1" applyFont="1" applyFill="1" applyAlignment="1">
      <alignment horizontal="right" vertical="center"/>
    </xf>
    <xf numFmtId="0" fontId="18" fillId="0" borderId="9" xfId="0" applyFont="1" applyBorder="1" applyAlignment="1">
      <alignment vertical="center"/>
    </xf>
    <xf numFmtId="0" fontId="18" fillId="4" borderId="9" xfId="0" applyFont="1" applyFill="1" applyBorder="1" applyAlignment="1">
      <alignment horizontal="left" vertical="center"/>
    </xf>
    <xf numFmtId="9" fontId="18" fillId="0" borderId="9" xfId="0" applyNumberFormat="1" applyFont="1" applyBorder="1" applyAlignment="1">
      <alignment horizontal="right" vertical="center"/>
    </xf>
    <xf numFmtId="41" fontId="1" fillId="0" borderId="9" xfId="2" applyBorder="1"/>
    <xf numFmtId="41" fontId="1" fillId="0" borderId="18" xfId="2" applyBorder="1"/>
    <xf numFmtId="166" fontId="3" fillId="0" borderId="0" xfId="0" applyNumberFormat="1" applyFont="1" applyAlignment="1">
      <alignment horizontal="right" vertical="center" wrapText="1"/>
    </xf>
    <xf numFmtId="166" fontId="5" fillId="4" borderId="0" xfId="0" applyNumberFormat="1" applyFont="1" applyFill="1" applyAlignment="1">
      <alignment horizontal="right" vertical="center" wrapText="1"/>
    </xf>
    <xf numFmtId="182" fontId="15" fillId="0" borderId="8" xfId="0" applyNumberFormat="1" applyFont="1" applyBorder="1" applyAlignment="1">
      <alignment horizontal="right" vertical="center"/>
    </xf>
    <xf numFmtId="0" fontId="0" fillId="0" borderId="0" xfId="0" applyBorder="1"/>
    <xf numFmtId="0" fontId="5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left" vertical="center" wrapText="1"/>
    </xf>
    <xf numFmtId="166" fontId="5" fillId="0" borderId="0" xfId="0" applyNumberFormat="1" applyFont="1" applyBorder="1" applyAlignment="1">
      <alignment horizontal="right" vertical="center" wrapText="1"/>
    </xf>
    <xf numFmtId="166" fontId="5" fillId="0" borderId="1" xfId="0" applyNumberFormat="1" applyFont="1" applyBorder="1" applyAlignment="1">
      <alignment horizontal="right" vertical="center" wrapText="1"/>
    </xf>
  </cellXfs>
  <cellStyles count="21">
    <cellStyle name="A3 297 x 420 mm" xfId="7" xr:uid="{00000000-0005-0000-0000-00000A000000}"/>
    <cellStyle name="Comma [0] 3" xfId="6" xr:uid="{00000000-0005-0000-0000-000007000000}"/>
    <cellStyle name="Comma_AF_CONTI_122003" xfId="11" xr:uid="{00000000-0005-0000-0000-000010000000}"/>
    <cellStyle name="Millares" xfId="1" builtinId="3"/>
    <cellStyle name="Millares [0]" xfId="2" builtinId="6"/>
    <cellStyle name="Millares [0] 2" xfId="20" xr:uid="{00000000-0005-0000-0000-00001B000000}"/>
    <cellStyle name="Millares [0] 2 9" xfId="10" xr:uid="{00000000-0005-0000-0000-00000F000000}"/>
    <cellStyle name="Millares [0] 3" xfId="18" xr:uid="{00000000-0005-0000-0000-000019000000}"/>
    <cellStyle name="Millares [0] 4" xfId="19" xr:uid="{00000000-0005-0000-0000-00001A000000}"/>
    <cellStyle name="Millares 38" xfId="12" xr:uid="{00000000-0005-0000-0000-000011000000}"/>
    <cellStyle name="Normal" xfId="0" builtinId="0"/>
    <cellStyle name="Normal 133" xfId="13" xr:uid="{00000000-0005-0000-0000-000012000000}"/>
    <cellStyle name="Normal 2 3" xfId="5" xr:uid="{00000000-0005-0000-0000-000006000000}"/>
    <cellStyle name="Normal 262" xfId="15" xr:uid="{00000000-0005-0000-0000-000014000000}"/>
    <cellStyle name="Normal 269 5" xfId="14" xr:uid="{00000000-0005-0000-0000-000013000000}"/>
    <cellStyle name="Normal 4" xfId="4" xr:uid="{00000000-0005-0000-0000-000005000000}"/>
    <cellStyle name="Normal 5" xfId="16" xr:uid="{00000000-0005-0000-0000-000017000000}"/>
    <cellStyle name="Normal 7 4 3 2" xfId="8" xr:uid="{00000000-0005-0000-0000-00000C000000}"/>
    <cellStyle name="Percent 2" xfId="17" xr:uid="{00000000-0005-0000-0000-000018000000}"/>
    <cellStyle name="Porcentaje" xfId="3" builtinId="5"/>
    <cellStyle name="Porcentaje 10" xfId="9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2:D14"/>
  <sheetViews>
    <sheetView showGridLines="0" topLeftCell="A7" zoomScale="80" zoomScaleNormal="80" workbookViewId="0">
      <selection activeCell="G21" sqref="G21"/>
    </sheetView>
  </sheetViews>
  <sheetFormatPr baseColWidth="10" defaultRowHeight="14.4" x14ac:dyDescent="0.3"/>
  <cols>
    <col min="1" max="1" width="27.6640625" customWidth="1"/>
    <col min="2" max="2" width="18.88671875" customWidth="1"/>
    <col min="3" max="3" width="17.88671875" customWidth="1"/>
    <col min="4" max="4" width="15.88671875" bestFit="1" customWidth="1"/>
    <col min="5" max="5" width="17.77734375" bestFit="1" customWidth="1"/>
    <col min="6" max="6" width="14.21875" bestFit="1" customWidth="1"/>
    <col min="7" max="7" width="12.5546875" bestFit="1" customWidth="1"/>
    <col min="8" max="8" width="14.5546875" bestFit="1" customWidth="1"/>
  </cols>
  <sheetData>
    <row r="2" spans="1:4" x14ac:dyDescent="0.3">
      <c r="A2" s="299" t="s">
        <v>413</v>
      </c>
    </row>
    <row r="3" spans="1:4" x14ac:dyDescent="0.3">
      <c r="A3" t="s">
        <v>58</v>
      </c>
    </row>
    <row r="5" spans="1:4" ht="14.4" customHeight="1" x14ac:dyDescent="0.3">
      <c r="A5" s="212" t="s">
        <v>55</v>
      </c>
      <c r="B5" s="212" t="s">
        <v>59</v>
      </c>
      <c r="C5" s="259" t="s">
        <v>60</v>
      </c>
      <c r="D5" s="213" t="s">
        <v>54</v>
      </c>
    </row>
    <row r="6" spans="1:4" x14ac:dyDescent="0.3">
      <c r="D6" s="10" t="s">
        <v>5</v>
      </c>
    </row>
    <row r="7" spans="1:4" x14ac:dyDescent="0.3">
      <c r="A7" s="155" t="s">
        <v>56</v>
      </c>
      <c r="B7" s="155" t="s">
        <v>170</v>
      </c>
      <c r="C7" s="58" t="s">
        <v>171</v>
      </c>
      <c r="D7" s="365">
        <v>3120499</v>
      </c>
    </row>
    <row r="8" spans="1:4" x14ac:dyDescent="0.3">
      <c r="A8" s="155" t="s">
        <v>56</v>
      </c>
      <c r="B8" s="155" t="s">
        <v>418</v>
      </c>
      <c r="C8" s="58" t="s">
        <v>420</v>
      </c>
      <c r="D8" s="365">
        <v>2839260</v>
      </c>
    </row>
    <row r="9" spans="1:4" x14ac:dyDescent="0.3">
      <c r="A9" s="155" t="s">
        <v>56</v>
      </c>
      <c r="B9" s="155" t="s">
        <v>170</v>
      </c>
      <c r="C9" s="58" t="s">
        <v>420</v>
      </c>
      <c r="D9" s="365">
        <v>145029</v>
      </c>
    </row>
    <row r="10" spans="1:4" x14ac:dyDescent="0.3">
      <c r="A10" s="155" t="s">
        <v>56</v>
      </c>
      <c r="B10" s="155" t="s">
        <v>419</v>
      </c>
      <c r="C10" s="58" t="s">
        <v>420</v>
      </c>
      <c r="D10" s="365">
        <v>866211</v>
      </c>
    </row>
    <row r="11" spans="1:4" x14ac:dyDescent="0.3">
      <c r="A11" s="155" t="s">
        <v>56</v>
      </c>
      <c r="B11" s="155" t="s">
        <v>419</v>
      </c>
      <c r="C11" s="58" t="s">
        <v>420</v>
      </c>
      <c r="D11" s="365">
        <v>61178</v>
      </c>
    </row>
    <row r="12" spans="1:4" ht="15" customHeight="1" thickBot="1" x14ac:dyDescent="0.35">
      <c r="A12" s="155"/>
      <c r="B12" s="1"/>
      <c r="D12" s="298"/>
    </row>
    <row r="13" spans="1:4" ht="15" customHeight="1" thickBot="1" x14ac:dyDescent="0.35">
      <c r="A13" s="155" t="s">
        <v>57</v>
      </c>
      <c r="B13" s="13"/>
      <c r="D13" s="14">
        <f>SUM(D7:D12)</f>
        <v>7032177</v>
      </c>
    </row>
    <row r="14" spans="1:4" x14ac:dyDescent="0.3">
      <c r="D14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39997558519241921"/>
  </sheetPr>
  <dimension ref="B2:C14"/>
  <sheetViews>
    <sheetView showGridLines="0" zoomScale="90" zoomScaleNormal="90" workbookViewId="0">
      <selection activeCell="E10" sqref="E10"/>
    </sheetView>
  </sheetViews>
  <sheetFormatPr baseColWidth="10" defaultRowHeight="14.4" x14ac:dyDescent="0.3"/>
  <cols>
    <col min="2" max="2" width="38.109375" customWidth="1"/>
    <col min="3" max="3" width="14.33203125" customWidth="1"/>
    <col min="4" max="4" width="18.109375" bestFit="1" customWidth="1"/>
    <col min="5" max="5" width="14" customWidth="1"/>
    <col min="6" max="6" width="15.77734375" bestFit="1" customWidth="1"/>
    <col min="7" max="7" width="9.44140625" bestFit="1" customWidth="1"/>
  </cols>
  <sheetData>
    <row r="2" spans="2:3" x14ac:dyDescent="0.3">
      <c r="B2" s="299" t="s">
        <v>343</v>
      </c>
      <c r="C2" s="211"/>
    </row>
    <row r="3" spans="2:3" ht="23.25" customHeight="1" x14ac:dyDescent="0.3">
      <c r="B3" s="260" t="s">
        <v>61</v>
      </c>
      <c r="C3" s="213" t="s">
        <v>54</v>
      </c>
    </row>
    <row r="4" spans="2:3" x14ac:dyDescent="0.3">
      <c r="B4" s="19"/>
      <c r="C4" s="210" t="s">
        <v>5</v>
      </c>
    </row>
    <row r="5" spans="2:3" x14ac:dyDescent="0.3">
      <c r="B5" s="21"/>
      <c r="C5" s="22"/>
    </row>
    <row r="6" spans="2:3" x14ac:dyDescent="0.3">
      <c r="B6" s="21"/>
      <c r="C6" s="22"/>
    </row>
    <row r="7" spans="2:3" x14ac:dyDescent="0.3">
      <c r="B7" s="261" t="s">
        <v>62</v>
      </c>
      <c r="C7" s="366">
        <v>6380720</v>
      </c>
    </row>
    <row r="8" spans="2:3" x14ac:dyDescent="0.3">
      <c r="B8" s="261" t="s">
        <v>63</v>
      </c>
      <c r="C8" s="366">
        <v>5113135</v>
      </c>
    </row>
    <row r="9" spans="2:3" x14ac:dyDescent="0.3">
      <c r="B9" s="261" t="s">
        <v>64</v>
      </c>
      <c r="C9" s="366">
        <v>117716</v>
      </c>
    </row>
    <row r="10" spans="2:3" x14ac:dyDescent="0.3">
      <c r="B10" s="261" t="s">
        <v>65</v>
      </c>
      <c r="C10" s="366">
        <v>157639</v>
      </c>
    </row>
    <row r="11" spans="2:3" x14ac:dyDescent="0.3">
      <c r="B11" s="261" t="s">
        <v>66</v>
      </c>
      <c r="C11" s="366">
        <v>101111</v>
      </c>
    </row>
    <row r="12" spans="2:3" x14ac:dyDescent="0.3">
      <c r="B12" s="261" t="s">
        <v>67</v>
      </c>
      <c r="C12" s="366">
        <v>46742</v>
      </c>
    </row>
    <row r="13" spans="2:3" ht="15" customHeight="1" thickBot="1" x14ac:dyDescent="0.35">
      <c r="B13" s="261" t="s">
        <v>68</v>
      </c>
      <c r="C13" s="366">
        <v>3859</v>
      </c>
    </row>
    <row r="14" spans="2:3" ht="15" customHeight="1" thickBot="1" x14ac:dyDescent="0.35">
      <c r="B14" s="261" t="s">
        <v>69</v>
      </c>
      <c r="C14" s="367">
        <v>11920922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 tint="0.39997558519241921"/>
  </sheetPr>
  <dimension ref="B1:G57"/>
  <sheetViews>
    <sheetView showGridLines="0" topLeftCell="A21" zoomScale="90" zoomScaleNormal="90" workbookViewId="0">
      <selection activeCell="C36" sqref="C36"/>
    </sheetView>
  </sheetViews>
  <sheetFormatPr baseColWidth="10" defaultRowHeight="14.4" x14ac:dyDescent="0.3"/>
  <cols>
    <col min="1" max="1" width="5.44140625" customWidth="1"/>
    <col min="2" max="2" width="40.21875" customWidth="1"/>
    <col min="3" max="3" width="14.33203125" customWidth="1"/>
    <col min="4" max="4" width="18.109375" style="92" bestFit="1" customWidth="1"/>
    <col min="5" max="5" width="17.109375" bestFit="1" customWidth="1"/>
    <col min="6" max="6" width="11.88671875" bestFit="1" customWidth="1"/>
    <col min="7" max="7" width="16" bestFit="1" customWidth="1"/>
  </cols>
  <sheetData>
    <row r="1" spans="2:7" x14ac:dyDescent="0.3">
      <c r="B1" s="299" t="s">
        <v>344</v>
      </c>
      <c r="C1" s="5"/>
      <c r="D1" s="355"/>
      <c r="E1" s="5"/>
      <c r="G1" s="5"/>
    </row>
    <row r="2" spans="2:7" x14ac:dyDescent="0.3">
      <c r="B2" s="257" t="s">
        <v>71</v>
      </c>
    </row>
    <row r="3" spans="2:7" x14ac:dyDescent="0.3">
      <c r="C3" s="213" t="s">
        <v>54</v>
      </c>
      <c r="D3" s="356"/>
      <c r="E3" s="46"/>
      <c r="G3" s="46"/>
    </row>
    <row r="4" spans="2:7" x14ac:dyDescent="0.3">
      <c r="B4" s="256" t="s">
        <v>55</v>
      </c>
      <c r="C4" s="7" t="s">
        <v>5</v>
      </c>
      <c r="D4" s="357"/>
    </row>
    <row r="6" spans="2:7" x14ac:dyDescent="0.3">
      <c r="B6" s="256" t="s">
        <v>72</v>
      </c>
      <c r="C6" s="366">
        <v>12815370</v>
      </c>
      <c r="D6" s="195"/>
      <c r="E6" s="121"/>
      <c r="G6" s="121"/>
    </row>
    <row r="7" spans="2:7" x14ac:dyDescent="0.3">
      <c r="B7" s="256" t="s">
        <v>73</v>
      </c>
      <c r="C7" s="366">
        <v>9406853</v>
      </c>
      <c r="D7" s="195"/>
      <c r="E7" s="121"/>
      <c r="G7" s="121"/>
    </row>
    <row r="8" spans="2:7" x14ac:dyDescent="0.3">
      <c r="B8" s="256" t="s">
        <v>74</v>
      </c>
      <c r="C8" s="366">
        <v>6903570</v>
      </c>
      <c r="D8" s="195"/>
      <c r="E8" s="121"/>
      <c r="G8" s="121"/>
    </row>
    <row r="9" spans="2:7" x14ac:dyDescent="0.3">
      <c r="B9" s="256" t="s">
        <v>75</v>
      </c>
      <c r="C9" s="366">
        <v>2027331</v>
      </c>
      <c r="D9" s="195"/>
      <c r="E9" s="121"/>
      <c r="G9" s="121"/>
    </row>
    <row r="10" spans="2:7" x14ac:dyDescent="0.3">
      <c r="B10" s="256" t="s">
        <v>76</v>
      </c>
      <c r="C10" s="366">
        <v>1407762</v>
      </c>
      <c r="D10" s="195"/>
      <c r="E10" s="121"/>
      <c r="G10" s="121"/>
    </row>
    <row r="11" spans="2:7" x14ac:dyDescent="0.3">
      <c r="B11" s="256" t="s">
        <v>77</v>
      </c>
      <c r="C11" s="366">
        <v>1914081</v>
      </c>
      <c r="D11" s="195"/>
      <c r="E11" s="121"/>
      <c r="G11" s="121"/>
    </row>
    <row r="12" spans="2:7" ht="15" thickBot="1" x14ac:dyDescent="0.35">
      <c r="B12" s="256" t="s">
        <v>78</v>
      </c>
      <c r="C12" s="368">
        <v>-1227528</v>
      </c>
      <c r="D12" s="195"/>
      <c r="E12" s="121"/>
      <c r="G12" s="121"/>
    </row>
    <row r="13" spans="2:7" ht="15" customHeight="1" thickBot="1" x14ac:dyDescent="0.35">
      <c r="B13" s="256" t="s">
        <v>57</v>
      </c>
      <c r="C13" s="368">
        <v>33247439</v>
      </c>
      <c r="D13" s="108"/>
      <c r="E13" s="16"/>
      <c r="G13" s="4"/>
    </row>
    <row r="14" spans="2:7" ht="15" customHeight="1" x14ac:dyDescent="0.3">
      <c r="C14" s="25"/>
    </row>
    <row r="15" spans="2:7" x14ac:dyDescent="0.3">
      <c r="C15" s="3"/>
    </row>
    <row r="17" spans="2:4" x14ac:dyDescent="0.3">
      <c r="B17" s="299" t="s">
        <v>345</v>
      </c>
    </row>
    <row r="18" spans="2:4" x14ac:dyDescent="0.3">
      <c r="B18" s="257" t="s">
        <v>79</v>
      </c>
    </row>
    <row r="19" spans="2:4" x14ac:dyDescent="0.3">
      <c r="B19" s="21"/>
      <c r="C19" s="213" t="s">
        <v>54</v>
      </c>
      <c r="D19" s="356"/>
    </row>
    <row r="20" spans="2:4" x14ac:dyDescent="0.3">
      <c r="B20" s="27"/>
      <c r="C20" s="22" t="s">
        <v>80</v>
      </c>
      <c r="D20" s="358"/>
    </row>
    <row r="21" spans="2:4" x14ac:dyDescent="0.3">
      <c r="B21" s="261" t="s">
        <v>70</v>
      </c>
      <c r="C21" s="28">
        <v>-44180</v>
      </c>
      <c r="D21" s="108"/>
    </row>
    <row r="22" spans="2:4" x14ac:dyDescent="0.3">
      <c r="B22" s="261" t="s">
        <v>81</v>
      </c>
      <c r="C22" s="28">
        <v>0</v>
      </c>
      <c r="D22" s="108"/>
    </row>
    <row r="23" spans="2:4" x14ac:dyDescent="0.3">
      <c r="B23" s="261" t="s">
        <v>82</v>
      </c>
      <c r="C23" s="28">
        <v>109178</v>
      </c>
      <c r="D23" s="228"/>
    </row>
    <row r="24" spans="2:4" ht="15" customHeight="1" thickBot="1" x14ac:dyDescent="0.35">
      <c r="B24" s="261" t="s">
        <v>83</v>
      </c>
      <c r="C24" s="29">
        <v>-1292526</v>
      </c>
    </row>
    <row r="25" spans="2:4" ht="15" customHeight="1" thickBot="1" x14ac:dyDescent="0.35">
      <c r="B25" s="261" t="s">
        <v>84</v>
      </c>
      <c r="C25" s="29">
        <f>SUM(C21:C24)</f>
        <v>-1227528</v>
      </c>
      <c r="D25" s="195"/>
    </row>
    <row r="26" spans="2:4" ht="15" customHeight="1" x14ac:dyDescent="0.3">
      <c r="B26" s="261"/>
      <c r="C26" s="28"/>
      <c r="D26" s="195"/>
    </row>
    <row r="27" spans="2:4" x14ac:dyDescent="0.3">
      <c r="B27" s="299" t="s">
        <v>346</v>
      </c>
    </row>
    <row r="28" spans="2:4" x14ac:dyDescent="0.3">
      <c r="B28" s="257" t="s">
        <v>85</v>
      </c>
    </row>
    <row r="29" spans="2:4" x14ac:dyDescent="0.3">
      <c r="B29" s="21"/>
      <c r="C29" s="213" t="s">
        <v>54</v>
      </c>
      <c r="D29" s="356"/>
    </row>
    <row r="30" spans="2:4" x14ac:dyDescent="0.3">
      <c r="B30" s="260" t="s">
        <v>86</v>
      </c>
      <c r="C30" s="9" t="s">
        <v>5</v>
      </c>
      <c r="D30" s="359"/>
    </row>
    <row r="31" spans="2:4" x14ac:dyDescent="0.3">
      <c r="B31" s="21"/>
      <c r="C31" s="1"/>
      <c r="D31" s="360"/>
    </row>
    <row r="32" spans="2:4" x14ac:dyDescent="0.3">
      <c r="B32" s="261" t="s">
        <v>70</v>
      </c>
      <c r="C32" s="384">
        <v>29430391</v>
      </c>
      <c r="D32" s="361"/>
    </row>
    <row r="33" spans="2:4" x14ac:dyDescent="0.3">
      <c r="B33" s="261" t="s">
        <v>87</v>
      </c>
      <c r="C33" s="384">
        <v>43649941</v>
      </c>
      <c r="D33" s="361"/>
    </row>
    <row r="34" spans="2:4" x14ac:dyDescent="0.3">
      <c r="B34" s="261" t="s">
        <v>88</v>
      </c>
      <c r="C34" s="384">
        <v>-37016410</v>
      </c>
      <c r="D34" s="361"/>
    </row>
    <row r="35" spans="2:4" x14ac:dyDescent="0.3">
      <c r="B35" s="261" t="s">
        <v>89</v>
      </c>
      <c r="C35" s="384">
        <v>-1964875</v>
      </c>
      <c r="D35" s="361"/>
    </row>
    <row r="36" spans="2:4" x14ac:dyDescent="0.3">
      <c r="B36" s="261" t="s">
        <v>90</v>
      </c>
      <c r="C36" s="384">
        <v>-1183347</v>
      </c>
      <c r="D36" s="361"/>
    </row>
    <row r="37" spans="2:4" x14ac:dyDescent="0.3">
      <c r="B37" s="261" t="s">
        <v>91</v>
      </c>
      <c r="C37" s="384">
        <v>729069</v>
      </c>
      <c r="D37" s="361"/>
    </row>
    <row r="38" spans="2:4" ht="15" customHeight="1" thickBot="1" x14ac:dyDescent="0.35">
      <c r="B38" s="261" t="s">
        <v>92</v>
      </c>
      <c r="C38" s="29">
        <v>-397330</v>
      </c>
      <c r="D38" s="361"/>
    </row>
    <row r="39" spans="2:4" ht="15" customHeight="1" thickBot="1" x14ac:dyDescent="0.35">
      <c r="B39" s="261" t="s">
        <v>57</v>
      </c>
      <c r="C39" s="29">
        <v>33247439</v>
      </c>
      <c r="D39" s="195"/>
    </row>
    <row r="40" spans="2:4" x14ac:dyDescent="0.3">
      <c r="B40" s="36"/>
    </row>
    <row r="41" spans="2:4" x14ac:dyDescent="0.3">
      <c r="B41" s="1"/>
      <c r="C41" s="17"/>
      <c r="D41" s="228"/>
    </row>
    <row r="42" spans="2:4" x14ac:dyDescent="0.3">
      <c r="B42" s="299" t="s">
        <v>347</v>
      </c>
    </row>
    <row r="43" spans="2:4" x14ac:dyDescent="0.3">
      <c r="B43" s="257" t="s">
        <v>93</v>
      </c>
    </row>
    <row r="44" spans="2:4" x14ac:dyDescent="0.3">
      <c r="B44" s="5"/>
    </row>
    <row r="45" spans="2:4" x14ac:dyDescent="0.3">
      <c r="B45" s="26"/>
      <c r="C45" s="5"/>
      <c r="D45" s="355"/>
    </row>
    <row r="46" spans="2:4" x14ac:dyDescent="0.3">
      <c r="B46" s="369" t="s">
        <v>1</v>
      </c>
      <c r="C46" s="213" t="s">
        <v>54</v>
      </c>
      <c r="D46" s="356"/>
    </row>
    <row r="47" spans="2:4" x14ac:dyDescent="0.3">
      <c r="B47" s="370"/>
      <c r="C47" s="10" t="s">
        <v>5</v>
      </c>
      <c r="D47" s="358"/>
    </row>
    <row r="48" spans="2:4" x14ac:dyDescent="0.3">
      <c r="B48" s="155" t="s">
        <v>94</v>
      </c>
      <c r="C48" s="80"/>
      <c r="D48" s="222"/>
    </row>
    <row r="49" spans="2:4" x14ac:dyDescent="0.3">
      <c r="B49" s="155" t="s">
        <v>95</v>
      </c>
      <c r="C49" s="80">
        <v>6768</v>
      </c>
      <c r="D49" s="222"/>
    </row>
    <row r="50" spans="2:4" x14ac:dyDescent="0.3">
      <c r="B50" s="155" t="s">
        <v>96</v>
      </c>
      <c r="C50" s="80">
        <v>339040</v>
      </c>
      <c r="D50" s="222"/>
    </row>
    <row r="51" spans="2:4" x14ac:dyDescent="0.3">
      <c r="B51" s="155" t="s">
        <v>97</v>
      </c>
      <c r="C51" s="80">
        <v>0</v>
      </c>
      <c r="D51" s="222"/>
    </row>
    <row r="52" spans="2:4" x14ac:dyDescent="0.3">
      <c r="B52" s="155" t="s">
        <v>17</v>
      </c>
      <c r="C52" s="80">
        <v>370936</v>
      </c>
      <c r="D52" s="222"/>
    </row>
    <row r="53" spans="2:4" x14ac:dyDescent="0.3">
      <c r="B53" s="155" t="s">
        <v>15</v>
      </c>
      <c r="C53" s="80">
        <v>899572</v>
      </c>
      <c r="D53" s="222"/>
    </row>
    <row r="54" spans="2:4" x14ac:dyDescent="0.3">
      <c r="B54" s="155" t="s">
        <v>98</v>
      </c>
      <c r="C54" s="80">
        <v>4620017</v>
      </c>
      <c r="D54" s="362"/>
    </row>
    <row r="55" spans="2:4" x14ac:dyDescent="0.3">
      <c r="B55" s="155" t="s">
        <v>99</v>
      </c>
      <c r="C55" s="80">
        <v>0</v>
      </c>
      <c r="D55" s="222"/>
    </row>
    <row r="56" spans="2:4" ht="15" customHeight="1" thickBot="1" x14ac:dyDescent="0.35">
      <c r="B56" s="155" t="s">
        <v>100</v>
      </c>
      <c r="C56" s="81">
        <v>30780077</v>
      </c>
      <c r="D56" s="222"/>
    </row>
    <row r="57" spans="2:4" ht="15" customHeight="1" thickBot="1" x14ac:dyDescent="0.35">
      <c r="B57" s="155" t="s">
        <v>57</v>
      </c>
      <c r="C57" s="81">
        <f>SUM(C48:C56)</f>
        <v>37016410</v>
      </c>
      <c r="D57" s="222"/>
    </row>
  </sheetData>
  <mergeCells count="1">
    <mergeCell ref="B46:B4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 tint="0.59999389629810485"/>
  </sheetPr>
  <dimension ref="A1:P43"/>
  <sheetViews>
    <sheetView showGridLines="0" topLeftCell="B16" zoomScale="80" zoomScaleNormal="80" workbookViewId="0">
      <selection activeCell="H48" sqref="H48"/>
    </sheetView>
  </sheetViews>
  <sheetFormatPr baseColWidth="10" defaultColWidth="11.44140625" defaultRowHeight="13.8" x14ac:dyDescent="0.3"/>
  <cols>
    <col min="1" max="1" width="34.33203125" style="37" customWidth="1"/>
    <col min="2" max="2" width="33.109375" style="37" customWidth="1"/>
    <col min="3" max="3" width="13.44140625" style="37" customWidth="1"/>
    <col min="4" max="4" width="21.44140625" style="37" customWidth="1"/>
    <col min="5" max="5" width="15" style="37" customWidth="1"/>
    <col min="6" max="6" width="18.5546875" style="37" bestFit="1" customWidth="1"/>
    <col min="7" max="7" width="12.77734375" style="37" customWidth="1"/>
    <col min="8" max="8" width="18" style="37" bestFit="1" customWidth="1"/>
    <col min="9" max="9" width="25.5546875" style="37" customWidth="1"/>
    <col min="10" max="10" width="14.88671875" style="37" customWidth="1"/>
    <col min="11" max="11" width="13.5546875" style="37" bestFit="1" customWidth="1"/>
    <col min="12" max="12" width="14.77734375" style="37" bestFit="1" customWidth="1"/>
    <col min="13" max="13" width="13.77734375" style="37" bestFit="1" customWidth="1"/>
    <col min="14" max="14" width="12" style="37" bestFit="1" customWidth="1"/>
    <col min="15" max="15" width="12.77734375" style="37" bestFit="1" customWidth="1"/>
    <col min="16" max="16" width="13" style="37" bestFit="1" customWidth="1"/>
    <col min="17" max="17" width="15.109375" style="37" bestFit="1" customWidth="1"/>
    <col min="18" max="18" width="12.77734375" style="37" bestFit="1" customWidth="1"/>
    <col min="19" max="19" width="14.5546875" style="37" bestFit="1" customWidth="1"/>
    <col min="20" max="21" width="12" style="37" bestFit="1" customWidth="1"/>
    <col min="22" max="22" width="13.77734375" style="37" bestFit="1" customWidth="1"/>
    <col min="23" max="23" width="14.77734375" style="37" bestFit="1" customWidth="1"/>
    <col min="24" max="24" width="11.6640625" style="37" customWidth="1"/>
    <col min="25" max="27" width="11.44140625" style="37" customWidth="1"/>
    <col min="28" max="16384" width="11.44140625" style="37"/>
  </cols>
  <sheetData>
    <row r="1" spans="1:5" x14ac:dyDescent="0.3">
      <c r="B1" s="299" t="s">
        <v>348</v>
      </c>
    </row>
    <row r="2" spans="1:5" x14ac:dyDescent="0.3">
      <c r="B2" s="251"/>
    </row>
    <row r="3" spans="1:5" x14ac:dyDescent="0.3">
      <c r="B3" s="248"/>
      <c r="C3" s="140"/>
      <c r="D3" s="139" t="s">
        <v>0</v>
      </c>
      <c r="E3" s="141"/>
    </row>
    <row r="4" spans="1:5" x14ac:dyDescent="0.3">
      <c r="B4" s="249"/>
      <c r="C4" s="134"/>
      <c r="D4" s="113"/>
      <c r="E4" s="135"/>
    </row>
    <row r="5" spans="1:5" ht="25.5" customHeight="1" x14ac:dyDescent="0.3">
      <c r="B5" s="262" t="s">
        <v>1</v>
      </c>
      <c r="C5" s="263" t="s">
        <v>2</v>
      </c>
      <c r="D5" s="264" t="s">
        <v>3</v>
      </c>
      <c r="E5" s="265" t="s">
        <v>4</v>
      </c>
    </row>
    <row r="6" spans="1:5" x14ac:dyDescent="0.3">
      <c r="B6" s="249"/>
      <c r="C6" s="134" t="s">
        <v>5</v>
      </c>
      <c r="D6" s="109" t="s">
        <v>5</v>
      </c>
      <c r="E6" s="136" t="s">
        <v>5</v>
      </c>
    </row>
    <row r="7" spans="1:5" x14ac:dyDescent="0.3">
      <c r="B7" s="250"/>
      <c r="C7" s="137"/>
      <c r="D7" s="115"/>
      <c r="E7" s="138"/>
    </row>
    <row r="8" spans="1:5" x14ac:dyDescent="0.3">
      <c r="B8" s="266" t="s">
        <v>6</v>
      </c>
      <c r="C8" s="130"/>
      <c r="D8" s="128"/>
      <c r="E8" s="387">
        <f t="shared" ref="E8:E23" si="0">SUM(C8:D8)</f>
        <v>0</v>
      </c>
    </row>
    <row r="9" spans="1:5" ht="20.100000000000001" customHeight="1" x14ac:dyDescent="0.3">
      <c r="A9" s="124"/>
      <c r="B9" s="129" t="s">
        <v>7</v>
      </c>
      <c r="C9" s="388">
        <v>1042698</v>
      </c>
      <c r="D9" s="384">
        <v>-794159</v>
      </c>
      <c r="E9" s="389">
        <f t="shared" si="0"/>
        <v>248539</v>
      </c>
    </row>
    <row r="10" spans="1:5" ht="20.100000000000001" customHeight="1" x14ac:dyDescent="0.3">
      <c r="A10" s="124"/>
      <c r="B10" s="129" t="s">
        <v>8</v>
      </c>
      <c r="C10" s="388">
        <v>15627888</v>
      </c>
      <c r="D10" s="384">
        <v>-11008263</v>
      </c>
      <c r="E10" s="389">
        <f t="shared" si="0"/>
        <v>4619625</v>
      </c>
    </row>
    <row r="11" spans="1:5" ht="20.100000000000001" customHeight="1" x14ac:dyDescent="0.3">
      <c r="A11" s="124"/>
      <c r="B11" s="129" t="s">
        <v>9</v>
      </c>
      <c r="C11" s="388">
        <v>1612622</v>
      </c>
      <c r="D11" s="384">
        <v>-1130117</v>
      </c>
      <c r="E11" s="389">
        <f t="shared" si="0"/>
        <v>482505</v>
      </c>
    </row>
    <row r="12" spans="1:5" ht="20.100000000000001" customHeight="1" x14ac:dyDescent="0.3">
      <c r="A12" s="124"/>
      <c r="B12" s="129" t="s">
        <v>10</v>
      </c>
      <c r="C12" s="388">
        <v>1526642</v>
      </c>
      <c r="D12" s="384">
        <v>-1064667</v>
      </c>
      <c r="E12" s="389">
        <f t="shared" si="0"/>
        <v>461975</v>
      </c>
    </row>
    <row r="13" spans="1:5" ht="20.100000000000001" customHeight="1" x14ac:dyDescent="0.3">
      <c r="A13" s="124"/>
      <c r="B13" s="129" t="s">
        <v>11</v>
      </c>
      <c r="C13" s="388">
        <v>1467337</v>
      </c>
      <c r="D13" s="384">
        <v>-1383595</v>
      </c>
      <c r="E13" s="389">
        <f t="shared" si="0"/>
        <v>83742</v>
      </c>
    </row>
    <row r="14" spans="1:5" ht="20.100000000000001" customHeight="1" x14ac:dyDescent="0.3">
      <c r="A14" s="124"/>
      <c r="B14" s="129" t="s">
        <v>12</v>
      </c>
      <c r="C14" s="388">
        <v>183465995</v>
      </c>
      <c r="D14" s="384">
        <v>-115774767</v>
      </c>
      <c r="E14" s="389">
        <f t="shared" si="0"/>
        <v>67691228</v>
      </c>
    </row>
    <row r="15" spans="1:5" ht="20.100000000000001" customHeight="1" x14ac:dyDescent="0.3">
      <c r="A15" s="124"/>
      <c r="B15" s="129" t="s">
        <v>13</v>
      </c>
      <c r="C15" s="388">
        <v>801019</v>
      </c>
      <c r="D15" s="384">
        <v>-589191</v>
      </c>
      <c r="E15" s="389">
        <f t="shared" si="0"/>
        <v>211828</v>
      </c>
    </row>
    <row r="16" spans="1:5" ht="20.100000000000001" customHeight="1" x14ac:dyDescent="0.3">
      <c r="A16" s="124"/>
      <c r="B16" s="129" t="s">
        <v>14</v>
      </c>
      <c r="C16" s="388">
        <v>945856</v>
      </c>
      <c r="D16" s="384">
        <v>-812689</v>
      </c>
      <c r="E16" s="389">
        <f t="shared" si="0"/>
        <v>133167</v>
      </c>
    </row>
    <row r="17" spans="1:16" ht="20.100000000000001" customHeight="1" x14ac:dyDescent="0.3">
      <c r="A17" s="124"/>
      <c r="B17" s="129" t="s">
        <v>15</v>
      </c>
      <c r="C17" s="388">
        <v>1692621</v>
      </c>
      <c r="D17" s="384">
        <v>-1358476</v>
      </c>
      <c r="E17" s="389">
        <f t="shared" si="0"/>
        <v>334145</v>
      </c>
    </row>
    <row r="18" spans="1:16" ht="20.100000000000001" customHeight="1" x14ac:dyDescent="0.3">
      <c r="A18" s="124"/>
      <c r="B18" s="129" t="s">
        <v>16</v>
      </c>
      <c r="C18" s="388">
        <v>468823</v>
      </c>
      <c r="D18" s="384">
        <v>-247328</v>
      </c>
      <c r="E18" s="389">
        <f t="shared" si="0"/>
        <v>221495</v>
      </c>
    </row>
    <row r="19" spans="1:16" ht="20.100000000000001" customHeight="1" x14ac:dyDescent="0.3">
      <c r="A19" s="124"/>
      <c r="B19" s="129" t="s">
        <v>17</v>
      </c>
      <c r="C19" s="388">
        <v>5198965</v>
      </c>
      <c r="D19" s="384" t="s">
        <v>421</v>
      </c>
      <c r="E19" s="389">
        <f t="shared" si="0"/>
        <v>5198965</v>
      </c>
    </row>
    <row r="20" spans="1:16" ht="20.100000000000001" customHeight="1" x14ac:dyDescent="0.3">
      <c r="A20" s="124"/>
      <c r="B20" s="129" t="s">
        <v>18</v>
      </c>
      <c r="C20" s="388">
        <v>158952589</v>
      </c>
      <c r="D20" s="384">
        <v>-96534908</v>
      </c>
      <c r="E20" s="389">
        <f t="shared" si="0"/>
        <v>62417681</v>
      </c>
    </row>
    <row r="21" spans="1:16" s="111" customFormat="1" ht="20.100000000000001" customHeight="1" x14ac:dyDescent="0.3">
      <c r="A21" s="132"/>
      <c r="B21" s="129" t="s">
        <v>19</v>
      </c>
      <c r="C21" s="388"/>
      <c r="D21" s="384"/>
      <c r="E21" s="389">
        <f t="shared" si="0"/>
        <v>0</v>
      </c>
      <c r="F21" s="37"/>
      <c r="G21" s="37"/>
      <c r="H21" s="37"/>
    </row>
    <row r="22" spans="1:16" s="111" customFormat="1" ht="20.100000000000001" customHeight="1" x14ac:dyDescent="0.3">
      <c r="B22" s="129" t="s">
        <v>20</v>
      </c>
      <c r="C22" s="388"/>
      <c r="D22" s="384"/>
      <c r="E22" s="389">
        <f t="shared" si="0"/>
        <v>0</v>
      </c>
      <c r="F22" s="37"/>
      <c r="G22" s="37"/>
      <c r="H22" s="37"/>
    </row>
    <row r="23" spans="1:16" s="111" customFormat="1" ht="20.100000000000001" customHeight="1" x14ac:dyDescent="0.3">
      <c r="B23" s="133" t="s">
        <v>21</v>
      </c>
      <c r="C23" s="390"/>
      <c r="D23" s="391"/>
      <c r="E23" s="392">
        <f t="shared" si="0"/>
        <v>0</v>
      </c>
      <c r="F23" s="37"/>
      <c r="G23" s="37"/>
      <c r="H23" s="37"/>
    </row>
    <row r="24" spans="1:16" s="111" customFormat="1" ht="20.100000000000001" customHeight="1" x14ac:dyDescent="0.3">
      <c r="B24" s="112"/>
      <c r="C24" s="108"/>
      <c r="D24" s="108"/>
      <c r="E24" s="110"/>
      <c r="F24" s="37"/>
      <c r="G24" s="37"/>
      <c r="H24" s="37"/>
    </row>
    <row r="25" spans="1:16" s="111" customFormat="1" ht="20.100000000000001" customHeight="1" thickBot="1" x14ac:dyDescent="0.35">
      <c r="B25" s="112" t="s">
        <v>22</v>
      </c>
      <c r="C25" s="116">
        <f t="shared" ref="C25:E25" si="1">SUM(C9:C23)</f>
        <v>372803055</v>
      </c>
      <c r="D25" s="116">
        <f t="shared" si="1"/>
        <v>-230698160</v>
      </c>
      <c r="E25" s="116">
        <f t="shared" si="1"/>
        <v>142104895</v>
      </c>
      <c r="F25" s="37"/>
      <c r="G25" s="37"/>
      <c r="H25" s="37"/>
    </row>
    <row r="26" spans="1:16" s="111" customFormat="1" ht="20.100000000000001" customHeight="1" thickTop="1" x14ac:dyDescent="0.3">
      <c r="F26" s="37"/>
      <c r="G26" s="37"/>
      <c r="H26" s="37"/>
    </row>
    <row r="27" spans="1:16" s="111" customFormat="1" ht="13.2" customHeight="1" x14ac:dyDescent="0.3">
      <c r="F27" s="37"/>
      <c r="G27" s="37"/>
      <c r="H27" s="37"/>
    </row>
    <row r="28" spans="1:16" x14ac:dyDescent="0.3">
      <c r="B28" s="300" t="s">
        <v>349</v>
      </c>
    </row>
    <row r="29" spans="1:16" x14ac:dyDescent="0.3">
      <c r="B29" s="37">
        <v>2026</v>
      </c>
    </row>
    <row r="30" spans="1:16" x14ac:dyDescent="0.3">
      <c r="B30" s="38"/>
      <c r="C30" s="39"/>
      <c r="D30" s="267" t="s">
        <v>23</v>
      </c>
      <c r="E30" s="267" t="s">
        <v>24</v>
      </c>
      <c r="F30" s="39" t="s">
        <v>25</v>
      </c>
      <c r="G30" s="39" t="s">
        <v>26</v>
      </c>
      <c r="H30" s="39" t="s">
        <v>27</v>
      </c>
      <c r="I30" s="39" t="s">
        <v>28</v>
      </c>
      <c r="J30" s="39" t="s">
        <v>26</v>
      </c>
      <c r="K30" s="39" t="s">
        <v>29</v>
      </c>
      <c r="L30" s="39" t="s">
        <v>30</v>
      </c>
      <c r="M30" s="39" t="s">
        <v>31</v>
      </c>
      <c r="N30" s="39" t="s">
        <v>32</v>
      </c>
      <c r="O30" s="39" t="s">
        <v>33</v>
      </c>
    </row>
    <row r="31" spans="1:16" x14ac:dyDescent="0.3">
      <c r="B31" s="38"/>
      <c r="C31" s="267" t="s">
        <v>6</v>
      </c>
      <c r="D31" s="267" t="s">
        <v>34</v>
      </c>
      <c r="E31" s="267" t="s">
        <v>35</v>
      </c>
      <c r="F31" s="39" t="s">
        <v>36</v>
      </c>
      <c r="G31" s="39" t="s">
        <v>37</v>
      </c>
      <c r="H31" s="39" t="s">
        <v>38</v>
      </c>
      <c r="I31" s="39" t="s">
        <v>39</v>
      </c>
      <c r="J31" s="39" t="s">
        <v>40</v>
      </c>
      <c r="K31" s="39" t="s">
        <v>41</v>
      </c>
      <c r="L31" s="39" t="s">
        <v>42</v>
      </c>
      <c r="M31" s="39" t="s">
        <v>43</v>
      </c>
      <c r="N31" s="39" t="s">
        <v>44</v>
      </c>
      <c r="O31" s="39" t="s">
        <v>45</v>
      </c>
      <c r="P31" s="39" t="s">
        <v>46</v>
      </c>
    </row>
    <row r="32" spans="1:16" x14ac:dyDescent="0.3">
      <c r="B32" s="38"/>
      <c r="C32" s="40" t="s">
        <v>39</v>
      </c>
      <c r="D32" s="40" t="s">
        <v>39</v>
      </c>
      <c r="E32" s="40" t="s">
        <v>39</v>
      </c>
      <c r="F32" s="40" t="s">
        <v>39</v>
      </c>
      <c r="G32" s="40" t="s">
        <v>39</v>
      </c>
      <c r="H32" s="40" t="s">
        <v>39</v>
      </c>
      <c r="I32" s="142"/>
      <c r="J32" s="40" t="s">
        <v>39</v>
      </c>
      <c r="K32" s="40" t="s">
        <v>39</v>
      </c>
      <c r="L32" s="40" t="s">
        <v>39</v>
      </c>
      <c r="M32" s="40" t="s">
        <v>39</v>
      </c>
      <c r="N32" s="40" t="s">
        <v>39</v>
      </c>
      <c r="O32" s="40" t="s">
        <v>39</v>
      </c>
      <c r="P32" s="40" t="s">
        <v>39</v>
      </c>
    </row>
    <row r="33" spans="2:16" x14ac:dyDescent="0.3">
      <c r="B33" s="123" t="s">
        <v>47</v>
      </c>
      <c r="C33" s="396">
        <v>0</v>
      </c>
      <c r="D33" s="396">
        <v>314414</v>
      </c>
      <c r="E33" s="396">
        <v>5570016</v>
      </c>
      <c r="F33" s="396">
        <v>564668</v>
      </c>
      <c r="G33" s="396">
        <v>96740</v>
      </c>
      <c r="H33" s="396">
        <v>419618</v>
      </c>
      <c r="I33" s="396">
        <v>14702</v>
      </c>
      <c r="J33" s="396">
        <v>66591375</v>
      </c>
      <c r="K33" s="396">
        <v>202621</v>
      </c>
      <c r="L33" s="396">
        <v>61856676</v>
      </c>
      <c r="M33" s="397">
        <v>185906</v>
      </c>
      <c r="N33" s="396">
        <v>660612</v>
      </c>
      <c r="O33" s="396">
        <v>5141301</v>
      </c>
      <c r="P33" s="398">
        <f t="shared" ref="P33:P40" si="2">SUM(C34:O34)</f>
        <v>66703495</v>
      </c>
    </row>
    <row r="34" spans="2:16" x14ac:dyDescent="0.3">
      <c r="B34" s="38" t="s">
        <v>48</v>
      </c>
      <c r="C34" s="398">
        <v>0</v>
      </c>
      <c r="D34" s="399">
        <v>56618</v>
      </c>
      <c r="E34" s="399" t="s">
        <v>421</v>
      </c>
      <c r="F34" s="399" t="s">
        <v>421</v>
      </c>
      <c r="G34" s="399">
        <v>67231</v>
      </c>
      <c r="H34" s="399">
        <v>339040</v>
      </c>
      <c r="I34" s="399" t="s">
        <v>421</v>
      </c>
      <c r="J34" s="399">
        <v>30780078</v>
      </c>
      <c r="K34" s="399">
        <v>37792</v>
      </c>
      <c r="L34" s="399">
        <v>30849428</v>
      </c>
      <c r="M34" s="400">
        <v>914874</v>
      </c>
      <c r="N34" s="399" t="s">
        <v>421</v>
      </c>
      <c r="O34" s="399">
        <v>3658434</v>
      </c>
      <c r="P34" s="398">
        <f>SUM(C34:O34)</f>
        <v>66703495</v>
      </c>
    </row>
    <row r="35" spans="2:16" x14ac:dyDescent="0.3">
      <c r="B35" s="268" t="s">
        <v>49</v>
      </c>
      <c r="C35" s="398">
        <v>0</v>
      </c>
      <c r="D35" s="401" t="s">
        <v>421</v>
      </c>
      <c r="E35" s="401" t="s">
        <v>421</v>
      </c>
      <c r="F35" s="401" t="s">
        <v>421</v>
      </c>
      <c r="G35" s="401" t="s">
        <v>421</v>
      </c>
      <c r="H35" s="401" t="s">
        <v>421</v>
      </c>
      <c r="I35" s="401">
        <v>-2610</v>
      </c>
      <c r="J35" s="401" t="s">
        <v>421</v>
      </c>
      <c r="K35" s="401" t="s">
        <v>421</v>
      </c>
      <c r="L35" s="401" t="s">
        <v>421</v>
      </c>
      <c r="M35" s="402" t="s">
        <v>421</v>
      </c>
      <c r="N35" s="401" t="s">
        <v>421</v>
      </c>
      <c r="O35" s="401">
        <v>-452035</v>
      </c>
      <c r="P35" s="398">
        <f t="shared" ref="P35:P40" si="3">SUM(C35:O35)</f>
        <v>-454645</v>
      </c>
    </row>
    <row r="36" spans="2:16" x14ac:dyDescent="0.3">
      <c r="B36" s="268" t="s">
        <v>422</v>
      </c>
      <c r="C36" s="398">
        <v>0</v>
      </c>
      <c r="D36" s="399" t="s">
        <v>421</v>
      </c>
      <c r="E36" s="399" t="s">
        <v>421</v>
      </c>
      <c r="F36" s="399" t="s">
        <v>421</v>
      </c>
      <c r="G36" s="399" t="s">
        <v>421</v>
      </c>
      <c r="H36" s="399" t="s">
        <v>421</v>
      </c>
      <c r="I36" s="399" t="s">
        <v>421</v>
      </c>
      <c r="J36" s="399" t="s">
        <v>421</v>
      </c>
      <c r="K36" s="399" t="s">
        <v>421</v>
      </c>
      <c r="L36" s="399" t="s">
        <v>421</v>
      </c>
      <c r="M36" s="400" t="s">
        <v>421</v>
      </c>
      <c r="N36" s="399">
        <v>-67179</v>
      </c>
      <c r="O36" s="399" t="s">
        <v>421</v>
      </c>
      <c r="P36" s="398"/>
    </row>
    <row r="37" spans="2:16" x14ac:dyDescent="0.3">
      <c r="B37" s="38" t="s">
        <v>50</v>
      </c>
      <c r="C37" s="398">
        <v>0</v>
      </c>
      <c r="D37" s="399">
        <v>-122493</v>
      </c>
      <c r="E37" s="399">
        <v>-4099126</v>
      </c>
      <c r="F37" s="399">
        <v>-82163</v>
      </c>
      <c r="G37" s="399">
        <v>-80229</v>
      </c>
      <c r="H37" s="399">
        <v>-296683</v>
      </c>
      <c r="I37" s="399">
        <v>-73319</v>
      </c>
      <c r="J37" s="399">
        <v>-28606547</v>
      </c>
      <c r="K37" s="399">
        <v>-107246</v>
      </c>
      <c r="L37" s="399">
        <v>-29797521</v>
      </c>
      <c r="M37" s="400">
        <v>-766635</v>
      </c>
      <c r="N37" s="399">
        <v>-98883</v>
      </c>
      <c r="O37" s="399" t="s">
        <v>421</v>
      </c>
      <c r="P37" s="398">
        <f t="shared" si="3"/>
        <v>-64130845</v>
      </c>
    </row>
    <row r="38" spans="2:16" x14ac:dyDescent="0.3">
      <c r="B38" s="38" t="s">
        <v>51</v>
      </c>
      <c r="C38" s="398">
        <v>0</v>
      </c>
      <c r="D38" s="399" t="s">
        <v>421</v>
      </c>
      <c r="E38" s="399" t="s">
        <v>421</v>
      </c>
      <c r="F38" s="399" t="s">
        <v>421</v>
      </c>
      <c r="G38" s="399" t="s">
        <v>421</v>
      </c>
      <c r="H38" s="399" t="s">
        <v>421</v>
      </c>
      <c r="I38" s="399" t="s">
        <v>421</v>
      </c>
      <c r="J38" s="399">
        <v>-1073678</v>
      </c>
      <c r="K38" s="399" t="s">
        <v>421</v>
      </c>
      <c r="L38" s="399">
        <v>-490902</v>
      </c>
      <c r="M38" s="400" t="s">
        <v>421</v>
      </c>
      <c r="N38" s="399" t="s">
        <v>421</v>
      </c>
      <c r="O38" s="399" t="s">
        <v>421</v>
      </c>
      <c r="P38" s="398">
        <f t="shared" si="3"/>
        <v>-1564580</v>
      </c>
    </row>
    <row r="39" spans="2:16" ht="14.4" thickBot="1" x14ac:dyDescent="0.35">
      <c r="B39" s="38" t="s">
        <v>52</v>
      </c>
      <c r="C39" s="403"/>
      <c r="D39" s="399" t="s">
        <v>421</v>
      </c>
      <c r="E39" s="399">
        <v>3148735</v>
      </c>
      <c r="F39" s="399" t="s">
        <v>421</v>
      </c>
      <c r="G39" s="399" t="s">
        <v>421</v>
      </c>
      <c r="H39" s="399" t="s">
        <v>421</v>
      </c>
      <c r="I39" s="399">
        <v>273055</v>
      </c>
      <c r="J39" s="399" t="s">
        <v>421</v>
      </c>
      <c r="K39" s="399" t="s">
        <v>421</v>
      </c>
      <c r="L39" s="399" t="s">
        <v>421</v>
      </c>
      <c r="M39" s="404" t="s">
        <v>421</v>
      </c>
      <c r="N39" s="405">
        <v>-273055</v>
      </c>
      <c r="O39" s="399">
        <v>-3148735</v>
      </c>
      <c r="P39" s="398">
        <f t="shared" si="3"/>
        <v>0</v>
      </c>
    </row>
    <row r="40" spans="2:16" ht="14.4" thickBot="1" x14ac:dyDescent="0.35">
      <c r="B40" s="123" t="s">
        <v>53</v>
      </c>
      <c r="C40" s="406">
        <f>+E8</f>
        <v>0</v>
      </c>
      <c r="D40" s="406">
        <v>248539</v>
      </c>
      <c r="E40" s="406">
        <v>4619625</v>
      </c>
      <c r="F40" s="406">
        <v>482505</v>
      </c>
      <c r="G40" s="406">
        <v>83742</v>
      </c>
      <c r="H40" s="406">
        <v>461975</v>
      </c>
      <c r="I40" s="406">
        <v>211828</v>
      </c>
      <c r="J40" s="406">
        <v>67691228</v>
      </c>
      <c r="K40" s="406">
        <v>133167</v>
      </c>
      <c r="L40" s="406">
        <v>62417681</v>
      </c>
      <c r="M40" s="407">
        <v>334145</v>
      </c>
      <c r="N40" s="408">
        <v>221495</v>
      </c>
      <c r="O40" s="406">
        <v>5198965</v>
      </c>
      <c r="P40" s="406">
        <f t="shared" si="3"/>
        <v>142104895</v>
      </c>
    </row>
    <row r="41" spans="2:16" ht="14.4" customHeight="1" x14ac:dyDescent="0.3">
      <c r="D41" s="125"/>
      <c r="E41" s="126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</row>
    <row r="42" spans="2:16" ht="14.4" customHeight="1" thickTop="1" x14ac:dyDescent="0.3"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41"/>
    </row>
    <row r="43" spans="2:16" x14ac:dyDescent="0.3">
      <c r="B43" s="122"/>
      <c r="C43" s="122"/>
      <c r="D43" s="4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39997558519241921"/>
  </sheetPr>
  <dimension ref="B1:AL33"/>
  <sheetViews>
    <sheetView showGridLines="0" zoomScale="70" zoomScaleNormal="70" workbookViewId="0">
      <selection activeCell="G31" sqref="G31"/>
    </sheetView>
  </sheetViews>
  <sheetFormatPr baseColWidth="10" defaultColWidth="11.44140625" defaultRowHeight="13.8" x14ac:dyDescent="0.3"/>
  <cols>
    <col min="1" max="1" width="11.44140625" style="37" customWidth="1"/>
    <col min="2" max="2" width="33.109375" style="37" customWidth="1"/>
    <col min="3" max="3" width="13.88671875" style="37" customWidth="1"/>
    <col min="4" max="4" width="13.44140625" style="37" customWidth="1"/>
    <col min="5" max="5" width="15.109375" style="37" customWidth="1"/>
    <col min="6" max="6" width="13.88671875" style="37" bestFit="1" customWidth="1"/>
    <col min="7" max="7" width="23.109375" style="37" bestFit="1" customWidth="1"/>
    <col min="8" max="8" width="13.33203125" style="37" bestFit="1" customWidth="1"/>
    <col min="9" max="9" width="5.109375" style="37" customWidth="1"/>
    <col min="10" max="10" width="18.5546875" style="37" bestFit="1" customWidth="1"/>
    <col min="11" max="11" width="12.77734375" style="37" customWidth="1"/>
    <col min="12" max="12" width="18" style="37" bestFit="1" customWidth="1"/>
    <col min="13" max="13" width="11.44140625" style="37" customWidth="1"/>
    <col min="14" max="14" width="25.5546875" style="37" customWidth="1"/>
    <col min="15" max="15" width="14.88671875" style="37" customWidth="1"/>
    <col min="16" max="16" width="13.5546875" style="37" bestFit="1" customWidth="1"/>
    <col min="17" max="17" width="14.77734375" style="37" bestFit="1" customWidth="1"/>
    <col min="18" max="18" width="13.77734375" style="37" bestFit="1" customWidth="1"/>
    <col min="19" max="19" width="12" style="37" bestFit="1" customWidth="1"/>
    <col min="20" max="20" width="12.77734375" style="37" bestFit="1" customWidth="1"/>
    <col min="21" max="21" width="12" style="37" bestFit="1" customWidth="1"/>
    <col min="22" max="22" width="15.109375" style="37" bestFit="1" customWidth="1"/>
    <col min="23" max="23" width="12.77734375" style="37" bestFit="1" customWidth="1"/>
    <col min="24" max="24" width="14.5546875" style="37" bestFit="1" customWidth="1"/>
    <col min="25" max="25" width="13.77734375" style="37" bestFit="1" customWidth="1"/>
    <col min="26" max="27" width="12" style="37" bestFit="1" customWidth="1"/>
    <col min="28" max="28" width="13.77734375" style="37" bestFit="1" customWidth="1"/>
    <col min="29" max="29" width="13.77734375" style="37" customWidth="1"/>
    <col min="30" max="30" width="14.77734375" style="37" bestFit="1" customWidth="1"/>
    <col min="31" max="31" width="12.44140625" style="37" bestFit="1" customWidth="1"/>
    <col min="32" max="32" width="12" style="37" bestFit="1" customWidth="1"/>
    <col min="33" max="38" width="11.44140625" style="37" customWidth="1"/>
    <col min="39" max="39" width="11.6640625" style="37" bestFit="1" customWidth="1"/>
    <col min="40" max="40" width="11.6640625" style="37" customWidth="1"/>
    <col min="41" max="43" width="11.44140625" style="37" customWidth="1"/>
    <col min="44" max="16384" width="11.44140625" style="37"/>
  </cols>
  <sheetData>
    <row r="1" spans="2:38" x14ac:dyDescent="0.3">
      <c r="B1" s="117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</row>
    <row r="2" spans="2:38" x14ac:dyDescent="0.3">
      <c r="B2" s="299" t="s">
        <v>350</v>
      </c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</row>
    <row r="3" spans="2:38" x14ac:dyDescent="0.3">
      <c r="B3" s="268" t="s">
        <v>102</v>
      </c>
      <c r="C3" s="97"/>
      <c r="E3" s="97"/>
    </row>
    <row r="4" spans="2:38" ht="29.4" customHeight="1" x14ac:dyDescent="0.3">
      <c r="B4" s="83"/>
      <c r="C4" s="114" t="s">
        <v>0</v>
      </c>
      <c r="E4" s="97"/>
    </row>
    <row r="5" spans="2:38" x14ac:dyDescent="0.3">
      <c r="B5" s="96"/>
      <c r="C5" s="93" t="s">
        <v>5</v>
      </c>
      <c r="E5" s="97"/>
    </row>
    <row r="6" spans="2:38" x14ac:dyDescent="0.3">
      <c r="B6" s="269" t="s">
        <v>47</v>
      </c>
      <c r="C6" s="399">
        <v>9185106</v>
      </c>
      <c r="E6" s="97"/>
    </row>
    <row r="7" spans="2:38" x14ac:dyDescent="0.3">
      <c r="B7" s="269" t="s">
        <v>48</v>
      </c>
      <c r="C7" s="399">
        <v>7742893</v>
      </c>
      <c r="E7" s="97"/>
    </row>
    <row r="8" spans="2:38" x14ac:dyDescent="0.3">
      <c r="B8" s="269" t="s">
        <v>49</v>
      </c>
      <c r="C8" s="399">
        <v>-241604</v>
      </c>
      <c r="E8" s="97"/>
    </row>
    <row r="9" spans="2:38" x14ac:dyDescent="0.3">
      <c r="B9" s="269" t="s">
        <v>103</v>
      </c>
      <c r="C9" s="399">
        <v>-5691490</v>
      </c>
      <c r="E9" s="97"/>
    </row>
    <row r="10" spans="2:38" ht="14.4" customHeight="1" thickBot="1" x14ac:dyDescent="0.35">
      <c r="B10" s="269" t="s">
        <v>52</v>
      </c>
      <c r="C10" s="399">
        <v>132789</v>
      </c>
      <c r="E10" s="97"/>
    </row>
    <row r="11" spans="2:38" ht="14.4" customHeight="1" thickBot="1" x14ac:dyDescent="0.35">
      <c r="B11" s="270" t="s">
        <v>104</v>
      </c>
      <c r="C11" s="409">
        <v>11127694</v>
      </c>
      <c r="E11" s="97"/>
    </row>
    <row r="12" spans="2:38" ht="14.4" customHeight="1" x14ac:dyDescent="0.3">
      <c r="B12" s="12"/>
      <c r="C12" s="98"/>
      <c r="E12" s="97"/>
    </row>
    <row r="13" spans="2:38" x14ac:dyDescent="0.3">
      <c r="E13" s="97"/>
    </row>
    <row r="15" spans="2:38" ht="14.4" customHeight="1" x14ac:dyDescent="0.3">
      <c r="B15" s="268" t="s">
        <v>105</v>
      </c>
    </row>
    <row r="16" spans="2:38" ht="14.4" customHeight="1" x14ac:dyDescent="0.3">
      <c r="B16" s="299" t="s">
        <v>351</v>
      </c>
    </row>
    <row r="17" spans="2:5" ht="14.4" customHeight="1" x14ac:dyDescent="0.3">
      <c r="C17" s="221" t="s">
        <v>0</v>
      </c>
    </row>
    <row r="18" spans="2:5" x14ac:dyDescent="0.3">
      <c r="B18" s="271" t="s">
        <v>106</v>
      </c>
      <c r="C18" s="203" t="s">
        <v>5</v>
      </c>
    </row>
    <row r="19" spans="2:5" ht="14.4" customHeight="1" x14ac:dyDescent="0.3"/>
    <row r="20" spans="2:5" x14ac:dyDescent="0.3">
      <c r="B20" s="271" t="s">
        <v>107</v>
      </c>
      <c r="C20" s="209">
        <v>0</v>
      </c>
    </row>
    <row r="21" spans="2:5" x14ac:dyDescent="0.3">
      <c r="B21" s="271" t="s">
        <v>108</v>
      </c>
      <c r="C21" s="209">
        <v>0</v>
      </c>
    </row>
    <row r="22" spans="2:5" ht="14.4" customHeight="1" x14ac:dyDescent="0.3">
      <c r="B22" s="271" t="s">
        <v>109</v>
      </c>
      <c r="C22" s="79">
        <v>1222838</v>
      </c>
    </row>
    <row r="23" spans="2:5" ht="14.4" customHeight="1" thickBot="1" x14ac:dyDescent="0.35">
      <c r="B23" s="271" t="s">
        <v>57</v>
      </c>
      <c r="C23" s="411">
        <f>SUM(C20:C22)</f>
        <v>1222838</v>
      </c>
    </row>
    <row r="24" spans="2:5" ht="14.4" customHeight="1" thickTop="1" x14ac:dyDescent="0.3"/>
    <row r="25" spans="2:5" x14ac:dyDescent="0.3">
      <c r="B25" s="268" t="s">
        <v>110</v>
      </c>
    </row>
    <row r="26" spans="2:5" ht="14.4" customHeight="1" x14ac:dyDescent="0.3">
      <c r="B26" s="299" t="s">
        <v>412</v>
      </c>
    </row>
    <row r="27" spans="2:5" ht="14.4" customHeight="1" x14ac:dyDescent="0.3">
      <c r="C27" s="271" t="s">
        <v>111</v>
      </c>
      <c r="D27" s="271" t="s">
        <v>112</v>
      </c>
      <c r="E27" s="271" t="s">
        <v>113</v>
      </c>
    </row>
    <row r="28" spans="2:5" x14ac:dyDescent="0.3">
      <c r="B28" s="271" t="s">
        <v>106</v>
      </c>
      <c r="C28" s="203" t="s">
        <v>5</v>
      </c>
      <c r="D28" s="203" t="s">
        <v>5</v>
      </c>
      <c r="E28" s="203" t="s">
        <v>5</v>
      </c>
    </row>
    <row r="29" spans="2:5" ht="14.4" customHeight="1" x14ac:dyDescent="0.3"/>
    <row r="30" spans="2:5" x14ac:dyDescent="0.3">
      <c r="B30" s="271" t="s">
        <v>107</v>
      </c>
      <c r="C30" s="209">
        <v>0</v>
      </c>
      <c r="D30" s="209">
        <v>0</v>
      </c>
      <c r="E30" s="209">
        <v>0</v>
      </c>
    </row>
    <row r="31" spans="2:5" x14ac:dyDescent="0.3">
      <c r="B31" s="271" t="s">
        <v>108</v>
      </c>
      <c r="C31" s="209">
        <v>0</v>
      </c>
      <c r="D31" s="209">
        <v>0</v>
      </c>
      <c r="E31" s="209">
        <v>0</v>
      </c>
    </row>
    <row r="32" spans="2:5" ht="14.4" customHeight="1" thickBot="1" x14ac:dyDescent="0.35">
      <c r="B32" s="271" t="s">
        <v>114</v>
      </c>
      <c r="C32" s="194">
        <v>1078851</v>
      </c>
      <c r="D32" s="194">
        <v>1755633</v>
      </c>
      <c r="E32" s="194">
        <v>767432</v>
      </c>
    </row>
    <row r="33" spans="2:5" ht="14.4" customHeight="1" thickBot="1" x14ac:dyDescent="0.35">
      <c r="B33" s="271" t="s">
        <v>57</v>
      </c>
      <c r="C33" s="194">
        <v>1078851</v>
      </c>
      <c r="D33" s="194">
        <v>1755633</v>
      </c>
      <c r="E33" s="194">
        <v>767432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F0"/>
  </sheetPr>
  <dimension ref="B2:M39"/>
  <sheetViews>
    <sheetView showGridLines="0" topLeftCell="A14" zoomScale="70" zoomScaleNormal="70" workbookViewId="0">
      <selection activeCell="K50" sqref="K50"/>
    </sheetView>
  </sheetViews>
  <sheetFormatPr baseColWidth="10" defaultRowHeight="13.8" outlineLevelRow="1" x14ac:dyDescent="0.25"/>
  <cols>
    <col min="1" max="1" width="16.5546875" style="74" customWidth="1"/>
    <col min="2" max="2" width="40.5546875" style="74" bestFit="1" customWidth="1"/>
    <col min="3" max="3" width="18.5546875" style="74" customWidth="1"/>
    <col min="4" max="4" width="14" style="74" customWidth="1"/>
    <col min="5" max="5" width="12" style="74" customWidth="1"/>
    <col min="6" max="6" width="11.5546875" style="74" customWidth="1"/>
    <col min="7" max="7" width="13.44140625" style="74" customWidth="1"/>
    <col min="8" max="8" width="12.44140625" style="74" bestFit="1" customWidth="1"/>
    <col min="9" max="9" width="14.5546875" style="74" bestFit="1" customWidth="1"/>
    <col min="10" max="10" width="13" style="74" bestFit="1" customWidth="1"/>
    <col min="11" max="11" width="13.33203125" style="74" bestFit="1" customWidth="1"/>
    <col min="12" max="12" width="12" style="74" bestFit="1" customWidth="1"/>
    <col min="13" max="13" width="34.21875" style="74" bestFit="1" customWidth="1"/>
    <col min="14" max="15" width="11.5546875" style="74" customWidth="1"/>
    <col min="16" max="16384" width="11.5546875" style="74"/>
  </cols>
  <sheetData>
    <row r="2" spans="2:4" x14ac:dyDescent="0.25">
      <c r="B2" s="299" t="s">
        <v>352</v>
      </c>
    </row>
    <row r="3" spans="2:4" x14ac:dyDescent="0.25">
      <c r="C3" s="214" t="s">
        <v>115</v>
      </c>
      <c r="D3" s="214" t="s">
        <v>115</v>
      </c>
    </row>
    <row r="4" spans="2:4" x14ac:dyDescent="0.25">
      <c r="B4" s="260" t="s">
        <v>1</v>
      </c>
      <c r="C4" s="272" t="s">
        <v>116</v>
      </c>
      <c r="D4" s="272" t="s">
        <v>117</v>
      </c>
    </row>
    <row r="5" spans="2:4" x14ac:dyDescent="0.25">
      <c r="B5" s="21"/>
      <c r="C5" s="215" t="s">
        <v>5</v>
      </c>
      <c r="D5" s="215" t="s">
        <v>5</v>
      </c>
    </row>
    <row r="6" spans="2:4" ht="15" customHeight="1" x14ac:dyDescent="0.25">
      <c r="B6" s="261" t="s">
        <v>118</v>
      </c>
      <c r="C6" s="393">
        <v>516169</v>
      </c>
      <c r="D6" s="393">
        <v>171212</v>
      </c>
    </row>
    <row r="7" spans="2:4" ht="15" customHeight="1" x14ac:dyDescent="0.25">
      <c r="B7" s="261" t="s">
        <v>119</v>
      </c>
      <c r="C7" s="393">
        <v>125068</v>
      </c>
      <c r="D7" s="394" t="s">
        <v>423</v>
      </c>
    </row>
    <row r="8" spans="2:4" ht="15" customHeight="1" x14ac:dyDescent="0.25">
      <c r="B8" s="261" t="s">
        <v>120</v>
      </c>
      <c r="C8" s="222">
        <v>0</v>
      </c>
      <c r="D8" s="222">
        <v>0</v>
      </c>
    </row>
    <row r="9" spans="2:4" ht="15" customHeight="1" x14ac:dyDescent="0.25">
      <c r="B9" s="261" t="s">
        <v>121</v>
      </c>
      <c r="C9" s="393">
        <v>19123</v>
      </c>
      <c r="D9" s="393">
        <v>5048</v>
      </c>
    </row>
    <row r="10" spans="2:4" ht="15" customHeight="1" x14ac:dyDescent="0.25">
      <c r="B10" s="261" t="s">
        <v>122</v>
      </c>
      <c r="C10" s="393">
        <v>1535145</v>
      </c>
      <c r="D10" s="393">
        <v>1410021</v>
      </c>
    </row>
    <row r="11" spans="2:4" ht="15" customHeight="1" x14ac:dyDescent="0.25">
      <c r="B11" s="261" t="s">
        <v>123</v>
      </c>
      <c r="C11" s="222">
        <v>0</v>
      </c>
      <c r="D11" s="222">
        <v>0</v>
      </c>
    </row>
    <row r="12" spans="2:4" ht="15" customHeight="1" thickBot="1" x14ac:dyDescent="0.3">
      <c r="B12" s="261" t="s">
        <v>124</v>
      </c>
      <c r="C12" s="393">
        <v>2652493</v>
      </c>
      <c r="D12" s="393">
        <v>4233882</v>
      </c>
    </row>
    <row r="13" spans="2:4" ht="14.4" customHeight="1" thickBot="1" x14ac:dyDescent="0.3">
      <c r="B13" s="261" t="s">
        <v>69</v>
      </c>
      <c r="C13" s="48">
        <f>SUM(C6:C12)</f>
        <v>4847998</v>
      </c>
      <c r="D13" s="48">
        <f>SUM(D6:D12)</f>
        <v>5820163</v>
      </c>
    </row>
    <row r="14" spans="2:4" ht="15" customHeight="1" x14ac:dyDescent="0.25"/>
    <row r="18" spans="2:11" x14ac:dyDescent="0.25">
      <c r="B18" s="300" t="s">
        <v>353</v>
      </c>
    </row>
    <row r="19" spans="2:11" outlineLevel="1" x14ac:dyDescent="0.25">
      <c r="B19" s="273" t="s">
        <v>125</v>
      </c>
      <c r="C19" s="216"/>
    </row>
    <row r="20" spans="2:11" ht="24" customHeight="1" outlineLevel="1" x14ac:dyDescent="0.25">
      <c r="B20" s="11" t="s">
        <v>126</v>
      </c>
      <c r="C20" s="274" t="s">
        <v>127</v>
      </c>
      <c r="D20" s="274" t="s">
        <v>128</v>
      </c>
      <c r="E20" s="275" t="s">
        <v>129</v>
      </c>
      <c r="F20" s="45" t="s">
        <v>130</v>
      </c>
      <c r="G20" s="45" t="s">
        <v>131</v>
      </c>
      <c r="H20" s="49" t="s">
        <v>132</v>
      </c>
    </row>
    <row r="21" spans="2:11" outlineLevel="1" x14ac:dyDescent="0.25">
      <c r="B21" s="47"/>
      <c r="C21" s="10" t="s">
        <v>5</v>
      </c>
      <c r="D21" s="10" t="s">
        <v>5</v>
      </c>
      <c r="E21" s="10" t="s">
        <v>5</v>
      </c>
      <c r="F21" s="10" t="s">
        <v>5</v>
      </c>
      <c r="G21" s="10" t="s">
        <v>5</v>
      </c>
      <c r="H21" s="10" t="s">
        <v>5</v>
      </c>
    </row>
    <row r="22" spans="2:11" ht="15" customHeight="1" outlineLevel="1" thickBot="1" x14ac:dyDescent="0.3">
      <c r="B22" s="47" t="s">
        <v>133</v>
      </c>
      <c r="C22" s="412">
        <v>1512830</v>
      </c>
      <c r="D22" s="412">
        <v>3642854</v>
      </c>
      <c r="E22" s="412">
        <v>5155684</v>
      </c>
      <c r="F22" s="412">
        <v>6078176</v>
      </c>
      <c r="G22" s="412">
        <v>1228362</v>
      </c>
      <c r="H22" s="412">
        <v>7306538</v>
      </c>
      <c r="I22" s="216"/>
    </row>
    <row r="23" spans="2:11" ht="15" customHeight="1" outlineLevel="1" thickBot="1" x14ac:dyDescent="0.3">
      <c r="B23" s="155" t="s">
        <v>69</v>
      </c>
      <c r="C23" s="413">
        <v>1512830</v>
      </c>
      <c r="D23" s="413">
        <v>3642854</v>
      </c>
      <c r="E23" s="413">
        <v>5155684</v>
      </c>
      <c r="F23" s="413">
        <v>6078176</v>
      </c>
      <c r="G23" s="413">
        <v>1228362</v>
      </c>
      <c r="H23" s="413">
        <v>7306538</v>
      </c>
      <c r="I23" s="216"/>
    </row>
    <row r="24" spans="2:11" outlineLevel="1" x14ac:dyDescent="0.25">
      <c r="B24" s="1"/>
      <c r="C24" s="223"/>
      <c r="D24" s="224"/>
      <c r="E24" s="224"/>
      <c r="F24" s="224"/>
      <c r="G24" s="224"/>
      <c r="H24" s="224"/>
      <c r="I24" s="216"/>
    </row>
    <row r="25" spans="2:11" outlineLevel="1" x14ac:dyDescent="0.25">
      <c r="B25" s="1"/>
      <c r="C25" s="223"/>
      <c r="D25" s="224"/>
      <c r="E25" s="224"/>
      <c r="F25" s="224"/>
      <c r="G25" s="224"/>
      <c r="H25" s="224"/>
      <c r="I25" s="216"/>
    </row>
    <row r="26" spans="2:11" outlineLevel="1" x14ac:dyDescent="0.25">
      <c r="B26" s="1"/>
      <c r="C26" s="47"/>
      <c r="D26" s="13"/>
      <c r="E26" s="13"/>
      <c r="F26" s="13"/>
      <c r="G26" s="13"/>
      <c r="H26" s="13"/>
    </row>
    <row r="27" spans="2:11" outlineLevel="1" x14ac:dyDescent="0.25">
      <c r="B27" s="1"/>
      <c r="C27" s="47"/>
      <c r="D27" s="13"/>
      <c r="E27" s="13"/>
      <c r="F27" s="13"/>
      <c r="G27" s="13"/>
      <c r="H27" s="13"/>
    </row>
    <row r="28" spans="2:11" outlineLevel="1" x14ac:dyDescent="0.25">
      <c r="B28" s="1"/>
      <c r="C28" s="47"/>
      <c r="D28" s="13"/>
      <c r="E28" s="13"/>
      <c r="F28" s="13"/>
      <c r="G28" s="13"/>
      <c r="H28" s="13"/>
    </row>
    <row r="29" spans="2:11" x14ac:dyDescent="0.25">
      <c r="B29" s="300" t="s">
        <v>415</v>
      </c>
    </row>
    <row r="30" spans="2:11" outlineLevel="1" x14ac:dyDescent="0.25">
      <c r="B30" s="273" t="s">
        <v>134</v>
      </c>
      <c r="J30" s="53"/>
    </row>
    <row r="31" spans="2:11" outlineLevel="1" x14ac:dyDescent="0.25">
      <c r="B31" s="50"/>
      <c r="C31" s="217"/>
      <c r="D31" s="217"/>
      <c r="F31" s="217"/>
      <c r="G31" s="217"/>
      <c r="H31" s="217"/>
      <c r="I31" s="74" t="s">
        <v>135</v>
      </c>
      <c r="K31" s="217"/>
    </row>
    <row r="32" spans="2:11" ht="20.399999999999999" customHeight="1" outlineLevel="1" x14ac:dyDescent="0.25">
      <c r="B32" s="67" t="s">
        <v>136</v>
      </c>
      <c r="C32" s="276" t="s">
        <v>47</v>
      </c>
      <c r="D32" s="276" t="s">
        <v>137</v>
      </c>
      <c r="E32" s="276" t="s">
        <v>138</v>
      </c>
      <c r="F32" s="68" t="s">
        <v>139</v>
      </c>
      <c r="G32" s="67" t="s">
        <v>140</v>
      </c>
      <c r="H32" s="50" t="s">
        <v>141</v>
      </c>
      <c r="I32" s="68" t="s">
        <v>142</v>
      </c>
      <c r="J32" s="50" t="s">
        <v>143</v>
      </c>
      <c r="K32" s="50" t="s">
        <v>144</v>
      </c>
    </row>
    <row r="33" spans="2:13" outlineLevel="1" x14ac:dyDescent="0.25">
      <c r="C33" s="51" t="s">
        <v>5</v>
      </c>
      <c r="D33" s="51" t="s">
        <v>5</v>
      </c>
      <c r="E33" s="51" t="s">
        <v>5</v>
      </c>
      <c r="F33" s="51" t="s">
        <v>5</v>
      </c>
      <c r="G33" s="51" t="s">
        <v>5</v>
      </c>
      <c r="H33" s="51" t="s">
        <v>5</v>
      </c>
      <c r="I33" s="51" t="s">
        <v>5</v>
      </c>
      <c r="J33" s="51" t="s">
        <v>5</v>
      </c>
      <c r="K33" s="51" t="s">
        <v>5</v>
      </c>
    </row>
    <row r="34" spans="2:13" outlineLevel="1" x14ac:dyDescent="0.25"/>
    <row r="35" spans="2:13" ht="15" customHeight="1" outlineLevel="1" thickBot="1" x14ac:dyDescent="0.3">
      <c r="B35" s="47" t="s">
        <v>133</v>
      </c>
      <c r="C35" s="28">
        <v>8531478</v>
      </c>
      <c r="D35" s="28">
        <v>7742893</v>
      </c>
      <c r="E35" s="28">
        <v>-241604</v>
      </c>
      <c r="F35" s="28">
        <v>532278</v>
      </c>
      <c r="G35" s="28" t="s">
        <v>231</v>
      </c>
      <c r="H35" s="28">
        <v>132789</v>
      </c>
      <c r="I35" s="28">
        <v>-5497395</v>
      </c>
      <c r="J35" s="28">
        <v>-532278</v>
      </c>
      <c r="K35" s="225">
        <f>SUM(C35:J35)</f>
        <v>10668161</v>
      </c>
      <c r="L35" s="131"/>
    </row>
    <row r="36" spans="2:13" ht="15" customHeight="1" outlineLevel="1" thickBot="1" x14ac:dyDescent="0.3">
      <c r="B36" s="59" t="s">
        <v>69</v>
      </c>
      <c r="C36" s="414">
        <v>8531478</v>
      </c>
      <c r="D36" s="414">
        <v>7742893</v>
      </c>
      <c r="E36" s="414">
        <v>-241604</v>
      </c>
      <c r="F36" s="414">
        <v>532278</v>
      </c>
      <c r="G36" s="414" t="s">
        <v>231</v>
      </c>
      <c r="H36" s="414">
        <v>132789</v>
      </c>
      <c r="I36" s="414">
        <v>-5497395</v>
      </c>
      <c r="J36" s="414">
        <v>-532278</v>
      </c>
      <c r="K36" s="226">
        <f t="shared" ref="C36:K36" si="0">+K35</f>
        <v>10668161</v>
      </c>
      <c r="L36" s="216"/>
    </row>
    <row r="37" spans="2:13" outlineLevel="1" x14ac:dyDescent="0.25">
      <c r="C37" s="216"/>
      <c r="D37" s="216"/>
      <c r="E37" s="216"/>
      <c r="F37" s="216"/>
      <c r="G37" s="216"/>
      <c r="H37" s="216"/>
      <c r="I37" s="216"/>
      <c r="J37" s="216"/>
      <c r="K37" s="218"/>
      <c r="L37" s="216"/>
      <c r="M37" s="219"/>
    </row>
    <row r="38" spans="2:13" x14ac:dyDescent="0.25">
      <c r="C38" s="216"/>
      <c r="D38" s="216"/>
      <c r="E38" s="216"/>
      <c r="F38" s="216"/>
      <c r="G38" s="216"/>
      <c r="H38" s="216"/>
      <c r="I38" s="216"/>
      <c r="J38" s="216"/>
      <c r="K38" s="216"/>
      <c r="L38" s="216"/>
    </row>
    <row r="39" spans="2:13" x14ac:dyDescent="0.25">
      <c r="B39" s="50"/>
      <c r="C39" s="227"/>
      <c r="D39" s="227"/>
      <c r="E39" s="216"/>
      <c r="F39" s="227"/>
      <c r="G39" s="227"/>
      <c r="H39" s="227"/>
      <c r="I39" s="216"/>
      <c r="J39" s="216"/>
      <c r="K39" s="227"/>
      <c r="L39" s="21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3:O126"/>
  <sheetViews>
    <sheetView showGridLines="0" topLeftCell="A81" zoomScale="90" zoomScaleNormal="90" workbookViewId="0">
      <selection activeCell="G39" sqref="G39"/>
    </sheetView>
  </sheetViews>
  <sheetFormatPr baseColWidth="10" defaultRowHeight="14.4" x14ac:dyDescent="0.3"/>
  <cols>
    <col min="1" max="1" width="19.6640625" customWidth="1"/>
    <col min="2" max="2" width="24.77734375" customWidth="1"/>
    <col min="3" max="3" width="13" customWidth="1"/>
    <col min="4" max="4" width="16.88671875" customWidth="1"/>
    <col min="5" max="5" width="12" customWidth="1"/>
    <col min="6" max="7" width="13.33203125" customWidth="1"/>
    <col min="8" max="8" width="11.5546875" customWidth="1"/>
    <col min="9" max="9" width="13.33203125" bestFit="1" customWidth="1"/>
    <col min="10" max="10" width="13" customWidth="1"/>
    <col min="11" max="12" width="13.33203125" bestFit="1" customWidth="1"/>
  </cols>
  <sheetData>
    <row r="3" spans="2:10" x14ac:dyDescent="0.3">
      <c r="B3" s="278" t="s">
        <v>147</v>
      </c>
      <c r="C3" s="8"/>
      <c r="D3" s="8"/>
      <c r="E3" s="8"/>
    </row>
    <row r="4" spans="2:10" x14ac:dyDescent="0.3">
      <c r="B4" s="300" t="s">
        <v>354</v>
      </c>
      <c r="C4" s="8"/>
      <c r="D4" s="8"/>
      <c r="E4" s="8"/>
    </row>
    <row r="5" spans="2:10" ht="24" customHeight="1" x14ac:dyDescent="0.3">
      <c r="B5" s="11" t="s">
        <v>126</v>
      </c>
      <c r="C5" s="274" t="s">
        <v>127</v>
      </c>
      <c r="D5" s="274" t="s">
        <v>128</v>
      </c>
      <c r="E5" s="275" t="s">
        <v>129</v>
      </c>
      <c r="F5" s="45" t="s">
        <v>130</v>
      </c>
      <c r="G5" s="45" t="s">
        <v>131</v>
      </c>
      <c r="H5" s="49" t="s">
        <v>132</v>
      </c>
    </row>
    <row r="6" spans="2:10" x14ac:dyDescent="0.3">
      <c r="B6" s="47"/>
      <c r="C6" s="10" t="s">
        <v>5</v>
      </c>
      <c r="D6" s="10" t="s">
        <v>5</v>
      </c>
      <c r="E6" s="10" t="s">
        <v>5</v>
      </c>
      <c r="F6" s="10" t="s">
        <v>5</v>
      </c>
      <c r="G6" s="10" t="s">
        <v>5</v>
      </c>
      <c r="H6" s="10" t="s">
        <v>5</v>
      </c>
    </row>
    <row r="7" spans="2:10" x14ac:dyDescent="0.3">
      <c r="B7" s="155" t="s">
        <v>145</v>
      </c>
      <c r="C7" s="365">
        <v>55800</v>
      </c>
      <c r="D7" s="365">
        <v>3051000</v>
      </c>
      <c r="E7" s="64">
        <f>SUM(C7:D7)</f>
        <v>3106800</v>
      </c>
      <c r="F7" s="64">
        <v>0</v>
      </c>
      <c r="G7" s="64">
        <v>0</v>
      </c>
      <c r="H7" s="64">
        <f>SUM(F19:G19)</f>
        <v>0</v>
      </c>
    </row>
    <row r="8" spans="2:10" x14ac:dyDescent="0.3">
      <c r="B8" s="155" t="s">
        <v>146</v>
      </c>
      <c r="C8" s="365">
        <v>6049</v>
      </c>
      <c r="D8" s="365">
        <v>14113</v>
      </c>
      <c r="E8" s="64">
        <f>SUM(C8:D8)</f>
        <v>20162</v>
      </c>
      <c r="F8" s="64">
        <v>0</v>
      </c>
      <c r="G8" s="64">
        <v>0</v>
      </c>
      <c r="H8" s="64">
        <f>SUM(F20:G20)</f>
        <v>0</v>
      </c>
    </row>
    <row r="9" spans="2:10" ht="22.8" customHeight="1" x14ac:dyDescent="0.3">
      <c r="B9" s="155" t="s">
        <v>148</v>
      </c>
      <c r="C9" s="64"/>
      <c r="D9" s="64"/>
      <c r="E9" s="64">
        <f>SUM(C21:D21)</f>
        <v>4161567</v>
      </c>
      <c r="F9" s="64"/>
      <c r="G9" s="64"/>
      <c r="H9" s="64">
        <f>SUM(F21:G21)</f>
        <v>248691</v>
      </c>
    </row>
    <row r="10" spans="2:10" ht="15" customHeight="1" x14ac:dyDescent="0.3">
      <c r="B10" s="155" t="s">
        <v>149</v>
      </c>
      <c r="C10" s="65"/>
      <c r="D10" s="65"/>
      <c r="E10" s="65">
        <f>SUM(C22:D22)</f>
        <v>304715</v>
      </c>
      <c r="F10" s="65"/>
      <c r="G10" s="65"/>
      <c r="H10" s="65">
        <f>SUM(F22:G22)</f>
        <v>15477</v>
      </c>
    </row>
    <row r="11" spans="2:10" ht="15" customHeight="1" thickBot="1" x14ac:dyDescent="0.35">
      <c r="B11" s="155" t="s">
        <v>69</v>
      </c>
      <c r="C11" s="66">
        <f t="shared" ref="C11:D11" si="0">SUM(C7:C10)</f>
        <v>61849</v>
      </c>
      <c r="D11" s="66">
        <f t="shared" si="0"/>
        <v>3065113</v>
      </c>
      <c r="E11" s="66">
        <f>SUM(E7:E10)</f>
        <v>7593244</v>
      </c>
      <c r="F11" s="66">
        <f t="shared" ref="C11:H11" si="1">SUM(F19:F22)</f>
        <v>264196</v>
      </c>
      <c r="G11" s="66">
        <f t="shared" si="1"/>
        <v>-28</v>
      </c>
      <c r="H11" s="66">
        <f t="shared" si="1"/>
        <v>11161</v>
      </c>
    </row>
    <row r="16" spans="2:10" x14ac:dyDescent="0.3">
      <c r="B16" s="279" t="s">
        <v>342</v>
      </c>
      <c r="C16" s="5"/>
      <c r="D16" s="5"/>
      <c r="J16" s="53"/>
    </row>
    <row r="17" spans="2:15" ht="24" customHeight="1" x14ac:dyDescent="0.3">
      <c r="B17" s="300" t="s">
        <v>396</v>
      </c>
      <c r="C17" s="52"/>
      <c r="D17" s="52"/>
      <c r="F17" s="52"/>
      <c r="G17" s="52"/>
      <c r="H17" s="52"/>
      <c r="I17" s="24"/>
      <c r="J17" s="24"/>
      <c r="K17" s="52"/>
    </row>
    <row r="18" spans="2:15" ht="20.399999999999999" x14ac:dyDescent="0.3">
      <c r="B18" s="67" t="s">
        <v>136</v>
      </c>
      <c r="C18" s="276" t="s">
        <v>47</v>
      </c>
      <c r="D18" s="276" t="s">
        <v>150</v>
      </c>
      <c r="E18" s="276" t="s">
        <v>151</v>
      </c>
      <c r="F18" s="68" t="s">
        <v>139</v>
      </c>
      <c r="G18" s="67" t="s">
        <v>140</v>
      </c>
      <c r="H18" s="50" t="s">
        <v>141</v>
      </c>
      <c r="I18" s="68" t="s">
        <v>142</v>
      </c>
      <c r="J18" s="50" t="s">
        <v>143</v>
      </c>
      <c r="K18" s="50" t="s">
        <v>53</v>
      </c>
    </row>
    <row r="19" spans="2:15" x14ac:dyDescent="0.3">
      <c r="C19" s="51" t="s">
        <v>5</v>
      </c>
      <c r="D19" s="51" t="s">
        <v>5</v>
      </c>
      <c r="E19" s="51" t="s">
        <v>5</v>
      </c>
      <c r="F19" s="51" t="s">
        <v>5</v>
      </c>
      <c r="G19" s="51" t="s">
        <v>5</v>
      </c>
      <c r="H19" s="51" t="s">
        <v>5</v>
      </c>
      <c r="I19" s="51" t="s">
        <v>5</v>
      </c>
      <c r="J19" s="51" t="s">
        <v>5</v>
      </c>
      <c r="K19" s="51" t="s">
        <v>5</v>
      </c>
    </row>
    <row r="21" spans="2:15" ht="22.8" customHeight="1" x14ac:dyDescent="0.3">
      <c r="B21" s="59" t="s">
        <v>152</v>
      </c>
      <c r="C21" s="195">
        <v>4161567</v>
      </c>
      <c r="D21" s="195" t="s">
        <v>231</v>
      </c>
      <c r="E21" s="195" t="s">
        <v>231</v>
      </c>
      <c r="F21" s="195">
        <v>248719</v>
      </c>
      <c r="G21" s="195">
        <v>-28</v>
      </c>
      <c r="H21" s="195" t="s">
        <v>421</v>
      </c>
      <c r="I21" s="195">
        <v>-1013964</v>
      </c>
      <c r="J21" s="195">
        <v>-375894</v>
      </c>
      <c r="K21" s="195">
        <f>SUM(C21:J21)</f>
        <v>3020400</v>
      </c>
    </row>
    <row r="22" spans="2:15" x14ac:dyDescent="0.3">
      <c r="B22" s="59" t="s">
        <v>146</v>
      </c>
      <c r="C22" s="195">
        <v>304715</v>
      </c>
      <c r="D22" s="195" t="s">
        <v>231</v>
      </c>
      <c r="E22" s="195" t="s">
        <v>231</v>
      </c>
      <c r="F22" s="195">
        <v>15477</v>
      </c>
      <c r="G22" s="195"/>
      <c r="H22" s="195">
        <v>11161</v>
      </c>
      <c r="I22" s="195">
        <v>-294148</v>
      </c>
      <c r="J22" s="195">
        <v>-17646</v>
      </c>
      <c r="K22" s="195">
        <f>SUM(C22:J22)</f>
        <v>19559</v>
      </c>
    </row>
    <row r="23" spans="2:15" ht="15" customHeight="1" x14ac:dyDescent="0.3">
      <c r="B23" s="59" t="s">
        <v>148</v>
      </c>
      <c r="C23" s="195">
        <v>0</v>
      </c>
      <c r="D23" s="195">
        <v>0</v>
      </c>
      <c r="E23" s="195">
        <v>0</v>
      </c>
      <c r="F23" s="195">
        <v>0</v>
      </c>
      <c r="G23" s="195">
        <v>0</v>
      </c>
      <c r="H23" s="195">
        <v>0</v>
      </c>
      <c r="I23" s="195">
        <v>0</v>
      </c>
      <c r="J23" s="195">
        <v>0</v>
      </c>
      <c r="K23" s="195">
        <f>SUM(C41:J41)</f>
        <v>0</v>
      </c>
    </row>
    <row r="24" spans="2:15" x14ac:dyDescent="0.3">
      <c r="B24" s="59" t="s">
        <v>149</v>
      </c>
      <c r="C24" s="195">
        <v>0</v>
      </c>
      <c r="D24" s="195">
        <v>0</v>
      </c>
      <c r="E24" s="195">
        <v>0</v>
      </c>
      <c r="F24" s="195">
        <v>0</v>
      </c>
      <c r="G24" s="195">
        <v>0</v>
      </c>
      <c r="H24" s="195">
        <v>0</v>
      </c>
      <c r="I24" s="195">
        <v>0</v>
      </c>
      <c r="J24" s="195">
        <v>0</v>
      </c>
      <c r="K24" s="195">
        <f>SUM(C42:J42)</f>
        <v>0</v>
      </c>
    </row>
    <row r="25" spans="2:15" x14ac:dyDescent="0.3">
      <c r="B25" s="59" t="s">
        <v>153</v>
      </c>
      <c r="C25" s="82">
        <f>SUM(C21:C24)</f>
        <v>4466282</v>
      </c>
      <c r="D25" s="82">
        <f t="shared" ref="D25:K25" si="2">SUM(D21:D24)</f>
        <v>0</v>
      </c>
      <c r="E25" s="82">
        <f t="shared" si="2"/>
        <v>0</v>
      </c>
      <c r="F25" s="82">
        <f t="shared" si="2"/>
        <v>264196</v>
      </c>
      <c r="G25" s="82">
        <f t="shared" si="2"/>
        <v>-28</v>
      </c>
      <c r="H25" s="82">
        <f t="shared" si="2"/>
        <v>11161</v>
      </c>
      <c r="I25" s="82">
        <f t="shared" si="2"/>
        <v>-1308112</v>
      </c>
      <c r="J25" s="82">
        <f t="shared" si="2"/>
        <v>-393540</v>
      </c>
      <c r="K25" s="82">
        <f t="shared" si="2"/>
        <v>3039959</v>
      </c>
    </row>
    <row r="26" spans="2:15" ht="24" customHeight="1" x14ac:dyDescent="0.3">
      <c r="B26" s="118"/>
      <c r="C26" s="119"/>
      <c r="I26" s="92"/>
      <c r="J26" s="92"/>
      <c r="K26" s="228"/>
      <c r="M26" s="92"/>
      <c r="N26" s="92"/>
      <c r="O26" s="92"/>
    </row>
    <row r="28" spans="2:15" ht="15" customHeight="1" x14ac:dyDescent="0.3">
      <c r="B28" s="277" t="s">
        <v>154</v>
      </c>
      <c r="C28" s="5"/>
    </row>
    <row r="29" spans="2:15" x14ac:dyDescent="0.3">
      <c r="B29" s="301" t="s">
        <v>355</v>
      </c>
    </row>
    <row r="30" spans="2:15" x14ac:dyDescent="0.3">
      <c r="B30" s="54"/>
      <c r="C30" s="63"/>
      <c r="D30" s="63"/>
      <c r="E30" s="63"/>
      <c r="F30" s="63"/>
      <c r="G30" s="252" t="s">
        <v>115</v>
      </c>
      <c r="H30" s="24"/>
    </row>
    <row r="31" spans="2:15" x14ac:dyDescent="0.3">
      <c r="B31" s="56" t="s">
        <v>155</v>
      </c>
      <c r="C31" s="280" t="s">
        <v>60</v>
      </c>
      <c r="D31" s="280" t="s">
        <v>156</v>
      </c>
      <c r="E31" s="280" t="s">
        <v>157</v>
      </c>
      <c r="F31" s="57" t="s">
        <v>158</v>
      </c>
      <c r="G31" s="57" t="s">
        <v>116</v>
      </c>
      <c r="H31" s="57" t="s">
        <v>159</v>
      </c>
      <c r="L31" s="58"/>
    </row>
    <row r="32" spans="2:15" ht="23.4" customHeight="1" x14ac:dyDescent="0.3">
      <c r="B32" s="55"/>
      <c r="C32" s="58"/>
      <c r="D32" s="58"/>
      <c r="E32" s="58"/>
      <c r="F32" s="58"/>
      <c r="G32" s="58" t="s">
        <v>5</v>
      </c>
      <c r="H32" s="58" t="s">
        <v>5</v>
      </c>
      <c r="L32" s="58"/>
    </row>
    <row r="33" spans="2:12" ht="23.4" customHeight="1" x14ac:dyDescent="0.3">
      <c r="B33" s="416" t="s">
        <v>160</v>
      </c>
      <c r="C33" s="416" t="s">
        <v>161</v>
      </c>
      <c r="D33" s="427">
        <v>46310</v>
      </c>
      <c r="E33" s="385">
        <v>123949</v>
      </c>
      <c r="F33" s="428">
        <v>6.6900000000000001E-2</v>
      </c>
      <c r="G33" s="366">
        <v>19559</v>
      </c>
      <c r="H33" s="385" t="s">
        <v>231</v>
      </c>
      <c r="L33" s="58"/>
    </row>
    <row r="34" spans="2:12" x14ac:dyDescent="0.3">
      <c r="B34" s="416"/>
      <c r="C34" s="416"/>
      <c r="D34" s="417"/>
      <c r="E34" s="418"/>
      <c r="F34" s="419"/>
      <c r="G34" s="385"/>
      <c r="H34" s="385" t="s">
        <v>424</v>
      </c>
      <c r="L34" s="229"/>
    </row>
    <row r="35" spans="2:12" x14ac:dyDescent="0.3">
      <c r="B35" s="416"/>
      <c r="C35" s="416"/>
      <c r="D35" s="417"/>
      <c r="E35" s="418"/>
      <c r="F35" s="419"/>
      <c r="G35" s="385"/>
      <c r="H35" s="385" t="s">
        <v>424</v>
      </c>
      <c r="L35" s="229"/>
    </row>
    <row r="36" spans="2:12" ht="20.399999999999999" customHeight="1" x14ac:dyDescent="0.3">
      <c r="B36" s="421"/>
      <c r="C36" s="421"/>
      <c r="D36" s="422"/>
      <c r="E36" s="423"/>
      <c r="F36" s="424"/>
      <c r="G36" s="425"/>
      <c r="H36" s="425" t="s">
        <v>424</v>
      </c>
      <c r="L36" s="229"/>
    </row>
    <row r="37" spans="2:12" x14ac:dyDescent="0.3">
      <c r="B37" s="415"/>
      <c r="C37" s="420"/>
      <c r="D37" s="420"/>
      <c r="E37" s="58"/>
      <c r="F37" s="58"/>
      <c r="G37" s="70">
        <f>SUM(G33:G36)</f>
        <v>19559</v>
      </c>
      <c r="H37" s="70">
        <f>SUM(H55:H57)</f>
        <v>0</v>
      </c>
      <c r="L37" s="70"/>
    </row>
    <row r="38" spans="2:12" ht="15" thickBot="1" x14ac:dyDescent="0.35">
      <c r="B38" s="282" t="s">
        <v>163</v>
      </c>
      <c r="C38" s="44"/>
      <c r="D38" s="44"/>
      <c r="E38" s="61"/>
      <c r="F38" s="61"/>
      <c r="G38" s="196">
        <v>0</v>
      </c>
      <c r="H38" s="196">
        <v>0</v>
      </c>
      <c r="L38" s="230"/>
    </row>
    <row r="39" spans="2:12" ht="15" thickBot="1" x14ac:dyDescent="0.35">
      <c r="B39" s="253" t="s">
        <v>164</v>
      </c>
      <c r="C39" s="254"/>
      <c r="D39" s="254"/>
      <c r="F39" s="58"/>
      <c r="G39" s="71">
        <f>+G37+G38</f>
        <v>19559</v>
      </c>
      <c r="H39" s="71">
        <f>SUM(H58:H59)</f>
        <v>0</v>
      </c>
      <c r="L39" s="70"/>
    </row>
    <row r="40" spans="2:12" x14ac:dyDescent="0.3">
      <c r="D40" s="106"/>
      <c r="E40" s="106"/>
      <c r="F40" s="106"/>
      <c r="G40" s="120"/>
      <c r="H40" s="120"/>
      <c r="L40" s="120"/>
    </row>
    <row r="41" spans="2:12" x14ac:dyDescent="0.3">
      <c r="D41" s="106"/>
      <c r="E41" s="106"/>
      <c r="F41" s="106"/>
      <c r="G41" s="120"/>
      <c r="H41" s="120"/>
      <c r="L41" s="120"/>
    </row>
    <row r="42" spans="2:12" ht="15" customHeight="1" x14ac:dyDescent="0.3">
      <c r="B42" s="283" t="s">
        <v>165</v>
      </c>
    </row>
    <row r="43" spans="2:12" ht="21" customHeight="1" x14ac:dyDescent="0.3">
      <c r="B43" s="301" t="s">
        <v>371</v>
      </c>
    </row>
    <row r="44" spans="2:12" x14ac:dyDescent="0.3">
      <c r="C44" s="99"/>
      <c r="D44" s="99"/>
      <c r="E44" s="99"/>
      <c r="F44" s="99"/>
      <c r="G44" s="99"/>
      <c r="H44" s="252" t="s">
        <v>0</v>
      </c>
      <c r="I44" s="24"/>
      <c r="J44" s="364"/>
    </row>
    <row r="45" spans="2:12" x14ac:dyDescent="0.3">
      <c r="B45" s="100" t="s">
        <v>155</v>
      </c>
      <c r="C45" s="284" t="s">
        <v>60</v>
      </c>
      <c r="D45" s="284" t="s">
        <v>156</v>
      </c>
      <c r="E45" s="285" t="s">
        <v>166</v>
      </c>
      <c r="F45" s="102" t="s">
        <v>158</v>
      </c>
      <c r="G45" s="103"/>
      <c r="H45" s="101" t="s">
        <v>116</v>
      </c>
      <c r="I45" s="102" t="s">
        <v>117</v>
      </c>
      <c r="J45" s="101"/>
      <c r="K45" s="102"/>
    </row>
    <row r="46" spans="2:12" x14ac:dyDescent="0.3">
      <c r="B46" s="100"/>
      <c r="C46" s="101"/>
      <c r="D46" s="101"/>
      <c r="E46" s="102"/>
      <c r="F46" s="102"/>
      <c r="G46" s="103"/>
      <c r="H46" s="102" t="s">
        <v>5</v>
      </c>
      <c r="I46" s="102" t="s">
        <v>5</v>
      </c>
      <c r="J46" s="102"/>
      <c r="K46" s="102"/>
    </row>
    <row r="47" spans="2:12" s="75" customFormat="1" ht="11.4" customHeight="1" x14ac:dyDescent="0.2">
      <c r="B47" s="416" t="s">
        <v>167</v>
      </c>
      <c r="C47" s="416" t="s">
        <v>162</v>
      </c>
      <c r="D47" s="417">
        <v>46166</v>
      </c>
      <c r="E47" s="418" t="s">
        <v>169</v>
      </c>
      <c r="F47" s="419">
        <v>7.1999999999999995E-2</v>
      </c>
      <c r="G47" s="173"/>
      <c r="H47" s="426">
        <v>3000000</v>
      </c>
      <c r="I47" s="102"/>
      <c r="J47" s="102"/>
      <c r="K47" s="102"/>
    </row>
    <row r="48" spans="2:12" x14ac:dyDescent="0.3">
      <c r="B48" s="286"/>
      <c r="C48" s="286"/>
      <c r="D48" s="287"/>
      <c r="E48" s="281"/>
      <c r="F48" s="202"/>
      <c r="G48" s="103"/>
      <c r="H48" s="197">
        <v>0</v>
      </c>
      <c r="I48" s="197">
        <v>0</v>
      </c>
      <c r="J48" s="197"/>
      <c r="K48" s="197"/>
    </row>
    <row r="49" spans="2:11" x14ac:dyDescent="0.3">
      <c r="B49" s="286"/>
      <c r="C49" s="286"/>
      <c r="D49" s="287"/>
      <c r="E49" s="281"/>
      <c r="F49" s="6"/>
      <c r="G49" s="103"/>
      <c r="H49" s="197">
        <v>0</v>
      </c>
      <c r="I49" s="197">
        <v>0</v>
      </c>
      <c r="J49" s="197"/>
      <c r="K49" s="197"/>
    </row>
    <row r="50" spans="2:11" x14ac:dyDescent="0.3">
      <c r="B50" s="286"/>
      <c r="C50" s="286"/>
      <c r="D50" s="287"/>
      <c r="E50" s="281"/>
      <c r="F50" s="6"/>
      <c r="G50" s="103"/>
      <c r="H50" s="197">
        <v>0</v>
      </c>
      <c r="I50" s="197">
        <v>0</v>
      </c>
      <c r="J50" s="197"/>
      <c r="K50" s="197"/>
    </row>
    <row r="51" spans="2:11" x14ac:dyDescent="0.3">
      <c r="B51" s="286"/>
      <c r="C51" s="286"/>
      <c r="D51" s="287"/>
      <c r="E51" s="281"/>
      <c r="F51" s="6"/>
      <c r="G51" s="55"/>
      <c r="H51" s="197">
        <v>0</v>
      </c>
      <c r="I51" s="197">
        <v>0</v>
      </c>
      <c r="J51" s="197"/>
      <c r="K51" s="363"/>
    </row>
    <row r="52" spans="2:11" x14ac:dyDescent="0.3">
      <c r="B52" s="286"/>
      <c r="C52" s="286"/>
      <c r="D52" s="287"/>
      <c r="E52" s="281"/>
      <c r="F52" s="6"/>
      <c r="G52" s="183"/>
      <c r="H52" s="197">
        <v>0</v>
      </c>
      <c r="I52" s="363">
        <v>0</v>
      </c>
      <c r="K52" s="363"/>
    </row>
    <row r="53" spans="2:11" ht="20.399999999999999" customHeight="1" x14ac:dyDescent="0.3">
      <c r="B53" s="286"/>
      <c r="C53" s="286"/>
      <c r="D53" s="287"/>
      <c r="E53" s="281"/>
      <c r="F53" s="6"/>
      <c r="G53" s="55"/>
      <c r="H53" s="197">
        <v>0</v>
      </c>
      <c r="I53" s="197">
        <v>0</v>
      </c>
      <c r="J53" s="197"/>
      <c r="K53" s="197"/>
    </row>
    <row r="54" spans="2:11" x14ac:dyDescent="0.3">
      <c r="B54" s="286"/>
      <c r="C54" s="286"/>
      <c r="D54" s="287"/>
      <c r="E54" s="281"/>
      <c r="F54" s="6"/>
      <c r="G54" s="55"/>
      <c r="H54" s="197">
        <v>0</v>
      </c>
      <c r="I54" s="197">
        <v>0</v>
      </c>
      <c r="J54" s="197"/>
      <c r="K54" s="197"/>
    </row>
    <row r="55" spans="2:11" x14ac:dyDescent="0.3">
      <c r="B55" s="286"/>
      <c r="C55" s="286"/>
      <c r="D55" s="287"/>
      <c r="E55" s="281"/>
      <c r="F55" s="6"/>
      <c r="G55" s="55"/>
      <c r="H55" s="197">
        <v>0</v>
      </c>
      <c r="I55" s="197">
        <v>0</v>
      </c>
      <c r="J55" s="197"/>
      <c r="K55" s="197"/>
    </row>
    <row r="56" spans="2:11" x14ac:dyDescent="0.3">
      <c r="B56" s="286"/>
      <c r="C56" s="286"/>
      <c r="D56" s="287"/>
      <c r="E56" s="281"/>
      <c r="F56" s="6"/>
      <c r="G56" s="55"/>
      <c r="H56" s="197">
        <v>0</v>
      </c>
      <c r="I56" s="197">
        <v>0</v>
      </c>
      <c r="J56" s="197"/>
      <c r="K56" s="197"/>
    </row>
    <row r="57" spans="2:11" ht="15" customHeight="1" x14ac:dyDescent="0.3">
      <c r="B57" s="286"/>
      <c r="C57" s="286"/>
      <c r="D57" s="287"/>
      <c r="E57" s="281"/>
      <c r="F57" s="6"/>
      <c r="G57" s="55"/>
      <c r="H57" s="197">
        <v>0</v>
      </c>
      <c r="I57" s="197">
        <v>0</v>
      </c>
      <c r="J57" s="197"/>
      <c r="K57" s="197"/>
    </row>
    <row r="58" spans="2:11" x14ac:dyDescent="0.3">
      <c r="B58" s="372"/>
      <c r="C58" s="370"/>
      <c r="D58" s="370"/>
      <c r="E58" s="281"/>
      <c r="F58" s="6"/>
      <c r="G58" s="55"/>
      <c r="H58" s="197">
        <v>0</v>
      </c>
      <c r="I58" s="197">
        <v>0</v>
      </c>
      <c r="J58" s="197"/>
      <c r="K58" s="197"/>
    </row>
    <row r="59" spans="2:11" ht="15" customHeight="1" x14ac:dyDescent="0.3">
      <c r="B59" s="372"/>
      <c r="C59" s="370"/>
      <c r="D59" s="370"/>
      <c r="E59" s="281"/>
      <c r="F59" s="6"/>
      <c r="G59" s="55"/>
      <c r="H59" s="197">
        <v>0</v>
      </c>
      <c r="I59" s="197">
        <v>0</v>
      </c>
      <c r="J59" s="197"/>
      <c r="K59" s="197"/>
    </row>
    <row r="60" spans="2:11" ht="15" customHeight="1" x14ac:dyDescent="0.3">
      <c r="B60" s="372"/>
      <c r="C60" s="370"/>
      <c r="D60" s="370"/>
      <c r="E60" s="281"/>
      <c r="F60" s="6"/>
      <c r="G60" s="55"/>
      <c r="H60" s="197">
        <v>0</v>
      </c>
      <c r="I60" s="197">
        <v>0</v>
      </c>
      <c r="J60" s="197"/>
      <c r="K60" s="197"/>
    </row>
    <row r="61" spans="2:11" x14ac:dyDescent="0.3">
      <c r="B61" s="286"/>
      <c r="C61" s="286"/>
      <c r="D61" s="287"/>
      <c r="E61" s="281"/>
      <c r="F61" s="6"/>
      <c r="G61" s="55"/>
      <c r="H61" s="197">
        <v>0</v>
      </c>
      <c r="I61" s="197">
        <v>0</v>
      </c>
      <c r="J61" s="197"/>
      <c r="K61" s="197"/>
    </row>
    <row r="62" spans="2:11" x14ac:dyDescent="0.3">
      <c r="B62" s="286"/>
      <c r="C62" s="286"/>
      <c r="D62" s="287"/>
      <c r="E62" s="281"/>
      <c r="F62" s="6"/>
      <c r="G62" s="55"/>
      <c r="H62" s="197">
        <v>0</v>
      </c>
      <c r="I62" s="197">
        <v>0</v>
      </c>
      <c r="J62" s="197"/>
      <c r="K62" s="197"/>
    </row>
    <row r="63" spans="2:11" x14ac:dyDescent="0.3">
      <c r="B63" s="286"/>
      <c r="C63" s="286"/>
      <c r="D63" s="287"/>
      <c r="E63" s="281"/>
      <c r="F63" s="6"/>
      <c r="G63" s="55"/>
      <c r="H63" s="197">
        <v>0</v>
      </c>
      <c r="I63" s="197">
        <v>0</v>
      </c>
      <c r="J63" s="197"/>
      <c r="K63" s="197"/>
    </row>
    <row r="64" spans="2:11" x14ac:dyDescent="0.3">
      <c r="B64" s="286"/>
      <c r="C64" s="286"/>
      <c r="D64" s="287"/>
      <c r="E64" s="281"/>
      <c r="F64" s="6"/>
      <c r="G64" s="55"/>
      <c r="H64" s="197">
        <v>0</v>
      </c>
      <c r="I64" s="197">
        <v>0</v>
      </c>
      <c r="J64" s="197"/>
      <c r="K64" s="197"/>
    </row>
    <row r="65" spans="2:11" x14ac:dyDescent="0.3">
      <c r="B65" s="286"/>
      <c r="C65" s="286"/>
      <c r="D65" s="287"/>
      <c r="E65" s="281"/>
      <c r="F65" s="6"/>
      <c r="G65" s="55"/>
      <c r="H65" s="363">
        <v>0</v>
      </c>
      <c r="I65" s="415"/>
      <c r="J65" s="371"/>
      <c r="K65" s="370"/>
    </row>
    <row r="66" spans="2:11" ht="34.200000000000003" customHeight="1" x14ac:dyDescent="0.3">
      <c r="B66" s="286"/>
      <c r="C66" s="286"/>
      <c r="D66" s="287"/>
      <c r="E66" s="281"/>
      <c r="F66" s="6"/>
      <c r="G66" s="55"/>
      <c r="H66" s="197">
        <v>0</v>
      </c>
      <c r="I66" s="197">
        <v>0</v>
      </c>
      <c r="J66" s="197"/>
      <c r="K66" s="197"/>
    </row>
    <row r="67" spans="2:11" x14ac:dyDescent="0.3">
      <c r="B67" s="286"/>
      <c r="C67" s="286"/>
      <c r="D67" s="287"/>
      <c r="E67" s="281"/>
      <c r="F67" s="6"/>
      <c r="G67" s="55"/>
      <c r="H67" s="197">
        <v>0</v>
      </c>
      <c r="I67" s="197">
        <v>0</v>
      </c>
      <c r="J67" s="197"/>
      <c r="K67" s="197"/>
    </row>
    <row r="68" spans="2:11" x14ac:dyDescent="0.3">
      <c r="B68" s="286"/>
      <c r="C68" s="286"/>
      <c r="D68" s="287"/>
      <c r="E68" s="281"/>
      <c r="F68" s="6"/>
      <c r="G68" s="55"/>
      <c r="H68" s="197">
        <v>0</v>
      </c>
      <c r="I68" s="197">
        <v>0</v>
      </c>
      <c r="J68" s="197"/>
      <c r="K68" s="197"/>
    </row>
    <row r="69" spans="2:11" x14ac:dyDescent="0.3">
      <c r="B69" s="286" t="s">
        <v>172</v>
      </c>
      <c r="C69" s="286" t="s">
        <v>168</v>
      </c>
      <c r="D69" s="199"/>
      <c r="E69" s="57"/>
      <c r="F69" s="200"/>
      <c r="G69" s="63"/>
      <c r="H69" s="201">
        <v>0</v>
      </c>
      <c r="I69" s="201">
        <v>0</v>
      </c>
      <c r="J69" s="197"/>
      <c r="K69" s="197"/>
    </row>
    <row r="70" spans="2:11" x14ac:dyDescent="0.3">
      <c r="B70" s="285" t="s">
        <v>173</v>
      </c>
      <c r="C70" s="102"/>
      <c r="D70" s="105"/>
      <c r="E70" s="102"/>
      <c r="F70" s="105"/>
      <c r="G70" s="104"/>
      <c r="H70" s="197">
        <f>SUM(H47:H69)</f>
        <v>3000000</v>
      </c>
      <c r="I70" s="197" t="str">
        <f ca="1">SUM(I69:I100)</f>
        <v/>
      </c>
      <c r="J70" s="197"/>
      <c r="K70" s="197"/>
    </row>
    <row r="71" spans="2:11" ht="15" thickBot="1" x14ac:dyDescent="0.35">
      <c r="B71" s="285" t="s">
        <v>174</v>
      </c>
      <c r="C71" s="102"/>
      <c r="D71" s="105"/>
      <c r="E71" s="102"/>
      <c r="F71" s="105"/>
      <c r="G71" s="104"/>
      <c r="H71" s="205">
        <v>20000</v>
      </c>
      <c r="I71" s="198"/>
      <c r="J71" s="197"/>
      <c r="K71" s="197"/>
    </row>
    <row r="72" spans="2:11" ht="15" thickBot="1" x14ac:dyDescent="0.35">
      <c r="B72" s="285" t="s">
        <v>175</v>
      </c>
      <c r="C72" s="102"/>
      <c r="D72" s="105"/>
      <c r="E72" s="102"/>
      <c r="F72" s="105"/>
      <c r="G72" s="104"/>
      <c r="H72" s="231">
        <f>+H70+H71</f>
        <v>3020000</v>
      </c>
      <c r="I72" s="231">
        <f>SUM(I101:I102)</f>
        <v>0</v>
      </c>
      <c r="J72" s="197"/>
      <c r="K72" s="197"/>
    </row>
    <row r="73" spans="2:11" x14ac:dyDescent="0.3">
      <c r="B73" s="74"/>
      <c r="C73" s="74"/>
      <c r="D73" s="74"/>
      <c r="E73" s="74"/>
      <c r="F73" s="74"/>
      <c r="G73" s="74"/>
      <c r="H73" s="74"/>
      <c r="I73" s="74"/>
      <c r="J73" s="74"/>
      <c r="K73" s="74"/>
    </row>
    <row r="76" spans="2:11" x14ac:dyDescent="0.3">
      <c r="B76" t="s">
        <v>370</v>
      </c>
    </row>
    <row r="77" spans="2:11" x14ac:dyDescent="0.3">
      <c r="B77" s="301" t="s">
        <v>372</v>
      </c>
    </row>
    <row r="78" spans="2:11" ht="19.8" thickBot="1" x14ac:dyDescent="0.35">
      <c r="B78" s="302" t="s">
        <v>356</v>
      </c>
      <c r="C78" s="302" t="s">
        <v>357</v>
      </c>
      <c r="D78" s="303" t="s">
        <v>358</v>
      </c>
      <c r="E78" s="302" t="s">
        <v>359</v>
      </c>
      <c r="F78" s="302" t="s">
        <v>360</v>
      </c>
      <c r="G78" s="302" t="s">
        <v>361</v>
      </c>
      <c r="H78" s="302" t="s">
        <v>362</v>
      </c>
      <c r="I78" s="302" t="s">
        <v>363</v>
      </c>
      <c r="J78" s="302" t="s">
        <v>116</v>
      </c>
      <c r="K78" s="302" t="s">
        <v>117</v>
      </c>
    </row>
    <row r="80" spans="2:11" x14ac:dyDescent="0.3">
      <c r="B80" s="304" t="s">
        <v>373</v>
      </c>
      <c r="C80" s="305" t="s">
        <v>374</v>
      </c>
      <c r="D80" s="304" t="s">
        <v>341</v>
      </c>
      <c r="E80" s="305" t="s">
        <v>364</v>
      </c>
      <c r="F80" s="315">
        <v>46132</v>
      </c>
      <c r="G80" s="316">
        <v>47958</v>
      </c>
      <c r="H80" s="304" t="s">
        <v>375</v>
      </c>
      <c r="I80" s="306" t="s">
        <v>365</v>
      </c>
      <c r="J80" s="307" t="s">
        <v>231</v>
      </c>
      <c r="K80" s="308">
        <v>0</v>
      </c>
    </row>
    <row r="81" spans="2:12" ht="15" thickBot="1" x14ac:dyDescent="0.35">
      <c r="B81" s="309"/>
      <c r="C81" s="309"/>
      <c r="D81" s="309"/>
      <c r="E81" s="309"/>
      <c r="F81" s="309"/>
      <c r="G81" s="309"/>
      <c r="H81" s="309"/>
      <c r="I81" s="309"/>
      <c r="J81" s="309"/>
      <c r="K81" s="310"/>
    </row>
    <row r="82" spans="2:12" x14ac:dyDescent="0.3">
      <c r="D82" s="311"/>
      <c r="E82" s="311"/>
      <c r="F82" s="312"/>
      <c r="G82" s="311" t="s">
        <v>366</v>
      </c>
      <c r="J82" s="313">
        <f>SUM(J80:J81)</f>
        <v>0</v>
      </c>
      <c r="K82" s="313">
        <f>SUM(K80:K81)</f>
        <v>0</v>
      </c>
    </row>
    <row r="83" spans="2:12" ht="15" thickBot="1" x14ac:dyDescent="0.35">
      <c r="D83" s="312"/>
      <c r="E83" s="312"/>
      <c r="F83" s="312"/>
      <c r="G83" s="312" t="s">
        <v>367</v>
      </c>
      <c r="J83" s="314">
        <v>0</v>
      </c>
      <c r="K83" s="314" t="s">
        <v>368</v>
      </c>
    </row>
    <row r="84" spans="2:12" ht="15" thickBot="1" x14ac:dyDescent="0.35">
      <c r="D84" s="311"/>
      <c r="E84" s="311"/>
      <c r="F84" s="312"/>
      <c r="G84" s="311" t="s">
        <v>369</v>
      </c>
      <c r="J84" s="314">
        <v>0</v>
      </c>
      <c r="K84" s="314">
        <v>0</v>
      </c>
    </row>
    <row r="87" spans="2:12" x14ac:dyDescent="0.3">
      <c r="B87" s="257" t="s">
        <v>176</v>
      </c>
    </row>
    <row r="88" spans="2:12" x14ac:dyDescent="0.3">
      <c r="B88" s="301" t="s">
        <v>397</v>
      </c>
    </row>
    <row r="89" spans="2:12" x14ac:dyDescent="0.3">
      <c r="K89" s="255">
        <v>2026</v>
      </c>
    </row>
    <row r="90" spans="2:12" x14ac:dyDescent="0.3">
      <c r="I90" s="60"/>
      <c r="J90" s="60"/>
      <c r="K90" s="60"/>
      <c r="L90" s="76"/>
    </row>
    <row r="91" spans="2:12" x14ac:dyDescent="0.3">
      <c r="B91" s="155" t="s">
        <v>177</v>
      </c>
      <c r="C91" s="155" t="s">
        <v>178</v>
      </c>
      <c r="D91" s="155" t="s">
        <v>179</v>
      </c>
      <c r="E91" s="155" t="s">
        <v>180</v>
      </c>
      <c r="F91" s="189" t="s">
        <v>181</v>
      </c>
      <c r="G91" s="189" t="s">
        <v>182</v>
      </c>
      <c r="H91" s="189" t="s">
        <v>183</v>
      </c>
      <c r="I91" s="189" t="s">
        <v>184</v>
      </c>
      <c r="J91" s="189" t="s">
        <v>185</v>
      </c>
      <c r="K91" s="192" t="s">
        <v>186</v>
      </c>
      <c r="L91" s="192" t="s">
        <v>187</v>
      </c>
    </row>
    <row r="92" spans="2:12" ht="15" thickBot="1" x14ac:dyDescent="0.35">
      <c r="B92" s="190"/>
      <c r="C92" s="190"/>
      <c r="D92" s="190"/>
      <c r="E92" s="190"/>
      <c r="F92" s="190"/>
      <c r="G92" s="190"/>
      <c r="H92" s="190"/>
      <c r="I92" s="190"/>
      <c r="J92" s="190"/>
      <c r="K92" s="190"/>
      <c r="L92" s="190"/>
    </row>
    <row r="93" spans="2:12" x14ac:dyDescent="0.3">
      <c r="B93" s="155" t="s">
        <v>188</v>
      </c>
      <c r="C93" s="155" t="s">
        <v>189</v>
      </c>
      <c r="D93" s="191">
        <v>7500000</v>
      </c>
      <c r="E93" s="189" t="s">
        <v>190</v>
      </c>
      <c r="F93" s="189" t="s">
        <v>191</v>
      </c>
      <c r="G93" s="189" t="s">
        <v>192</v>
      </c>
      <c r="H93" s="189" t="s">
        <v>193</v>
      </c>
      <c r="I93" s="189" t="s">
        <v>194</v>
      </c>
      <c r="J93" s="189" t="s">
        <v>195</v>
      </c>
      <c r="K93" s="206">
        <v>0</v>
      </c>
      <c r="L93" s="206">
        <v>0</v>
      </c>
    </row>
    <row r="94" spans="2:12" x14ac:dyDescent="0.3">
      <c r="B94" s="155" t="s">
        <v>188</v>
      </c>
      <c r="C94" s="155" t="s">
        <v>189</v>
      </c>
      <c r="D94" s="191">
        <v>15863310</v>
      </c>
      <c r="E94" s="189" t="s">
        <v>190</v>
      </c>
      <c r="F94" s="189" t="s">
        <v>191</v>
      </c>
      <c r="G94" s="189" t="s">
        <v>192</v>
      </c>
      <c r="H94" s="189" t="s">
        <v>193</v>
      </c>
      <c r="I94" s="189" t="s">
        <v>194</v>
      </c>
      <c r="J94" s="189" t="s">
        <v>195</v>
      </c>
      <c r="K94" s="206">
        <v>0</v>
      </c>
      <c r="L94" s="206">
        <v>0</v>
      </c>
    </row>
    <row r="95" spans="2:12" x14ac:dyDescent="0.3">
      <c r="B95" s="155" t="s">
        <v>188</v>
      </c>
      <c r="C95" s="155" t="s">
        <v>189</v>
      </c>
      <c r="D95" s="191">
        <v>5200000</v>
      </c>
      <c r="E95" s="189" t="s">
        <v>190</v>
      </c>
      <c r="F95" s="189" t="s">
        <v>191</v>
      </c>
      <c r="G95" s="189" t="s">
        <v>192</v>
      </c>
      <c r="H95" s="189" t="s">
        <v>193</v>
      </c>
      <c r="I95" s="189" t="s">
        <v>194</v>
      </c>
      <c r="J95" s="189" t="s">
        <v>195</v>
      </c>
      <c r="K95" s="206">
        <v>0</v>
      </c>
      <c r="L95" s="206">
        <v>0</v>
      </c>
    </row>
    <row r="96" spans="2:12" x14ac:dyDescent="0.3">
      <c r="B96" s="155" t="s">
        <v>188</v>
      </c>
      <c r="C96" s="155" t="s">
        <v>189</v>
      </c>
      <c r="D96" s="191">
        <v>11438690</v>
      </c>
      <c r="E96" s="189" t="s">
        <v>190</v>
      </c>
      <c r="F96" s="189" t="s">
        <v>191</v>
      </c>
      <c r="G96" s="189" t="s">
        <v>192</v>
      </c>
      <c r="H96" s="189" t="s">
        <v>193</v>
      </c>
      <c r="I96" s="189" t="s">
        <v>194</v>
      </c>
      <c r="J96" s="189" t="s">
        <v>195</v>
      </c>
      <c r="K96" s="206">
        <v>0</v>
      </c>
      <c r="L96" s="206">
        <v>0</v>
      </c>
    </row>
    <row r="97" spans="2:14" x14ac:dyDescent="0.3">
      <c r="B97" s="155" t="s">
        <v>188</v>
      </c>
      <c r="C97" s="155" t="s">
        <v>189</v>
      </c>
      <c r="D97" s="191">
        <v>15000000</v>
      </c>
      <c r="E97" s="189" t="s">
        <v>190</v>
      </c>
      <c r="F97" s="189" t="s">
        <v>191</v>
      </c>
      <c r="G97" s="189" t="s">
        <v>192</v>
      </c>
      <c r="H97" s="189" t="s">
        <v>193</v>
      </c>
      <c r="I97" s="189" t="s">
        <v>194</v>
      </c>
      <c r="J97" s="189" t="s">
        <v>195</v>
      </c>
      <c r="K97" s="206">
        <v>0</v>
      </c>
      <c r="L97" s="206">
        <v>0</v>
      </c>
    </row>
    <row r="98" spans="2:14" x14ac:dyDescent="0.3">
      <c r="B98" s="155" t="s">
        <v>188</v>
      </c>
      <c r="C98" s="155" t="s">
        <v>189</v>
      </c>
      <c r="D98" s="191">
        <v>10000000</v>
      </c>
      <c r="E98" s="189" t="s">
        <v>190</v>
      </c>
      <c r="F98" s="189" t="s">
        <v>191</v>
      </c>
      <c r="G98" s="189" t="s">
        <v>192</v>
      </c>
      <c r="H98" s="189" t="s">
        <v>193</v>
      </c>
      <c r="I98" s="189" t="s">
        <v>194</v>
      </c>
      <c r="J98" s="189" t="s">
        <v>195</v>
      </c>
      <c r="K98" s="206">
        <v>0</v>
      </c>
      <c r="L98" s="206">
        <v>0</v>
      </c>
    </row>
    <row r="99" spans="2:14" x14ac:dyDescent="0.3">
      <c r="B99" s="155" t="s">
        <v>188</v>
      </c>
      <c r="C99" s="155" t="s">
        <v>189</v>
      </c>
      <c r="D99" s="191">
        <v>29625000</v>
      </c>
      <c r="E99" s="189" t="s">
        <v>190</v>
      </c>
      <c r="F99" s="189" t="s">
        <v>191</v>
      </c>
      <c r="G99" s="189" t="s">
        <v>192</v>
      </c>
      <c r="H99" s="189" t="s">
        <v>193</v>
      </c>
      <c r="I99" s="189" t="s">
        <v>194</v>
      </c>
      <c r="J99" s="189" t="s">
        <v>195</v>
      </c>
      <c r="K99" s="206">
        <v>0</v>
      </c>
      <c r="L99" s="206">
        <v>0</v>
      </c>
    </row>
    <row r="100" spans="2:14" x14ac:dyDescent="0.3">
      <c r="B100" s="155" t="s">
        <v>188</v>
      </c>
      <c r="C100" s="155" t="s">
        <v>189</v>
      </c>
      <c r="D100" s="191">
        <v>11000000</v>
      </c>
      <c r="E100" s="189" t="s">
        <v>190</v>
      </c>
      <c r="F100" s="189" t="s">
        <v>191</v>
      </c>
      <c r="G100" s="189" t="s">
        <v>192</v>
      </c>
      <c r="H100" s="189" t="s">
        <v>193</v>
      </c>
      <c r="I100" s="189" t="s">
        <v>194</v>
      </c>
      <c r="J100" s="189" t="s">
        <v>195</v>
      </c>
      <c r="K100" s="206">
        <v>0</v>
      </c>
      <c r="L100" s="206">
        <v>0</v>
      </c>
    </row>
    <row r="101" spans="2:14" x14ac:dyDescent="0.3">
      <c r="B101" s="155" t="s">
        <v>188</v>
      </c>
      <c r="C101" s="155" t="s">
        <v>196</v>
      </c>
      <c r="D101" s="189" t="s">
        <v>197</v>
      </c>
      <c r="E101" s="193">
        <v>110883334</v>
      </c>
      <c r="F101" s="189" t="s">
        <v>198</v>
      </c>
      <c r="G101" s="189" t="s">
        <v>199</v>
      </c>
      <c r="H101" s="189" t="s">
        <v>200</v>
      </c>
      <c r="I101" s="189" t="s">
        <v>194</v>
      </c>
      <c r="J101" s="189" t="s">
        <v>195</v>
      </c>
      <c r="K101" s="206">
        <v>0</v>
      </c>
      <c r="L101" s="206">
        <v>0</v>
      </c>
    </row>
    <row r="102" spans="2:14" ht="19.8" customHeight="1" x14ac:dyDescent="0.3">
      <c r="B102" s="155" t="s">
        <v>188</v>
      </c>
      <c r="C102" s="155" t="s">
        <v>196</v>
      </c>
      <c r="D102" s="189" t="s">
        <v>197</v>
      </c>
      <c r="E102" s="193">
        <v>89668686</v>
      </c>
      <c r="F102" s="189" t="s">
        <v>198</v>
      </c>
      <c r="G102" s="189" t="s">
        <v>199</v>
      </c>
      <c r="H102" s="189" t="s">
        <v>200</v>
      </c>
      <c r="I102" s="189" t="s">
        <v>194</v>
      </c>
      <c r="J102" s="189" t="s">
        <v>195</v>
      </c>
      <c r="K102" s="206">
        <v>0</v>
      </c>
      <c r="L102" s="206">
        <v>0</v>
      </c>
    </row>
    <row r="103" spans="2:14" ht="15" customHeight="1" thickBot="1" x14ac:dyDescent="0.35">
      <c r="B103" s="288" t="s">
        <v>188</v>
      </c>
      <c r="C103" s="288" t="s">
        <v>196</v>
      </c>
      <c r="D103" s="190" t="s">
        <v>197</v>
      </c>
      <c r="E103" s="194">
        <v>17000000</v>
      </c>
      <c r="F103" s="190" t="s">
        <v>198</v>
      </c>
      <c r="G103" s="190" t="s">
        <v>199</v>
      </c>
      <c r="H103" s="190" t="s">
        <v>200</v>
      </c>
      <c r="I103" s="190" t="s">
        <v>194</v>
      </c>
      <c r="J103" s="190" t="s">
        <v>195</v>
      </c>
      <c r="K103" s="207">
        <v>0</v>
      </c>
      <c r="L103" s="207">
        <v>0</v>
      </c>
    </row>
    <row r="104" spans="2:14" ht="15" thickBot="1" x14ac:dyDescent="0.35">
      <c r="B104" s="155" t="s">
        <v>22</v>
      </c>
      <c r="C104" s="189" t="s">
        <v>201</v>
      </c>
      <c r="D104" s="189" t="s">
        <v>197</v>
      </c>
      <c r="E104" s="189" t="s">
        <v>190</v>
      </c>
      <c r="F104" s="189" t="s">
        <v>197</v>
      </c>
      <c r="G104" s="189" t="s">
        <v>202</v>
      </c>
      <c r="H104" s="189" t="s">
        <v>203</v>
      </c>
      <c r="I104" s="189" t="s">
        <v>204</v>
      </c>
      <c r="J104" s="189" t="s">
        <v>204</v>
      </c>
      <c r="K104" s="207">
        <f>SUM(K114:K124)</f>
        <v>0</v>
      </c>
      <c r="L104" s="207">
        <f>SUM(L114:L124)</f>
        <v>0</v>
      </c>
    </row>
    <row r="106" spans="2:14" x14ac:dyDescent="0.3">
      <c r="L106" s="208"/>
    </row>
    <row r="110" spans="2:14" x14ac:dyDescent="0.3">
      <c r="K110" s="370"/>
      <c r="L110" s="370"/>
      <c r="M110" s="370"/>
      <c r="N110" s="370"/>
    </row>
    <row r="113" ht="15" customHeight="1" thickBot="1" x14ac:dyDescent="0.35"/>
    <row r="124" ht="15" customHeight="1" thickBot="1" x14ac:dyDescent="0.35"/>
    <row r="125" ht="15" customHeight="1" thickBot="1" x14ac:dyDescent="0.35"/>
    <row r="126" ht="15" customHeight="1" x14ac:dyDescent="0.3"/>
  </sheetData>
  <mergeCells count="6">
    <mergeCell ref="J65:K65"/>
    <mergeCell ref="B59:D59"/>
    <mergeCell ref="M110:N110"/>
    <mergeCell ref="B60:D60"/>
    <mergeCell ref="K110:L110"/>
    <mergeCell ref="B58:D58"/>
  </mergeCells>
  <pageMargins left="0.7" right="0.7" top="0.75" bottom="0.75" header="0.3" footer="0.3"/>
  <ignoredErrors>
    <ignoredError sqref="E9:E10 H9:H10 H37 H39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B2:L148"/>
  <sheetViews>
    <sheetView showGridLines="0" zoomScale="80" zoomScaleNormal="80" workbookViewId="0">
      <selection activeCell="G16" sqref="G16"/>
    </sheetView>
  </sheetViews>
  <sheetFormatPr baseColWidth="10" defaultRowHeight="14.4" x14ac:dyDescent="0.3"/>
  <cols>
    <col min="1" max="1" width="12.109375" customWidth="1"/>
    <col min="2" max="2" width="46.77734375" customWidth="1"/>
    <col min="3" max="3" width="11.33203125" customWidth="1"/>
    <col min="4" max="4" width="14.6640625" customWidth="1"/>
    <col min="5" max="5" width="13.33203125" bestFit="1" customWidth="1"/>
    <col min="6" max="6" width="6.88671875" customWidth="1"/>
    <col min="11" max="11" width="44.109375" customWidth="1"/>
    <col min="12" max="12" width="18.109375" style="4" customWidth="1"/>
  </cols>
  <sheetData>
    <row r="2" spans="2:5" x14ac:dyDescent="0.3">
      <c r="B2" s="274" t="s">
        <v>205</v>
      </c>
    </row>
    <row r="3" spans="2:5" x14ac:dyDescent="0.3">
      <c r="B3" s="299" t="s">
        <v>414</v>
      </c>
    </row>
    <row r="4" spans="2:5" x14ac:dyDescent="0.3">
      <c r="B4" s="21"/>
      <c r="C4" s="46" t="s">
        <v>0</v>
      </c>
    </row>
    <row r="5" spans="2:5" x14ac:dyDescent="0.3">
      <c r="B5" s="261" t="s">
        <v>206</v>
      </c>
      <c r="C5" s="22" t="s">
        <v>5</v>
      </c>
    </row>
    <row r="6" spans="2:5" x14ac:dyDescent="0.3">
      <c r="B6" s="27"/>
      <c r="C6" s="43"/>
    </row>
    <row r="7" spans="2:5" x14ac:dyDescent="0.3">
      <c r="B7" s="261" t="s">
        <v>207</v>
      </c>
      <c r="C7" s="393">
        <v>59755616</v>
      </c>
    </row>
    <row r="8" spans="2:5" x14ac:dyDescent="0.3">
      <c r="B8" s="261" t="s">
        <v>64</v>
      </c>
      <c r="C8" s="393">
        <v>77236</v>
      </c>
    </row>
    <row r="9" spans="2:5" x14ac:dyDescent="0.3">
      <c r="B9" s="261" t="s">
        <v>65</v>
      </c>
      <c r="C9" s="393">
        <v>67148</v>
      </c>
    </row>
    <row r="10" spans="2:5" x14ac:dyDescent="0.3">
      <c r="B10" s="261" t="s">
        <v>66</v>
      </c>
      <c r="C10" s="393">
        <v>27036</v>
      </c>
    </row>
    <row r="11" spans="2:5" x14ac:dyDescent="0.3">
      <c r="B11" s="261" t="s">
        <v>67</v>
      </c>
      <c r="C11" s="393">
        <v>1868</v>
      </c>
    </row>
    <row r="12" spans="2:5" ht="15" thickBot="1" x14ac:dyDescent="0.35">
      <c r="B12" s="261" t="s">
        <v>68</v>
      </c>
      <c r="C12" s="395">
        <v>429199</v>
      </c>
    </row>
    <row r="13" spans="2:5" ht="15" customHeight="1" thickBot="1" x14ac:dyDescent="0.35">
      <c r="B13" s="261" t="s">
        <v>22</v>
      </c>
      <c r="C13" s="395">
        <v>60358103</v>
      </c>
    </row>
    <row r="14" spans="2:5" x14ac:dyDescent="0.3">
      <c r="C14" s="17"/>
    </row>
    <row r="15" spans="2:5" x14ac:dyDescent="0.3">
      <c r="C15" s="17"/>
    </row>
    <row r="16" spans="2:5" x14ac:dyDescent="0.3">
      <c r="C16" s="17"/>
      <c r="E16" s="17"/>
    </row>
    <row r="17" spans="2:5" x14ac:dyDescent="0.3">
      <c r="B17" s="85"/>
      <c r="C17" s="87"/>
      <c r="D17" s="87"/>
      <c r="E17" s="90"/>
    </row>
    <row r="18" spans="2:5" x14ac:dyDescent="0.3">
      <c r="B18" s="85"/>
      <c r="C18" s="87"/>
      <c r="D18" s="87"/>
      <c r="E18" s="90"/>
    </row>
    <row r="19" spans="2:5" x14ac:dyDescent="0.3">
      <c r="B19" s="85"/>
      <c r="C19" s="87"/>
      <c r="D19" s="87"/>
      <c r="E19" s="90"/>
    </row>
    <row r="20" spans="2:5" x14ac:dyDescent="0.3">
      <c r="B20" s="85"/>
      <c r="C20" s="87"/>
      <c r="D20" s="87"/>
      <c r="E20" s="90"/>
    </row>
    <row r="21" spans="2:5" x14ac:dyDescent="0.3">
      <c r="B21" s="85"/>
      <c r="C21" s="87"/>
      <c r="D21" s="87"/>
      <c r="E21" s="90"/>
    </row>
    <row r="22" spans="2:5" x14ac:dyDescent="0.3">
      <c r="B22" s="85"/>
      <c r="C22" s="87"/>
      <c r="D22" s="87"/>
      <c r="E22" s="90"/>
    </row>
    <row r="23" spans="2:5" x14ac:dyDescent="0.3">
      <c r="B23" s="85"/>
      <c r="C23" s="87"/>
      <c r="D23" s="87"/>
      <c r="E23" s="90"/>
    </row>
    <row r="24" spans="2:5" x14ac:dyDescent="0.3">
      <c r="B24" s="85"/>
      <c r="C24" s="87"/>
      <c r="D24" s="87"/>
      <c r="E24" s="90"/>
    </row>
    <row r="25" spans="2:5" x14ac:dyDescent="0.3">
      <c r="B25" s="85"/>
      <c r="C25" s="87"/>
      <c r="D25" s="87"/>
      <c r="E25" s="90"/>
    </row>
    <row r="26" spans="2:5" x14ac:dyDescent="0.3">
      <c r="B26" s="85"/>
      <c r="C26" s="87"/>
      <c r="D26" s="87"/>
      <c r="E26" s="90"/>
    </row>
    <row r="27" spans="2:5" x14ac:dyDescent="0.3">
      <c r="B27" s="85"/>
      <c r="C27" s="87"/>
      <c r="D27" s="87"/>
      <c r="E27" s="90"/>
    </row>
    <row r="28" spans="2:5" x14ac:dyDescent="0.3">
      <c r="B28" s="85"/>
      <c r="C28" s="87"/>
      <c r="D28" s="87"/>
      <c r="E28" s="90"/>
    </row>
    <row r="29" spans="2:5" x14ac:dyDescent="0.3">
      <c r="B29" s="85"/>
      <c r="C29" s="87"/>
      <c r="D29" s="87"/>
      <c r="E29" s="90"/>
    </row>
    <row r="30" spans="2:5" x14ac:dyDescent="0.3">
      <c r="B30" s="85"/>
      <c r="C30" s="87"/>
      <c r="D30" s="87"/>
      <c r="E30" s="90"/>
    </row>
    <row r="31" spans="2:5" x14ac:dyDescent="0.3">
      <c r="B31" s="85"/>
      <c r="C31" s="87"/>
      <c r="D31" s="87"/>
      <c r="E31" s="90"/>
    </row>
    <row r="32" spans="2:5" x14ac:dyDescent="0.3">
      <c r="B32" s="85"/>
      <c r="C32" s="87"/>
      <c r="D32" s="87"/>
      <c r="E32" s="90"/>
    </row>
    <row r="33" spans="2:5" x14ac:dyDescent="0.3">
      <c r="B33" s="85"/>
      <c r="C33" s="87"/>
      <c r="D33" s="87"/>
      <c r="E33" s="90"/>
    </row>
    <row r="34" spans="2:5" x14ac:dyDescent="0.3">
      <c r="B34" s="85"/>
      <c r="C34" s="87"/>
      <c r="D34" s="87"/>
      <c r="E34" s="90"/>
    </row>
    <row r="35" spans="2:5" x14ac:dyDescent="0.3">
      <c r="B35" s="85"/>
      <c r="C35" s="87"/>
      <c r="D35" s="87"/>
      <c r="E35" s="90"/>
    </row>
    <row r="36" spans="2:5" x14ac:dyDescent="0.3">
      <c r="B36" s="85"/>
      <c r="C36" s="87"/>
      <c r="D36" s="87"/>
      <c r="E36" s="90"/>
    </row>
    <row r="37" spans="2:5" x14ac:dyDescent="0.3">
      <c r="B37" s="85"/>
      <c r="C37" s="87"/>
      <c r="D37" s="87"/>
      <c r="E37" s="90"/>
    </row>
    <row r="38" spans="2:5" x14ac:dyDescent="0.3">
      <c r="B38" s="85"/>
      <c r="C38" s="87"/>
      <c r="D38" s="87"/>
      <c r="E38" s="90"/>
    </row>
    <row r="39" spans="2:5" x14ac:dyDescent="0.3">
      <c r="B39" s="85"/>
      <c r="C39" s="87"/>
      <c r="D39" s="87"/>
      <c r="E39" s="90"/>
    </row>
    <row r="40" spans="2:5" x14ac:dyDescent="0.3">
      <c r="B40" s="85"/>
      <c r="C40" s="87"/>
      <c r="D40" s="87"/>
      <c r="E40" s="90"/>
    </row>
    <row r="41" spans="2:5" x14ac:dyDescent="0.3">
      <c r="B41" s="85"/>
      <c r="C41" s="87"/>
      <c r="D41" s="87"/>
      <c r="E41" s="90"/>
    </row>
    <row r="42" spans="2:5" x14ac:dyDescent="0.3">
      <c r="B42" s="85"/>
      <c r="C42" s="87"/>
      <c r="D42" s="87"/>
      <c r="E42" s="90"/>
    </row>
    <row r="43" spans="2:5" x14ac:dyDescent="0.3">
      <c r="B43" s="85"/>
      <c r="C43" s="87"/>
      <c r="D43" s="87"/>
      <c r="E43" s="90"/>
    </row>
    <row r="44" spans="2:5" x14ac:dyDescent="0.3">
      <c r="B44" s="85"/>
      <c r="C44" s="87"/>
      <c r="D44" s="87"/>
      <c r="E44" s="90"/>
    </row>
    <row r="45" spans="2:5" x14ac:dyDescent="0.3">
      <c r="B45" s="85"/>
      <c r="C45" s="87"/>
      <c r="D45" s="87"/>
      <c r="E45" s="90"/>
    </row>
    <row r="46" spans="2:5" x14ac:dyDescent="0.3">
      <c r="B46" s="85"/>
      <c r="C46" s="87"/>
      <c r="D46" s="87"/>
      <c r="E46" s="90"/>
    </row>
    <row r="47" spans="2:5" x14ac:dyDescent="0.3">
      <c r="B47" s="85"/>
      <c r="C47" s="87"/>
      <c r="D47" s="87"/>
      <c r="E47" s="90"/>
    </row>
    <row r="48" spans="2:5" x14ac:dyDescent="0.3">
      <c r="B48" s="85"/>
      <c r="C48" s="87"/>
      <c r="D48" s="87"/>
      <c r="E48" s="90"/>
    </row>
    <row r="49" spans="2:6" x14ac:dyDescent="0.3">
      <c r="B49" s="85"/>
      <c r="C49" s="87"/>
      <c r="D49" s="87"/>
      <c r="E49" s="90"/>
    </row>
    <row r="50" spans="2:6" x14ac:dyDescent="0.3">
      <c r="B50" s="85"/>
      <c r="C50" s="87"/>
      <c r="D50" s="87"/>
      <c r="E50" s="90"/>
    </row>
    <row r="51" spans="2:6" x14ac:dyDescent="0.3">
      <c r="B51" s="85"/>
      <c r="C51" s="87"/>
      <c r="D51" s="87"/>
      <c r="E51" s="90"/>
    </row>
    <row r="52" spans="2:6" x14ac:dyDescent="0.3">
      <c r="B52" s="85"/>
      <c r="C52" s="87"/>
      <c r="D52" s="87"/>
      <c r="E52" s="90"/>
    </row>
    <row r="53" spans="2:6" x14ac:dyDescent="0.3">
      <c r="B53" s="85"/>
      <c r="C53" s="87"/>
      <c r="D53" s="87"/>
      <c r="E53" s="90"/>
    </row>
    <row r="54" spans="2:6" x14ac:dyDescent="0.3">
      <c r="B54" s="85"/>
      <c r="C54" s="87"/>
      <c r="D54" s="87"/>
      <c r="E54" s="90"/>
    </row>
    <row r="55" spans="2:6" x14ac:dyDescent="0.3">
      <c r="B55" s="85"/>
      <c r="C55" s="87"/>
      <c r="D55" s="87"/>
      <c r="E55" s="90"/>
    </row>
    <row r="56" spans="2:6" x14ac:dyDescent="0.3">
      <c r="B56" s="85"/>
      <c r="C56" s="87"/>
      <c r="D56" s="87"/>
      <c r="E56" s="90"/>
    </row>
    <row r="57" spans="2:6" ht="15" customHeight="1" thickBot="1" x14ac:dyDescent="0.35">
      <c r="B57" s="89"/>
      <c r="C57" s="78"/>
      <c r="D57" s="78"/>
      <c r="E57" s="78"/>
    </row>
    <row r="58" spans="2:6" ht="15" customHeight="1" thickTop="1" x14ac:dyDescent="0.3">
      <c r="B58" s="85"/>
      <c r="C58" s="76"/>
      <c r="D58" s="87"/>
      <c r="E58" s="17"/>
    </row>
    <row r="59" spans="2:6" x14ac:dyDescent="0.3">
      <c r="B59" s="85"/>
      <c r="C59" s="84"/>
      <c r="D59" s="84"/>
      <c r="E59" s="17"/>
      <c r="F59" s="87"/>
    </row>
    <row r="60" spans="2:6" x14ac:dyDescent="0.3">
      <c r="B60" s="85"/>
      <c r="C60" s="84"/>
      <c r="D60" s="84"/>
      <c r="E60" s="17"/>
      <c r="F60" s="87"/>
    </row>
    <row r="61" spans="2:6" x14ac:dyDescent="0.3">
      <c r="B61" s="85"/>
      <c r="C61" s="84"/>
      <c r="D61" s="84"/>
      <c r="E61" s="17"/>
      <c r="F61" s="87"/>
    </row>
    <row r="62" spans="2:6" x14ac:dyDescent="0.3">
      <c r="B62" s="85"/>
      <c r="C62" s="84"/>
      <c r="D62" s="84"/>
      <c r="E62" s="17"/>
      <c r="F62" s="87"/>
    </row>
    <row r="63" spans="2:6" x14ac:dyDescent="0.3">
      <c r="B63" s="85"/>
      <c r="C63" s="84"/>
      <c r="D63" s="84"/>
      <c r="E63" s="17"/>
      <c r="F63" s="87"/>
    </row>
    <row r="64" spans="2:6" x14ac:dyDescent="0.3">
      <c r="B64" s="85"/>
      <c r="C64" s="84"/>
      <c r="D64" s="84"/>
      <c r="E64" s="17"/>
      <c r="F64" s="87"/>
    </row>
    <row r="65" spans="2:6" x14ac:dyDescent="0.3">
      <c r="B65" s="85"/>
      <c r="C65" s="84"/>
      <c r="D65" s="84"/>
      <c r="E65" s="17"/>
      <c r="F65" s="87"/>
    </row>
    <row r="66" spans="2:6" x14ac:dyDescent="0.3">
      <c r="B66" s="85"/>
      <c r="C66" s="84"/>
      <c r="D66" s="84"/>
      <c r="E66" s="17"/>
      <c r="F66" s="87"/>
    </row>
    <row r="67" spans="2:6" x14ac:dyDescent="0.3">
      <c r="B67" s="85"/>
      <c r="C67" s="84"/>
      <c r="D67" s="84"/>
      <c r="E67" s="17"/>
      <c r="F67" s="87"/>
    </row>
    <row r="68" spans="2:6" x14ac:dyDescent="0.3">
      <c r="B68" s="85"/>
      <c r="C68" s="84"/>
      <c r="D68" s="84"/>
      <c r="E68" s="17"/>
      <c r="F68" s="87"/>
    </row>
    <row r="69" spans="2:6" x14ac:dyDescent="0.3">
      <c r="B69" s="85"/>
      <c r="C69" s="84"/>
      <c r="D69" s="84"/>
      <c r="E69" s="17"/>
      <c r="F69" s="87"/>
    </row>
    <row r="70" spans="2:6" x14ac:dyDescent="0.3">
      <c r="B70" s="85"/>
      <c r="C70" s="84"/>
      <c r="D70" s="84"/>
      <c r="E70" s="17"/>
      <c r="F70" s="87"/>
    </row>
    <row r="71" spans="2:6" x14ac:dyDescent="0.3">
      <c r="B71" s="85"/>
      <c r="C71" s="84"/>
      <c r="D71" s="84"/>
      <c r="E71" s="17"/>
      <c r="F71" s="87"/>
    </row>
    <row r="72" spans="2:6" x14ac:dyDescent="0.3">
      <c r="B72" s="85"/>
      <c r="C72" s="84"/>
      <c r="D72" s="84"/>
      <c r="E72" s="17"/>
      <c r="F72" s="87"/>
    </row>
    <row r="73" spans="2:6" x14ac:dyDescent="0.3">
      <c r="B73" s="85"/>
      <c r="C73" s="84"/>
      <c r="D73" s="84"/>
      <c r="E73" s="17"/>
      <c r="F73" s="87"/>
    </row>
    <row r="74" spans="2:6" x14ac:dyDescent="0.3">
      <c r="B74" s="85"/>
      <c r="C74" s="84"/>
      <c r="D74" s="84"/>
      <c r="E74" s="17"/>
      <c r="F74" s="87"/>
    </row>
    <row r="75" spans="2:6" x14ac:dyDescent="0.3">
      <c r="B75" s="85"/>
      <c r="C75" s="84"/>
      <c r="D75" s="84"/>
      <c r="E75" s="17"/>
      <c r="F75" s="87"/>
    </row>
    <row r="76" spans="2:6" x14ac:dyDescent="0.3">
      <c r="B76" s="85"/>
      <c r="C76" s="84"/>
      <c r="D76" s="84"/>
      <c r="E76" s="17"/>
      <c r="F76" s="87"/>
    </row>
    <row r="77" spans="2:6" x14ac:dyDescent="0.3">
      <c r="B77" s="85"/>
      <c r="C77" s="84"/>
      <c r="D77" s="84"/>
      <c r="E77" s="17"/>
      <c r="F77" s="87"/>
    </row>
    <row r="78" spans="2:6" x14ac:dyDescent="0.3">
      <c r="B78" s="85"/>
      <c r="C78" s="84"/>
      <c r="D78" s="84"/>
      <c r="E78" s="17"/>
      <c r="F78" s="87"/>
    </row>
    <row r="79" spans="2:6" x14ac:dyDescent="0.3">
      <c r="B79" s="85"/>
      <c r="C79" s="84"/>
      <c r="D79" s="84"/>
      <c r="E79" s="17"/>
      <c r="F79" s="87"/>
    </row>
    <row r="80" spans="2:6" x14ac:dyDescent="0.3">
      <c r="B80" s="85"/>
      <c r="C80" s="84"/>
      <c r="D80" s="84"/>
      <c r="E80" s="17"/>
      <c r="F80" s="87"/>
    </row>
    <row r="81" spans="2:6" x14ac:dyDescent="0.3">
      <c r="B81" s="85"/>
      <c r="C81" s="84"/>
      <c r="D81" s="84"/>
      <c r="E81" s="17"/>
      <c r="F81" s="87"/>
    </row>
    <row r="82" spans="2:6" x14ac:dyDescent="0.3">
      <c r="B82" s="85"/>
      <c r="C82" s="84"/>
      <c r="D82" s="84"/>
      <c r="E82" s="17"/>
      <c r="F82" s="87"/>
    </row>
    <row r="83" spans="2:6" x14ac:dyDescent="0.3">
      <c r="B83" s="85"/>
      <c r="C83" s="84"/>
      <c r="D83" s="84"/>
      <c r="E83" s="17"/>
      <c r="F83" s="87"/>
    </row>
    <row r="84" spans="2:6" x14ac:dyDescent="0.3">
      <c r="B84" s="85"/>
      <c r="C84" s="84"/>
      <c r="D84" s="84"/>
      <c r="E84" s="17"/>
      <c r="F84" s="87"/>
    </row>
    <row r="85" spans="2:6" x14ac:dyDescent="0.3">
      <c r="B85" s="85"/>
      <c r="C85" s="84"/>
      <c r="D85" s="84"/>
      <c r="E85" s="17"/>
      <c r="F85" s="87"/>
    </row>
    <row r="86" spans="2:6" x14ac:dyDescent="0.3">
      <c r="B86" s="85"/>
      <c r="C86" s="84"/>
      <c r="D86" s="84"/>
      <c r="E86" s="17"/>
      <c r="F86" s="87"/>
    </row>
    <row r="87" spans="2:6" x14ac:dyDescent="0.3">
      <c r="B87" s="85"/>
      <c r="C87" s="84"/>
      <c r="D87" s="84"/>
      <c r="E87" s="17"/>
      <c r="F87" s="87"/>
    </row>
    <row r="88" spans="2:6" x14ac:dyDescent="0.3">
      <c r="B88" s="85"/>
      <c r="C88" s="84"/>
      <c r="D88" s="84"/>
      <c r="E88" s="17"/>
      <c r="F88" s="87"/>
    </row>
    <row r="89" spans="2:6" x14ac:dyDescent="0.3">
      <c r="B89" s="85"/>
      <c r="C89" s="84"/>
      <c r="D89" s="84"/>
      <c r="E89" s="17"/>
      <c r="F89" s="87"/>
    </row>
    <row r="90" spans="2:6" x14ac:dyDescent="0.3">
      <c r="B90" s="85"/>
      <c r="C90" s="84"/>
      <c r="D90" s="84"/>
      <c r="E90" s="17"/>
      <c r="F90" s="87"/>
    </row>
    <row r="91" spans="2:6" x14ac:dyDescent="0.3">
      <c r="B91" s="85"/>
      <c r="C91" s="84"/>
      <c r="D91" s="84"/>
      <c r="E91" s="17"/>
      <c r="F91" s="87"/>
    </row>
    <row r="92" spans="2:6" x14ac:dyDescent="0.3">
      <c r="B92" s="85"/>
      <c r="C92" s="84"/>
      <c r="D92" s="84"/>
      <c r="E92" s="17"/>
      <c r="F92" s="87"/>
    </row>
    <row r="93" spans="2:6" x14ac:dyDescent="0.3">
      <c r="B93" s="85"/>
      <c r="C93" s="84"/>
      <c r="D93" s="84"/>
      <c r="E93" s="17"/>
      <c r="F93" s="87"/>
    </row>
    <row r="94" spans="2:6" x14ac:dyDescent="0.3">
      <c r="B94" s="85"/>
      <c r="C94" s="84"/>
      <c r="D94" s="84"/>
      <c r="E94" s="17"/>
      <c r="F94" s="87"/>
    </row>
    <row r="95" spans="2:6" x14ac:dyDescent="0.3">
      <c r="B95" s="85"/>
      <c r="C95" s="84"/>
      <c r="D95" s="84"/>
      <c r="E95" s="17"/>
      <c r="F95" s="87"/>
    </row>
    <row r="96" spans="2:6" x14ac:dyDescent="0.3">
      <c r="B96" s="85"/>
      <c r="C96" s="84"/>
      <c r="D96" s="84"/>
      <c r="E96" s="17"/>
      <c r="F96" s="87"/>
    </row>
    <row r="97" spans="2:6" x14ac:dyDescent="0.3">
      <c r="B97" s="85"/>
      <c r="C97" s="84"/>
      <c r="D97" s="84"/>
      <c r="E97" s="17"/>
      <c r="F97" s="87"/>
    </row>
    <row r="98" spans="2:6" x14ac:dyDescent="0.3">
      <c r="B98" s="85"/>
      <c r="C98" s="84"/>
      <c r="D98" s="84"/>
      <c r="E98" s="17"/>
      <c r="F98" s="87"/>
    </row>
    <row r="99" spans="2:6" x14ac:dyDescent="0.3">
      <c r="B99" s="85"/>
      <c r="C99" s="84"/>
      <c r="D99" s="84"/>
      <c r="E99" s="17"/>
      <c r="F99" s="87"/>
    </row>
    <row r="100" spans="2:6" x14ac:dyDescent="0.3">
      <c r="B100" s="85"/>
      <c r="C100" s="84"/>
      <c r="D100" s="84"/>
      <c r="E100" s="17"/>
      <c r="F100" s="87"/>
    </row>
    <row r="101" spans="2:6" x14ac:dyDescent="0.3">
      <c r="B101" s="85"/>
      <c r="C101" s="84"/>
      <c r="D101" s="84"/>
      <c r="E101" s="17"/>
      <c r="F101" s="87"/>
    </row>
    <row r="102" spans="2:6" x14ac:dyDescent="0.3">
      <c r="B102" s="85"/>
      <c r="C102" s="84"/>
      <c r="D102" s="84"/>
      <c r="E102" s="17"/>
      <c r="F102" s="87"/>
    </row>
    <row r="103" spans="2:6" x14ac:dyDescent="0.3">
      <c r="B103" s="85"/>
      <c r="C103" s="84"/>
      <c r="D103" s="84"/>
      <c r="E103" s="17"/>
      <c r="F103" s="87"/>
    </row>
    <row r="104" spans="2:6" x14ac:dyDescent="0.3">
      <c r="B104" s="85"/>
      <c r="C104" s="84"/>
      <c r="D104" s="84"/>
      <c r="E104" s="17"/>
      <c r="F104" s="87"/>
    </row>
    <row r="105" spans="2:6" x14ac:dyDescent="0.3">
      <c r="B105" s="85"/>
      <c r="C105" s="84"/>
      <c r="D105" s="84"/>
      <c r="E105" s="17"/>
      <c r="F105" s="87"/>
    </row>
    <row r="106" spans="2:6" x14ac:dyDescent="0.3">
      <c r="B106" s="85"/>
      <c r="C106" s="84"/>
      <c r="D106" s="84"/>
      <c r="E106" s="17"/>
      <c r="F106" s="87"/>
    </row>
    <row r="107" spans="2:6" x14ac:dyDescent="0.3">
      <c r="B107" s="85"/>
      <c r="C107" s="84"/>
      <c r="D107" s="84"/>
      <c r="E107" s="17"/>
      <c r="F107" s="87"/>
    </row>
    <row r="108" spans="2:6" x14ac:dyDescent="0.3">
      <c r="B108" s="85"/>
      <c r="C108" s="84"/>
      <c r="D108" s="84"/>
      <c r="E108" s="17"/>
      <c r="F108" s="87"/>
    </row>
    <row r="109" spans="2:6" x14ac:dyDescent="0.3">
      <c r="B109" s="85"/>
      <c r="C109" s="84"/>
      <c r="D109" s="84"/>
      <c r="E109" s="17"/>
      <c r="F109" s="87"/>
    </row>
    <row r="110" spans="2:6" x14ac:dyDescent="0.3">
      <c r="B110" s="85"/>
      <c r="C110" s="84"/>
      <c r="D110" s="84"/>
      <c r="E110" s="17"/>
      <c r="F110" s="87"/>
    </row>
    <row r="111" spans="2:6" x14ac:dyDescent="0.3">
      <c r="B111" s="85"/>
      <c r="C111" s="84"/>
      <c r="D111" s="84"/>
      <c r="E111" s="17"/>
      <c r="F111" s="87"/>
    </row>
    <row r="112" spans="2:6" x14ac:dyDescent="0.3">
      <c r="B112" s="85"/>
      <c r="C112" s="84"/>
      <c r="D112" s="84"/>
      <c r="E112" s="17"/>
      <c r="F112" s="87"/>
    </row>
    <row r="113" spans="2:6" x14ac:dyDescent="0.3">
      <c r="B113" s="85"/>
      <c r="C113" s="84"/>
      <c r="D113" s="84"/>
      <c r="E113" s="17"/>
      <c r="F113" s="87"/>
    </row>
    <row r="114" spans="2:6" x14ac:dyDescent="0.3">
      <c r="B114" s="85"/>
      <c r="C114" s="84"/>
      <c r="D114" s="84"/>
      <c r="E114" s="17"/>
      <c r="F114" s="87"/>
    </row>
    <row r="115" spans="2:6" x14ac:dyDescent="0.3">
      <c r="B115" s="85"/>
      <c r="C115" s="84"/>
      <c r="D115" s="84"/>
      <c r="E115" s="17"/>
      <c r="F115" s="87"/>
    </row>
    <row r="116" spans="2:6" x14ac:dyDescent="0.3">
      <c r="B116" s="85"/>
      <c r="C116" s="84"/>
      <c r="D116" s="84"/>
      <c r="E116" s="17"/>
      <c r="F116" s="87"/>
    </row>
    <row r="117" spans="2:6" x14ac:dyDescent="0.3">
      <c r="B117" s="85"/>
      <c r="C117" s="84"/>
      <c r="D117" s="84"/>
      <c r="E117" s="17"/>
      <c r="F117" s="87"/>
    </row>
    <row r="118" spans="2:6" x14ac:dyDescent="0.3">
      <c r="B118" s="85"/>
      <c r="C118" s="84"/>
      <c r="D118" s="84"/>
      <c r="E118" s="17"/>
      <c r="F118" s="87"/>
    </row>
    <row r="119" spans="2:6" x14ac:dyDescent="0.3">
      <c r="B119" s="85"/>
      <c r="C119" s="84"/>
      <c r="D119" s="84"/>
      <c r="E119" s="17"/>
      <c r="F119" s="87"/>
    </row>
    <row r="120" spans="2:6" x14ac:dyDescent="0.3">
      <c r="B120" s="85"/>
      <c r="C120" s="84"/>
      <c r="D120" s="84"/>
      <c r="E120" s="17"/>
      <c r="F120" s="87"/>
    </row>
    <row r="121" spans="2:6" x14ac:dyDescent="0.3">
      <c r="B121" s="85"/>
      <c r="C121" s="84"/>
      <c r="D121" s="84"/>
      <c r="E121" s="17"/>
      <c r="F121" s="87"/>
    </row>
    <row r="122" spans="2:6" x14ac:dyDescent="0.3">
      <c r="B122" s="85"/>
      <c r="C122" s="84"/>
      <c r="D122" s="84"/>
      <c r="E122" s="17"/>
      <c r="F122" s="87"/>
    </row>
    <row r="123" spans="2:6" x14ac:dyDescent="0.3">
      <c r="B123" s="85"/>
      <c r="C123" s="84"/>
      <c r="D123" s="84"/>
      <c r="E123" s="17"/>
      <c r="F123" s="87"/>
    </row>
    <row r="124" spans="2:6" x14ac:dyDescent="0.3">
      <c r="B124" s="85"/>
      <c r="C124" s="84"/>
      <c r="D124" s="84"/>
      <c r="E124" s="17"/>
      <c r="F124" s="87"/>
    </row>
    <row r="125" spans="2:6" x14ac:dyDescent="0.3">
      <c r="B125" s="85"/>
      <c r="C125" s="84"/>
      <c r="D125" s="84"/>
      <c r="E125" s="17"/>
      <c r="F125" s="87"/>
    </row>
    <row r="126" spans="2:6" x14ac:dyDescent="0.3">
      <c r="B126" s="85"/>
      <c r="C126" s="84"/>
      <c r="D126" s="84"/>
      <c r="E126" s="17"/>
      <c r="F126" s="87"/>
    </row>
    <row r="127" spans="2:6" x14ac:dyDescent="0.3">
      <c r="B127" s="85"/>
      <c r="C127" s="84"/>
      <c r="D127" s="84"/>
      <c r="E127" s="17"/>
      <c r="F127" s="87"/>
    </row>
    <row r="128" spans="2:6" x14ac:dyDescent="0.3">
      <c r="B128" s="85"/>
      <c r="C128" s="84"/>
      <c r="D128" s="84"/>
      <c r="E128" s="17"/>
      <c r="F128" s="87"/>
    </row>
    <row r="129" spans="2:6" x14ac:dyDescent="0.3">
      <c r="B129" s="85"/>
      <c r="C129" s="84"/>
      <c r="D129" s="84"/>
      <c r="E129" s="17"/>
      <c r="F129" s="87"/>
    </row>
    <row r="130" spans="2:6" x14ac:dyDescent="0.3">
      <c r="B130" s="85"/>
      <c r="C130" s="84"/>
      <c r="D130" s="84"/>
      <c r="E130" s="17"/>
      <c r="F130" s="87"/>
    </row>
    <row r="131" spans="2:6" x14ac:dyDescent="0.3">
      <c r="B131" s="85"/>
      <c r="C131" s="84"/>
      <c r="D131" s="84"/>
      <c r="E131" s="17"/>
      <c r="F131" s="87"/>
    </row>
    <row r="132" spans="2:6" x14ac:dyDescent="0.3">
      <c r="B132" s="85"/>
      <c r="C132" s="84"/>
      <c r="D132" s="84"/>
      <c r="E132" s="17"/>
      <c r="F132" s="87"/>
    </row>
    <row r="133" spans="2:6" x14ac:dyDescent="0.3">
      <c r="B133" s="85"/>
      <c r="C133" s="84"/>
      <c r="D133" s="84"/>
      <c r="E133" s="17"/>
      <c r="F133" s="87"/>
    </row>
    <row r="134" spans="2:6" x14ac:dyDescent="0.3">
      <c r="B134" s="85"/>
      <c r="C134" s="84"/>
      <c r="D134" s="84"/>
      <c r="E134" s="17"/>
      <c r="F134" s="87"/>
    </row>
    <row r="135" spans="2:6" x14ac:dyDescent="0.3">
      <c r="B135" s="85"/>
      <c r="C135" s="84"/>
      <c r="D135" s="84"/>
      <c r="E135" s="17"/>
      <c r="F135" s="87"/>
    </row>
    <row r="136" spans="2:6" x14ac:dyDescent="0.3">
      <c r="B136" s="85"/>
      <c r="C136" s="84"/>
      <c r="D136" s="84"/>
      <c r="E136" s="17"/>
      <c r="F136" s="87"/>
    </row>
    <row r="137" spans="2:6" x14ac:dyDescent="0.3">
      <c r="B137" s="85"/>
      <c r="C137" s="84"/>
      <c r="D137" s="84"/>
      <c r="E137" s="17"/>
      <c r="F137" s="87"/>
    </row>
    <row r="138" spans="2:6" x14ac:dyDescent="0.3">
      <c r="B138" s="85"/>
      <c r="C138" s="84"/>
      <c r="D138" s="84"/>
      <c r="E138" s="17"/>
      <c r="F138" s="87"/>
    </row>
    <row r="139" spans="2:6" x14ac:dyDescent="0.3">
      <c r="B139" s="85"/>
      <c r="C139" s="84"/>
      <c r="D139" s="84"/>
      <c r="E139" s="17"/>
      <c r="F139" s="87"/>
    </row>
    <row r="140" spans="2:6" x14ac:dyDescent="0.3">
      <c r="B140" s="85"/>
      <c r="C140" s="84"/>
      <c r="D140" s="84"/>
      <c r="E140" s="17"/>
      <c r="F140" s="87"/>
    </row>
    <row r="141" spans="2:6" x14ac:dyDescent="0.3">
      <c r="B141" s="85"/>
      <c r="C141" s="84"/>
      <c r="D141" s="84"/>
      <c r="E141" s="17"/>
      <c r="F141" s="87"/>
    </row>
    <row r="142" spans="2:6" x14ac:dyDescent="0.3">
      <c r="B142" s="85"/>
      <c r="C142" s="84"/>
      <c r="D142" s="84"/>
      <c r="E142" s="17"/>
      <c r="F142" s="87"/>
    </row>
    <row r="143" spans="2:6" x14ac:dyDescent="0.3">
      <c r="B143" s="85"/>
      <c r="C143" s="84"/>
      <c r="D143" s="84"/>
      <c r="E143" s="17"/>
      <c r="F143" s="87"/>
    </row>
    <row r="144" spans="2:6" x14ac:dyDescent="0.3">
      <c r="B144" s="85"/>
      <c r="C144" s="84"/>
      <c r="D144" s="84"/>
      <c r="E144" s="17"/>
      <c r="F144" s="87"/>
    </row>
    <row r="145" spans="2:6" x14ac:dyDescent="0.3">
      <c r="B145" s="85"/>
      <c r="C145" s="84"/>
      <c r="D145" s="84"/>
      <c r="E145" s="17"/>
      <c r="F145" s="87"/>
    </row>
    <row r="146" spans="2:6" ht="15" customHeight="1" thickBot="1" x14ac:dyDescent="0.35">
      <c r="B146" s="85"/>
      <c r="C146" s="84"/>
      <c r="D146" s="84"/>
      <c r="E146" s="17"/>
      <c r="F146" s="87"/>
    </row>
    <row r="147" spans="2:6" ht="15" customHeight="1" thickBot="1" x14ac:dyDescent="0.35">
      <c r="B147" s="83" t="s">
        <v>22</v>
      </c>
      <c r="C147" s="86"/>
      <c r="D147" s="84"/>
      <c r="E147" s="91">
        <v>0</v>
      </c>
      <c r="F147" s="88">
        <v>0</v>
      </c>
    </row>
    <row r="148" spans="2:6" x14ac:dyDescent="0.3">
      <c r="F148" s="1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F0"/>
  </sheetPr>
  <dimension ref="B3:K91"/>
  <sheetViews>
    <sheetView showGridLines="0" topLeftCell="B5" workbookViewId="0">
      <selection activeCell="E80" sqref="E80"/>
    </sheetView>
  </sheetViews>
  <sheetFormatPr baseColWidth="10" defaultRowHeight="14.4" x14ac:dyDescent="0.3"/>
  <cols>
    <col min="3" max="3" width="64.77734375" customWidth="1"/>
  </cols>
  <sheetData>
    <row r="3" spans="2:11" x14ac:dyDescent="0.3">
      <c r="C3" s="289" t="s">
        <v>209</v>
      </c>
    </row>
    <row r="4" spans="2:11" x14ac:dyDescent="0.3">
      <c r="C4" s="301" t="s">
        <v>378</v>
      </c>
    </row>
    <row r="5" spans="2:11" ht="33.6" customHeight="1" x14ac:dyDescent="0.3">
      <c r="B5" s="170" t="s">
        <v>210</v>
      </c>
      <c r="C5" s="373" t="s">
        <v>211</v>
      </c>
      <c r="D5" s="374"/>
      <c r="E5" s="374"/>
      <c r="F5" s="374"/>
      <c r="G5" s="24"/>
    </row>
    <row r="6" spans="2:11" ht="15.6" customHeight="1" x14ac:dyDescent="0.3">
      <c r="B6" s="171"/>
      <c r="C6" s="94"/>
    </row>
    <row r="7" spans="2:11" ht="15.6" customHeight="1" x14ac:dyDescent="0.3">
      <c r="B7" s="171"/>
      <c r="C7" s="21"/>
      <c r="D7" s="290">
        <v>46203</v>
      </c>
      <c r="E7" s="149"/>
      <c r="H7" s="149"/>
      <c r="I7" s="149"/>
      <c r="J7" s="149"/>
      <c r="K7" s="22"/>
    </row>
    <row r="8" spans="2:11" ht="15.6" customHeight="1" x14ac:dyDescent="0.3">
      <c r="B8" s="171"/>
      <c r="C8" s="21"/>
      <c r="D8" s="20" t="s">
        <v>43</v>
      </c>
      <c r="E8" s="62" t="s">
        <v>212</v>
      </c>
      <c r="H8" s="62"/>
      <c r="I8" s="62"/>
      <c r="K8" s="22"/>
    </row>
    <row r="9" spans="2:11" ht="15.6" customHeight="1" x14ac:dyDescent="0.3">
      <c r="B9" s="171"/>
      <c r="C9" s="21"/>
      <c r="D9" s="18" t="s">
        <v>5</v>
      </c>
      <c r="E9" s="22" t="s">
        <v>5</v>
      </c>
      <c r="H9" s="22"/>
      <c r="I9" s="22"/>
      <c r="K9" s="22"/>
    </row>
    <row r="10" spans="2:11" ht="15.6" customHeight="1" x14ac:dyDescent="0.3">
      <c r="B10" s="171"/>
      <c r="C10" s="281" t="s">
        <v>213</v>
      </c>
      <c r="D10" s="366">
        <v>433259</v>
      </c>
      <c r="E10" s="416" t="s">
        <v>423</v>
      </c>
      <c r="H10" s="143"/>
      <c r="I10" s="143"/>
      <c r="K10" s="69"/>
    </row>
    <row r="11" spans="2:11" ht="15.6" customHeight="1" x14ac:dyDescent="0.3">
      <c r="B11" s="171"/>
      <c r="C11" s="281" t="s">
        <v>214</v>
      </c>
      <c r="D11" s="366">
        <v>5281</v>
      </c>
      <c r="E11" s="416" t="s">
        <v>423</v>
      </c>
      <c r="H11" s="143"/>
      <c r="I11" s="143"/>
      <c r="K11" s="69"/>
    </row>
    <row r="12" spans="2:11" ht="15.6" customHeight="1" x14ac:dyDescent="0.3">
      <c r="B12" s="171"/>
      <c r="C12" s="281" t="s">
        <v>215</v>
      </c>
      <c r="D12" s="366">
        <v>2619817</v>
      </c>
      <c r="E12" s="416" t="s">
        <v>423</v>
      </c>
      <c r="H12" s="143"/>
      <c r="I12" s="143"/>
      <c r="K12" s="69"/>
    </row>
    <row r="13" spans="2:11" ht="15.6" customHeight="1" x14ac:dyDescent="0.3">
      <c r="B13" s="171"/>
      <c r="C13" s="281" t="s">
        <v>216</v>
      </c>
      <c r="D13" s="416" t="s">
        <v>425</v>
      </c>
      <c r="E13" s="366">
        <v>20370006</v>
      </c>
      <c r="H13" s="143"/>
      <c r="I13" s="143"/>
      <c r="K13" s="69"/>
    </row>
    <row r="14" spans="2:11" ht="15.6" customHeight="1" x14ac:dyDescent="0.3">
      <c r="B14" s="171"/>
      <c r="C14" s="281" t="s">
        <v>217</v>
      </c>
      <c r="D14" s="416" t="s">
        <v>425</v>
      </c>
      <c r="E14" s="366">
        <v>266205</v>
      </c>
      <c r="H14" s="143"/>
      <c r="I14" s="143"/>
      <c r="K14" s="69"/>
    </row>
    <row r="15" spans="2:11" ht="15.6" customHeight="1" x14ac:dyDescent="0.3">
      <c r="B15" s="171"/>
      <c r="C15" s="281" t="s">
        <v>218</v>
      </c>
      <c r="D15" s="366">
        <v>331433</v>
      </c>
      <c r="E15" s="416" t="s">
        <v>423</v>
      </c>
      <c r="H15" s="143"/>
      <c r="I15" s="143"/>
      <c r="K15" s="69"/>
    </row>
    <row r="16" spans="2:11" ht="15.6" customHeight="1" x14ac:dyDescent="0.3">
      <c r="B16" s="171"/>
      <c r="C16" s="281" t="s">
        <v>426</v>
      </c>
      <c r="D16" s="416" t="s">
        <v>425</v>
      </c>
      <c r="E16" s="385">
        <v>245</v>
      </c>
      <c r="H16" s="143"/>
      <c r="I16" s="143"/>
      <c r="K16" s="69" t="s">
        <v>219</v>
      </c>
    </row>
    <row r="17" spans="2:11" ht="15.6" customHeight="1" x14ac:dyDescent="0.3">
      <c r="B17" s="171"/>
      <c r="C17" s="281" t="s">
        <v>220</v>
      </c>
      <c r="D17" s="416" t="s">
        <v>425</v>
      </c>
      <c r="E17" s="366">
        <v>124074</v>
      </c>
      <c r="H17" s="143"/>
      <c r="I17" s="143"/>
      <c r="K17" s="69"/>
    </row>
    <row r="18" spans="2:11" ht="15.6" customHeight="1" x14ac:dyDescent="0.3">
      <c r="B18" s="171"/>
      <c r="C18" s="281" t="s">
        <v>221</v>
      </c>
      <c r="D18" s="147">
        <v>0</v>
      </c>
      <c r="E18" s="143">
        <v>0</v>
      </c>
      <c r="H18" s="143"/>
      <c r="I18" s="143"/>
      <c r="K18" s="69"/>
    </row>
    <row r="19" spans="2:11" ht="15.6" customHeight="1" x14ac:dyDescent="0.3">
      <c r="B19" s="171"/>
      <c r="C19" s="281" t="s">
        <v>222</v>
      </c>
      <c r="D19" s="366">
        <v>107413</v>
      </c>
      <c r="E19" s="416" t="s">
        <v>423</v>
      </c>
      <c r="H19" s="143"/>
      <c r="I19" s="143"/>
      <c r="K19" s="69"/>
    </row>
    <row r="20" spans="2:11" ht="15.6" customHeight="1" x14ac:dyDescent="0.3">
      <c r="B20" s="171"/>
      <c r="C20" s="281" t="s">
        <v>208</v>
      </c>
      <c r="D20" s="366">
        <v>329548</v>
      </c>
      <c r="E20" s="416" t="s">
        <v>423</v>
      </c>
      <c r="H20" s="143"/>
      <c r="I20" s="143"/>
      <c r="K20" s="69"/>
    </row>
    <row r="21" spans="2:11" ht="16.2" customHeight="1" thickBot="1" x14ac:dyDescent="0.35">
      <c r="B21" s="171"/>
      <c r="C21" s="281" t="s">
        <v>223</v>
      </c>
      <c r="D21" s="368">
        <v>33066211</v>
      </c>
      <c r="E21" s="429" t="s">
        <v>423</v>
      </c>
      <c r="H21" s="143"/>
      <c r="I21" s="143"/>
      <c r="K21" s="69"/>
    </row>
    <row r="22" spans="2:11" ht="16.2" customHeight="1" thickBot="1" x14ac:dyDescent="0.35">
      <c r="B22" s="171"/>
      <c r="C22" s="281" t="s">
        <v>22</v>
      </c>
      <c r="D22" s="148">
        <f>SUM(D10:D21)</f>
        <v>36892962</v>
      </c>
      <c r="E22" s="148">
        <f>SUM(E10:E21)</f>
        <v>20760530</v>
      </c>
      <c r="H22" s="143"/>
      <c r="I22" s="143"/>
      <c r="K22" s="69"/>
    </row>
    <row r="23" spans="2:11" ht="16.2" customHeight="1" thickBot="1" x14ac:dyDescent="0.35">
      <c r="B23" s="171"/>
      <c r="C23" s="281" t="s">
        <v>224</v>
      </c>
      <c r="D23" s="148"/>
      <c r="E23" s="144"/>
      <c r="H23" s="143"/>
      <c r="I23" s="143"/>
      <c r="K23" s="69"/>
    </row>
    <row r="24" spans="2:11" ht="16.2" customHeight="1" thickBot="1" x14ac:dyDescent="0.35">
      <c r="B24" s="171"/>
      <c r="C24" s="281" t="s">
        <v>225</v>
      </c>
      <c r="D24" s="145">
        <v>0</v>
      </c>
      <c r="E24" s="145">
        <v>16132432</v>
      </c>
      <c r="H24" s="147"/>
      <c r="I24" s="147"/>
      <c r="K24" s="69"/>
    </row>
    <row r="25" spans="2:11" ht="16.2" customHeight="1" thickTop="1" x14ac:dyDescent="0.3">
      <c r="B25" s="171"/>
    </row>
    <row r="26" spans="2:11" ht="15.6" customHeight="1" x14ac:dyDescent="0.3">
      <c r="B26" s="171"/>
      <c r="D26" s="3"/>
    </row>
    <row r="27" spans="2:11" ht="15.6" customHeight="1" x14ac:dyDescent="0.3">
      <c r="B27" s="171"/>
      <c r="C27" s="301" t="s">
        <v>379</v>
      </c>
    </row>
    <row r="28" spans="2:11" ht="26.4" customHeight="1" x14ac:dyDescent="0.3">
      <c r="B28" s="170" t="s">
        <v>226</v>
      </c>
      <c r="C28" s="291" t="s">
        <v>227</v>
      </c>
      <c r="D28" s="24"/>
      <c r="E28" s="24"/>
    </row>
    <row r="29" spans="2:11" ht="15.6" customHeight="1" x14ac:dyDescent="0.3">
      <c r="B29" s="171"/>
      <c r="C29" s="94"/>
    </row>
    <row r="30" spans="2:11" ht="15.6" customHeight="1" x14ac:dyDescent="0.3">
      <c r="B30" s="171"/>
      <c r="C30" s="151" t="s">
        <v>1</v>
      </c>
      <c r="D30" s="290">
        <v>46387</v>
      </c>
    </row>
    <row r="31" spans="2:11" ht="15.6" customHeight="1" x14ac:dyDescent="0.3">
      <c r="B31" s="171"/>
      <c r="C31" s="27"/>
      <c r="D31" s="62" t="s">
        <v>5</v>
      </c>
    </row>
    <row r="32" spans="2:11" ht="15.6" customHeight="1" x14ac:dyDescent="0.3">
      <c r="B32" s="171"/>
      <c r="C32" s="261" t="s">
        <v>228</v>
      </c>
      <c r="D32" s="143">
        <v>7942637</v>
      </c>
    </row>
    <row r="33" spans="2:5" ht="15.6" customHeight="1" x14ac:dyDescent="0.3">
      <c r="B33" s="171"/>
      <c r="C33" s="27"/>
      <c r="D33" s="152"/>
    </row>
    <row r="34" spans="2:5" ht="15.6" customHeight="1" x14ac:dyDescent="0.3">
      <c r="B34" s="171"/>
      <c r="C34" s="261" t="s">
        <v>229</v>
      </c>
      <c r="D34" s="152"/>
    </row>
    <row r="35" spans="2:5" ht="22.8" customHeight="1" x14ac:dyDescent="0.3">
      <c r="B35" s="171"/>
      <c r="C35" s="261" t="s">
        <v>230</v>
      </c>
      <c r="D35" s="430" t="s">
        <v>231</v>
      </c>
    </row>
    <row r="36" spans="2:5" ht="23.4" customHeight="1" thickBot="1" x14ac:dyDescent="0.35">
      <c r="B36" s="171"/>
      <c r="C36" s="261" t="s">
        <v>232</v>
      </c>
      <c r="D36" s="146">
        <v>0</v>
      </c>
    </row>
    <row r="37" spans="2:5" ht="15.6" customHeight="1" x14ac:dyDescent="0.3">
      <c r="B37" s="171"/>
      <c r="C37" s="261" t="s">
        <v>233</v>
      </c>
      <c r="D37" s="143">
        <f>SUM(D35:D36)</f>
        <v>0</v>
      </c>
    </row>
    <row r="38" spans="2:5" ht="15.6" customHeight="1" x14ac:dyDescent="0.3">
      <c r="B38" s="171"/>
      <c r="C38" s="27"/>
      <c r="D38" s="152"/>
    </row>
    <row r="39" spans="2:5" ht="16.2" customHeight="1" thickBot="1" x14ac:dyDescent="0.35">
      <c r="B39" s="171"/>
      <c r="C39" s="261" t="s">
        <v>234</v>
      </c>
      <c r="D39" s="146">
        <v>8189795</v>
      </c>
    </row>
    <row r="40" spans="2:5" ht="16.2" customHeight="1" thickBot="1" x14ac:dyDescent="0.35">
      <c r="B40" s="171"/>
      <c r="C40" s="27"/>
      <c r="D40" s="153"/>
    </row>
    <row r="41" spans="2:5" ht="16.2" customHeight="1" thickBot="1" x14ac:dyDescent="0.35">
      <c r="B41" s="171"/>
      <c r="C41" s="261" t="s">
        <v>235</v>
      </c>
      <c r="D41" s="146">
        <f>+D39+D37+D32</f>
        <v>16132432</v>
      </c>
    </row>
    <row r="42" spans="2:5" ht="15.6" customHeight="1" x14ac:dyDescent="0.3">
      <c r="B42" s="171"/>
      <c r="C42" s="150"/>
      <c r="D42" s="3"/>
    </row>
    <row r="43" spans="2:5" ht="15.6" customHeight="1" x14ac:dyDescent="0.3">
      <c r="B43" s="171"/>
    </row>
    <row r="44" spans="2:5" ht="15.6" customHeight="1" x14ac:dyDescent="0.3">
      <c r="B44" s="171"/>
      <c r="C44" s="301" t="s">
        <v>380</v>
      </c>
    </row>
    <row r="45" spans="2:5" ht="26.4" customHeight="1" x14ac:dyDescent="0.3">
      <c r="B45" s="170" t="s">
        <v>236</v>
      </c>
      <c r="C45" s="291" t="s">
        <v>237</v>
      </c>
      <c r="D45" s="24"/>
      <c r="E45" s="24"/>
    </row>
    <row r="46" spans="2:5" ht="15.6" customHeight="1" x14ac:dyDescent="0.3">
      <c r="B46" s="171"/>
      <c r="C46" s="77"/>
    </row>
    <row r="47" spans="2:5" ht="15.6" customHeight="1" x14ac:dyDescent="0.3">
      <c r="B47" s="171"/>
      <c r="D47" s="290">
        <v>46387</v>
      </c>
    </row>
    <row r="48" spans="2:5" ht="15.6" customHeight="1" x14ac:dyDescent="0.3">
      <c r="B48" s="171"/>
      <c r="D48" s="154" t="s">
        <v>5</v>
      </c>
    </row>
    <row r="49" spans="2:6" ht="15.6" customHeight="1" x14ac:dyDescent="0.3">
      <c r="B49" s="171"/>
      <c r="C49" s="156" t="s">
        <v>239</v>
      </c>
    </row>
    <row r="50" spans="2:6" ht="16.2" customHeight="1" thickBot="1" x14ac:dyDescent="0.35">
      <c r="B50" s="171"/>
      <c r="C50" s="155" t="s">
        <v>240</v>
      </c>
      <c r="D50" s="157">
        <v>0</v>
      </c>
    </row>
    <row r="51" spans="2:6" ht="16.2" customHeight="1" thickBot="1" x14ac:dyDescent="0.35">
      <c r="B51" s="171"/>
      <c r="C51" s="155" t="s">
        <v>57</v>
      </c>
      <c r="D51" s="158">
        <f>+D50</f>
        <v>0</v>
      </c>
    </row>
    <row r="52" spans="2:6" ht="16.2" customHeight="1" thickTop="1" x14ac:dyDescent="0.3">
      <c r="B52" s="171"/>
      <c r="C52" s="156" t="s">
        <v>241</v>
      </c>
      <c r="D52" s="159"/>
    </row>
    <row r="53" spans="2:6" ht="15.6" customHeight="1" x14ac:dyDescent="0.3">
      <c r="B53" s="171"/>
      <c r="C53" s="155" t="s">
        <v>242</v>
      </c>
      <c r="D53" s="160">
        <v>0</v>
      </c>
    </row>
    <row r="54" spans="2:6" ht="16.2" customHeight="1" thickBot="1" x14ac:dyDescent="0.35">
      <c r="B54" s="171"/>
      <c r="C54" s="155" t="s">
        <v>243</v>
      </c>
      <c r="D54" s="157">
        <v>0</v>
      </c>
    </row>
    <row r="55" spans="2:6" ht="16.2" customHeight="1" thickBot="1" x14ac:dyDescent="0.35">
      <c r="B55" s="171"/>
      <c r="C55" s="155" t="s">
        <v>57</v>
      </c>
      <c r="D55" s="158">
        <f>+D53+D54</f>
        <v>0</v>
      </c>
    </row>
    <row r="56" spans="2:6" ht="16.2" customHeight="1" thickTop="1" x14ac:dyDescent="0.3">
      <c r="B56" s="171"/>
      <c r="C56" s="150"/>
      <c r="D56" s="3"/>
    </row>
    <row r="57" spans="2:6" ht="15.6" customHeight="1" x14ac:dyDescent="0.3">
      <c r="B57" s="171"/>
      <c r="C57" s="301" t="s">
        <v>381</v>
      </c>
    </row>
    <row r="58" spans="2:6" ht="26.4" customHeight="1" x14ac:dyDescent="0.3">
      <c r="B58" s="170" t="s">
        <v>244</v>
      </c>
      <c r="C58" s="292" t="s">
        <v>245</v>
      </c>
      <c r="D58" s="24"/>
      <c r="E58" s="24"/>
    </row>
    <row r="59" spans="2:6" ht="15.6" customHeight="1" x14ac:dyDescent="0.3">
      <c r="B59" s="171"/>
      <c r="C59" s="150"/>
    </row>
    <row r="60" spans="2:6" ht="15.6" customHeight="1" x14ac:dyDescent="0.3">
      <c r="B60" s="171"/>
      <c r="C60" s="375" t="s">
        <v>246</v>
      </c>
      <c r="D60" s="290">
        <v>46387</v>
      </c>
      <c r="F60" s="30"/>
    </row>
    <row r="61" spans="2:6" ht="15.6" customHeight="1" x14ac:dyDescent="0.3">
      <c r="B61" s="171"/>
      <c r="C61" s="370"/>
      <c r="D61" s="9" t="s">
        <v>5</v>
      </c>
      <c r="F61" s="31"/>
    </row>
    <row r="62" spans="2:6" ht="15.6" customHeight="1" x14ac:dyDescent="0.3">
      <c r="B62" s="171"/>
      <c r="C62" s="258" t="s">
        <v>247</v>
      </c>
      <c r="D62" s="9"/>
      <c r="F62" s="32"/>
    </row>
    <row r="63" spans="2:6" ht="15.6" customHeight="1" x14ac:dyDescent="0.3">
      <c r="B63" s="171"/>
      <c r="C63" s="258" t="s">
        <v>248</v>
      </c>
      <c r="D63" s="35">
        <v>-432</v>
      </c>
      <c r="F63" s="32"/>
    </row>
    <row r="64" spans="2:6" ht="23.4" customHeight="1" thickBot="1" x14ac:dyDescent="0.35">
      <c r="B64" s="171"/>
      <c r="C64" s="258" t="s">
        <v>249</v>
      </c>
      <c r="D64" s="161">
        <v>8189795</v>
      </c>
      <c r="F64" s="32"/>
    </row>
    <row r="65" spans="2:6" ht="16.2" customHeight="1" thickBot="1" x14ac:dyDescent="0.35">
      <c r="B65" s="171"/>
      <c r="C65" s="155" t="s">
        <v>250</v>
      </c>
      <c r="D65" s="161">
        <f>SUM(D63:D64)</f>
        <v>8189363</v>
      </c>
      <c r="F65" s="32"/>
    </row>
    <row r="66" spans="2:6" ht="15.6" customHeight="1" x14ac:dyDescent="0.3">
      <c r="B66" s="171"/>
      <c r="D66" s="2"/>
    </row>
    <row r="67" spans="2:6" ht="15.6" customHeight="1" x14ac:dyDescent="0.3">
      <c r="B67" s="171"/>
      <c r="C67" s="301" t="s">
        <v>382</v>
      </c>
    </row>
    <row r="68" spans="2:6" ht="15.6" customHeight="1" x14ac:dyDescent="0.3">
      <c r="B68" s="170" t="s">
        <v>251</v>
      </c>
      <c r="C68" s="291" t="s">
        <v>252</v>
      </c>
      <c r="D68" s="24"/>
      <c r="E68" s="24"/>
    </row>
    <row r="69" spans="2:6" ht="15.6" customHeight="1" x14ac:dyDescent="0.3">
      <c r="B69" s="171"/>
      <c r="C69" s="162"/>
    </row>
    <row r="70" spans="2:6" ht="15.6" customHeight="1" x14ac:dyDescent="0.3">
      <c r="B70" s="171"/>
      <c r="D70" s="290">
        <v>46387</v>
      </c>
    </row>
    <row r="71" spans="2:6" ht="15.6" customHeight="1" x14ac:dyDescent="0.3">
      <c r="B71" s="171"/>
      <c r="D71" s="51"/>
    </row>
    <row r="72" spans="2:6" x14ac:dyDescent="0.3">
      <c r="C72" s="293" t="s">
        <v>253</v>
      </c>
      <c r="D72" s="431">
        <v>-26443191</v>
      </c>
    </row>
    <row r="73" spans="2:6" x14ac:dyDescent="0.3">
      <c r="C73" s="163"/>
      <c r="D73" s="166"/>
    </row>
    <row r="74" spans="2:6" x14ac:dyDescent="0.3">
      <c r="C74" s="164" t="s">
        <v>254</v>
      </c>
      <c r="D74" s="143">
        <v>7139661</v>
      </c>
    </row>
    <row r="75" spans="2:6" x14ac:dyDescent="0.3">
      <c r="C75" s="164" t="s">
        <v>255</v>
      </c>
      <c r="D75" s="35">
        <v>-2</v>
      </c>
    </row>
    <row r="76" spans="2:6" x14ac:dyDescent="0.3">
      <c r="C76" s="164" t="s">
        <v>256</v>
      </c>
      <c r="D76" s="143"/>
    </row>
    <row r="77" spans="2:6" x14ac:dyDescent="0.3">
      <c r="C77" s="271" t="s">
        <v>257</v>
      </c>
      <c r="D77" s="143"/>
    </row>
    <row r="78" spans="2:6" x14ac:dyDescent="0.3">
      <c r="C78" s="271" t="s">
        <v>258</v>
      </c>
      <c r="D78" s="167"/>
    </row>
    <row r="79" spans="2:6" x14ac:dyDescent="0.3">
      <c r="C79" s="271" t="s">
        <v>259</v>
      </c>
      <c r="D79" s="143"/>
    </row>
    <row r="80" spans="2:6" x14ac:dyDescent="0.3">
      <c r="C80" s="271" t="s">
        <v>260</v>
      </c>
      <c r="D80" s="143"/>
    </row>
    <row r="81" spans="3:8" x14ac:dyDescent="0.3">
      <c r="C81" s="271" t="s">
        <v>261</v>
      </c>
      <c r="D81" s="143"/>
    </row>
    <row r="82" spans="3:8" x14ac:dyDescent="0.3">
      <c r="C82" s="281" t="s">
        <v>262</v>
      </c>
      <c r="D82" s="143"/>
    </row>
    <row r="83" spans="3:8" x14ac:dyDescent="0.3">
      <c r="C83" s="271" t="s">
        <v>263</v>
      </c>
      <c r="D83" s="143"/>
    </row>
    <row r="84" spans="3:8" x14ac:dyDescent="0.3">
      <c r="C84" s="271" t="s">
        <v>264</v>
      </c>
      <c r="D84" s="143">
        <v>1049553</v>
      </c>
    </row>
    <row r="85" spans="3:8" x14ac:dyDescent="0.3">
      <c r="C85" s="271" t="s">
        <v>265</v>
      </c>
      <c r="D85" s="143">
        <v>151</v>
      </c>
    </row>
    <row r="86" spans="3:8" ht="15" customHeight="1" thickBot="1" x14ac:dyDescent="0.35">
      <c r="C86" s="271" t="s">
        <v>266</v>
      </c>
      <c r="D86" s="146"/>
      <c r="H86" s="172"/>
    </row>
    <row r="87" spans="3:8" x14ac:dyDescent="0.3">
      <c r="C87" s="164" t="s">
        <v>267</v>
      </c>
      <c r="D87" s="169">
        <f>SUM(D74:D86)</f>
        <v>8189363</v>
      </c>
    </row>
    <row r="88" spans="3:8" x14ac:dyDescent="0.3">
      <c r="C88" s="163"/>
      <c r="D88" s="168"/>
    </row>
    <row r="89" spans="3:8" x14ac:dyDescent="0.3">
      <c r="C89" s="293" t="s">
        <v>268</v>
      </c>
      <c r="D89" s="432">
        <f>+D87/-D72</f>
        <v>0.30969647347024043</v>
      </c>
    </row>
    <row r="90" spans="3:8" x14ac:dyDescent="0.3">
      <c r="D90" s="3"/>
    </row>
    <row r="91" spans="3:8" x14ac:dyDescent="0.3">
      <c r="D91" s="3"/>
    </row>
  </sheetData>
  <mergeCells count="2">
    <mergeCell ref="C5:F5"/>
    <mergeCell ref="C60:C6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F0"/>
  </sheetPr>
  <dimension ref="B3:E7"/>
  <sheetViews>
    <sheetView showGridLines="0" workbookViewId="0">
      <selection activeCell="G10" sqref="G10"/>
    </sheetView>
  </sheetViews>
  <sheetFormatPr baseColWidth="10" defaultRowHeight="14.4" x14ac:dyDescent="0.3"/>
  <cols>
    <col min="3" max="3" width="28" customWidth="1"/>
  </cols>
  <sheetData>
    <row r="3" spans="2:5" x14ac:dyDescent="0.3">
      <c r="B3" s="301" t="s">
        <v>377</v>
      </c>
    </row>
    <row r="4" spans="2:5" x14ac:dyDescent="0.3">
      <c r="B4" s="204"/>
      <c r="C4" s="204"/>
      <c r="D4" s="204"/>
      <c r="E4" s="294">
        <v>46022</v>
      </c>
    </row>
    <row r="5" spans="2:5" ht="15" customHeight="1" thickBot="1" x14ac:dyDescent="0.35">
      <c r="B5" s="295" t="s">
        <v>269</v>
      </c>
      <c r="C5" s="295" t="s">
        <v>270</v>
      </c>
      <c r="D5" s="295" t="s">
        <v>271</v>
      </c>
      <c r="E5" s="246" t="s">
        <v>5</v>
      </c>
    </row>
    <row r="6" spans="2:5" ht="15" customHeight="1" x14ac:dyDescent="0.3">
      <c r="B6" s="433" t="s">
        <v>272</v>
      </c>
      <c r="C6" s="434" t="s">
        <v>273</v>
      </c>
      <c r="D6" s="435">
        <v>1</v>
      </c>
      <c r="E6" s="436">
        <v>1000</v>
      </c>
    </row>
    <row r="7" spans="2:5" ht="15" customHeight="1" x14ac:dyDescent="0.3">
      <c r="B7" s="204"/>
      <c r="C7" s="271" t="s">
        <v>57</v>
      </c>
      <c r="D7" s="204"/>
      <c r="E7" s="437">
        <v>1000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F0"/>
  </sheetPr>
  <dimension ref="C1:K43"/>
  <sheetViews>
    <sheetView showGridLines="0" topLeftCell="A100" workbookViewId="0">
      <selection activeCell="G2" sqref="G2:G8"/>
    </sheetView>
  </sheetViews>
  <sheetFormatPr baseColWidth="10" defaultRowHeight="14.4" x14ac:dyDescent="0.3"/>
  <cols>
    <col min="3" max="3" width="32.88671875" customWidth="1"/>
  </cols>
  <sheetData>
    <row r="1" spans="3:11" ht="37.799999999999997" customHeight="1" x14ac:dyDescent="0.3">
      <c r="C1" s="379" t="s">
        <v>274</v>
      </c>
      <c r="D1" s="370"/>
      <c r="E1" s="370"/>
      <c r="F1" s="370"/>
      <c r="G1" s="370"/>
      <c r="H1" s="370"/>
      <c r="I1" s="370"/>
      <c r="J1" s="370"/>
    </row>
    <row r="2" spans="3:11" x14ac:dyDescent="0.3">
      <c r="C2" s="180"/>
      <c r="D2" s="180"/>
      <c r="E2" s="180"/>
      <c r="F2" s="180"/>
      <c r="G2" s="180"/>
      <c r="H2" s="12"/>
    </row>
    <row r="3" spans="3:11" x14ac:dyDescent="0.3">
      <c r="C3" s="301" t="s">
        <v>376</v>
      </c>
      <c r="D3" s="281" t="s">
        <v>275</v>
      </c>
      <c r="E3" s="173"/>
      <c r="G3" s="180"/>
      <c r="H3" s="181"/>
    </row>
    <row r="4" spans="3:11" x14ac:dyDescent="0.3">
      <c r="C4" s="280" t="s">
        <v>276</v>
      </c>
      <c r="D4" s="280" t="s">
        <v>277</v>
      </c>
      <c r="E4" s="280" t="s">
        <v>60</v>
      </c>
      <c r="F4" s="184">
        <v>46203</v>
      </c>
      <c r="G4" s="180"/>
      <c r="H4" s="183"/>
    </row>
    <row r="5" spans="3:11" x14ac:dyDescent="0.3">
      <c r="C5" s="182"/>
      <c r="D5" s="72"/>
      <c r="E5" s="173"/>
      <c r="F5" s="58" t="s">
        <v>5</v>
      </c>
      <c r="G5" s="180"/>
      <c r="H5" s="72"/>
    </row>
    <row r="6" spans="3:11" ht="15" customHeight="1" x14ac:dyDescent="0.3">
      <c r="C6" s="281" t="s">
        <v>278</v>
      </c>
      <c r="D6" s="281" t="s">
        <v>279</v>
      </c>
      <c r="E6" s="281" t="s">
        <v>171</v>
      </c>
      <c r="F6" s="64">
        <v>0</v>
      </c>
      <c r="G6" s="180"/>
      <c r="H6" s="185"/>
    </row>
    <row r="7" spans="3:11" ht="15" customHeight="1" thickBot="1" x14ac:dyDescent="0.35">
      <c r="C7" s="281" t="s">
        <v>57</v>
      </c>
      <c r="D7" s="173"/>
      <c r="E7" s="58"/>
      <c r="F7" s="232">
        <f>+F6</f>
        <v>0</v>
      </c>
      <c r="G7" s="180"/>
      <c r="H7" s="185"/>
    </row>
    <row r="8" spans="3:11" x14ac:dyDescent="0.3">
      <c r="C8" s="94"/>
      <c r="G8" s="180"/>
      <c r="H8" s="185"/>
    </row>
    <row r="9" spans="3:11" x14ac:dyDescent="0.3">
      <c r="C9" s="150"/>
    </row>
    <row r="10" spans="3:11" ht="26.4" customHeight="1" x14ac:dyDescent="0.3">
      <c r="C10" s="296" t="s">
        <v>280</v>
      </c>
    </row>
    <row r="11" spans="3:11" x14ac:dyDescent="0.3">
      <c r="C11" s="331" t="s">
        <v>398</v>
      </c>
    </row>
    <row r="12" spans="3:11" s="92" customFormat="1" x14ac:dyDescent="0.3">
      <c r="C12" s="352">
        <v>2026</v>
      </c>
    </row>
    <row r="13" spans="3:11" ht="19.2" customHeight="1" x14ac:dyDescent="0.3">
      <c r="C13" s="85"/>
      <c r="D13" s="85"/>
      <c r="E13" s="85" t="s">
        <v>281</v>
      </c>
      <c r="F13" s="85" t="s">
        <v>282</v>
      </c>
      <c r="G13" s="176"/>
      <c r="H13" s="187"/>
      <c r="I13" s="187"/>
      <c r="J13" s="187"/>
      <c r="K13" s="187"/>
    </row>
    <row r="14" spans="3:11" ht="29.4" customHeight="1" thickBot="1" x14ac:dyDescent="0.35">
      <c r="C14" s="174" t="s">
        <v>283</v>
      </c>
      <c r="D14" s="174" t="s">
        <v>276</v>
      </c>
      <c r="E14" s="175"/>
      <c r="F14" s="174" t="s">
        <v>284</v>
      </c>
      <c r="G14" s="177" t="s">
        <v>60</v>
      </c>
      <c r="H14" s="184">
        <v>46203</v>
      </c>
      <c r="I14" s="184">
        <v>46022</v>
      </c>
      <c r="J14" s="187" t="s">
        <v>285</v>
      </c>
      <c r="K14" s="188"/>
    </row>
    <row r="15" spans="3:11" x14ac:dyDescent="0.3">
      <c r="C15" s="99"/>
      <c r="D15" s="85"/>
      <c r="E15" s="85"/>
      <c r="F15" s="85"/>
      <c r="G15" s="176"/>
      <c r="H15" s="186" t="s">
        <v>5</v>
      </c>
      <c r="I15" s="186" t="s">
        <v>5</v>
      </c>
      <c r="J15" s="186" t="s">
        <v>5</v>
      </c>
    </row>
    <row r="16" spans="3:11" ht="19.2" customHeight="1" x14ac:dyDescent="0.3">
      <c r="C16" s="99" t="s">
        <v>286</v>
      </c>
      <c r="D16" s="85" t="s">
        <v>287</v>
      </c>
      <c r="E16" s="85" t="s">
        <v>288</v>
      </c>
      <c r="F16" s="220" t="s">
        <v>289</v>
      </c>
      <c r="G16" s="176" t="s">
        <v>290</v>
      </c>
      <c r="H16" s="64">
        <v>0</v>
      </c>
      <c r="I16" s="64">
        <v>0</v>
      </c>
      <c r="J16" s="233" t="s">
        <v>231</v>
      </c>
      <c r="K16" s="96"/>
    </row>
    <row r="17" spans="3:11" ht="19.2" customHeight="1" x14ac:dyDescent="0.3">
      <c r="C17" s="99" t="s">
        <v>291</v>
      </c>
      <c r="D17" s="85" t="s">
        <v>287</v>
      </c>
      <c r="E17" s="85" t="s">
        <v>288</v>
      </c>
      <c r="F17" s="220" t="s">
        <v>289</v>
      </c>
      <c r="G17" s="176" t="s">
        <v>290</v>
      </c>
      <c r="H17" s="64">
        <v>0</v>
      </c>
      <c r="I17" s="64">
        <v>0</v>
      </c>
      <c r="J17" s="233" t="s">
        <v>231</v>
      </c>
      <c r="K17" s="96"/>
    </row>
    <row r="18" spans="3:11" ht="19.2" customHeight="1" x14ac:dyDescent="0.3">
      <c r="C18" s="99" t="s">
        <v>286</v>
      </c>
      <c r="D18" s="85" t="s">
        <v>287</v>
      </c>
      <c r="E18" s="85" t="s">
        <v>288</v>
      </c>
      <c r="F18" s="220" t="s">
        <v>289</v>
      </c>
      <c r="G18" s="176" t="s">
        <v>290</v>
      </c>
      <c r="H18" s="64">
        <v>0</v>
      </c>
      <c r="I18" s="64">
        <v>0</v>
      </c>
      <c r="J18" s="233" t="s">
        <v>231</v>
      </c>
      <c r="K18" s="96"/>
    </row>
    <row r="19" spans="3:11" ht="19.2" customHeight="1" x14ac:dyDescent="0.3">
      <c r="C19" s="99" t="s">
        <v>292</v>
      </c>
      <c r="D19" s="85" t="s">
        <v>287</v>
      </c>
      <c r="E19" s="85" t="s">
        <v>288</v>
      </c>
      <c r="F19" s="220" t="s">
        <v>289</v>
      </c>
      <c r="G19" s="176" t="s">
        <v>290</v>
      </c>
      <c r="H19" s="64">
        <v>0</v>
      </c>
      <c r="I19" s="64">
        <v>0</v>
      </c>
      <c r="J19" s="233" t="s">
        <v>231</v>
      </c>
      <c r="K19" s="96"/>
    </row>
    <row r="20" spans="3:11" ht="19.2" customHeight="1" x14ac:dyDescent="0.3">
      <c r="C20" s="99" t="s">
        <v>293</v>
      </c>
      <c r="D20" s="85" t="s">
        <v>287</v>
      </c>
      <c r="E20" s="85" t="s">
        <v>288</v>
      </c>
      <c r="F20" s="220" t="s">
        <v>289</v>
      </c>
      <c r="G20" s="176" t="s">
        <v>290</v>
      </c>
      <c r="H20" s="64">
        <v>0</v>
      </c>
      <c r="I20" s="64">
        <v>0</v>
      </c>
      <c r="J20" s="233" t="s">
        <v>231</v>
      </c>
      <c r="K20" s="96"/>
    </row>
    <row r="21" spans="3:11" ht="19.2" customHeight="1" x14ac:dyDescent="0.3">
      <c r="C21" s="99" t="s">
        <v>294</v>
      </c>
      <c r="D21" s="85" t="s">
        <v>287</v>
      </c>
      <c r="E21" s="85" t="s">
        <v>288</v>
      </c>
      <c r="F21" s="220" t="s">
        <v>289</v>
      </c>
      <c r="G21" s="176" t="s">
        <v>290</v>
      </c>
      <c r="H21" s="64">
        <v>0</v>
      </c>
      <c r="I21" s="64">
        <v>0</v>
      </c>
      <c r="J21" s="233" t="s">
        <v>231</v>
      </c>
      <c r="K21" s="96"/>
    </row>
    <row r="22" spans="3:11" ht="19.2" customHeight="1" x14ac:dyDescent="0.3">
      <c r="C22" s="99" t="s">
        <v>295</v>
      </c>
      <c r="D22" s="85" t="s">
        <v>287</v>
      </c>
      <c r="E22" s="85" t="s">
        <v>288</v>
      </c>
      <c r="F22" s="220" t="s">
        <v>289</v>
      </c>
      <c r="G22" s="176" t="s">
        <v>290</v>
      </c>
      <c r="H22" s="64">
        <v>0</v>
      </c>
      <c r="I22" s="64">
        <v>0</v>
      </c>
      <c r="J22" s="233" t="s">
        <v>231</v>
      </c>
      <c r="K22" s="96"/>
    </row>
    <row r="23" spans="3:11" ht="19.2" customHeight="1" x14ac:dyDescent="0.3">
      <c r="C23" s="99" t="s">
        <v>296</v>
      </c>
      <c r="D23" s="85" t="s">
        <v>287</v>
      </c>
      <c r="E23" s="85" t="s">
        <v>288</v>
      </c>
      <c r="F23" s="220" t="s">
        <v>289</v>
      </c>
      <c r="G23" s="176" t="s">
        <v>290</v>
      </c>
      <c r="H23" s="64">
        <v>0</v>
      </c>
      <c r="I23" s="64">
        <v>0</v>
      </c>
      <c r="J23" s="233" t="s">
        <v>231</v>
      </c>
      <c r="K23" s="96"/>
    </row>
    <row r="24" spans="3:11" ht="19.2" customHeight="1" x14ac:dyDescent="0.3">
      <c r="C24" s="99" t="s">
        <v>297</v>
      </c>
      <c r="D24" s="85" t="s">
        <v>287</v>
      </c>
      <c r="E24" s="85" t="s">
        <v>288</v>
      </c>
      <c r="F24" s="220" t="s">
        <v>289</v>
      </c>
      <c r="G24" s="176" t="s">
        <v>290</v>
      </c>
      <c r="H24" s="64">
        <v>0</v>
      </c>
      <c r="I24" s="64">
        <v>0</v>
      </c>
      <c r="J24" s="233" t="s">
        <v>231</v>
      </c>
      <c r="K24" s="96"/>
    </row>
    <row r="25" spans="3:11" ht="19.2" customHeight="1" x14ac:dyDescent="0.3">
      <c r="C25" s="99" t="s">
        <v>298</v>
      </c>
      <c r="D25" s="85" t="s">
        <v>287</v>
      </c>
      <c r="E25" s="85" t="s">
        <v>288</v>
      </c>
      <c r="F25" s="220" t="s">
        <v>289</v>
      </c>
      <c r="G25" s="176" t="s">
        <v>290</v>
      </c>
      <c r="H25" s="64">
        <v>0</v>
      </c>
      <c r="I25" s="64">
        <v>0</v>
      </c>
      <c r="J25" s="233" t="s">
        <v>231</v>
      </c>
      <c r="K25" s="96"/>
    </row>
    <row r="26" spans="3:11" ht="19.2" customHeight="1" x14ac:dyDescent="0.3">
      <c r="C26" s="99" t="s">
        <v>299</v>
      </c>
      <c r="D26" s="85" t="s">
        <v>287</v>
      </c>
      <c r="E26" s="85" t="s">
        <v>288</v>
      </c>
      <c r="F26" s="220" t="s">
        <v>289</v>
      </c>
      <c r="G26" s="176" t="s">
        <v>290</v>
      </c>
      <c r="H26" s="64">
        <v>0</v>
      </c>
      <c r="I26" s="64">
        <v>0</v>
      </c>
      <c r="J26" s="233" t="s">
        <v>231</v>
      </c>
      <c r="K26" s="96"/>
    </row>
    <row r="27" spans="3:11" ht="19.2" customHeight="1" x14ac:dyDescent="0.3">
      <c r="C27" s="99" t="s">
        <v>300</v>
      </c>
      <c r="D27" s="85" t="s">
        <v>287</v>
      </c>
      <c r="E27" s="85" t="s">
        <v>288</v>
      </c>
      <c r="F27" s="220" t="s">
        <v>289</v>
      </c>
      <c r="G27" s="176" t="s">
        <v>290</v>
      </c>
      <c r="H27" s="64">
        <v>0</v>
      </c>
      <c r="I27" s="64">
        <v>0</v>
      </c>
      <c r="J27" s="233" t="s">
        <v>231</v>
      </c>
      <c r="K27" s="96"/>
    </row>
    <row r="28" spans="3:11" ht="19.2" customHeight="1" x14ac:dyDescent="0.3">
      <c r="C28" s="99" t="s">
        <v>301</v>
      </c>
      <c r="D28" s="85" t="s">
        <v>287</v>
      </c>
      <c r="E28" s="85" t="s">
        <v>288</v>
      </c>
      <c r="F28" s="220" t="s">
        <v>289</v>
      </c>
      <c r="G28" s="176" t="s">
        <v>290</v>
      </c>
      <c r="H28" s="64">
        <v>0</v>
      </c>
      <c r="I28" s="64">
        <v>0</v>
      </c>
      <c r="J28" s="233" t="s">
        <v>231</v>
      </c>
      <c r="K28" s="96"/>
    </row>
    <row r="29" spans="3:11" ht="19.2" customHeight="1" x14ac:dyDescent="0.3">
      <c r="C29" s="99" t="s">
        <v>302</v>
      </c>
      <c r="D29" s="85" t="s">
        <v>287</v>
      </c>
      <c r="E29" s="85" t="s">
        <v>288</v>
      </c>
      <c r="F29" s="220" t="s">
        <v>289</v>
      </c>
      <c r="G29" s="176" t="s">
        <v>290</v>
      </c>
      <c r="H29" s="64">
        <v>0</v>
      </c>
      <c r="I29" s="64">
        <v>0</v>
      </c>
      <c r="J29" s="233" t="s">
        <v>231</v>
      </c>
      <c r="K29" s="96"/>
    </row>
    <row r="30" spans="3:11" ht="19.2" customHeight="1" x14ac:dyDescent="0.3">
      <c r="C30" s="99" t="s">
        <v>303</v>
      </c>
      <c r="D30" s="85" t="s">
        <v>287</v>
      </c>
      <c r="E30" s="85" t="s">
        <v>288</v>
      </c>
      <c r="F30" s="220" t="s">
        <v>289</v>
      </c>
      <c r="G30" s="176" t="s">
        <v>290</v>
      </c>
      <c r="H30" s="64">
        <v>0</v>
      </c>
      <c r="I30" s="64">
        <v>0</v>
      </c>
      <c r="J30" s="233" t="s">
        <v>231</v>
      </c>
      <c r="K30" s="96"/>
    </row>
    <row r="31" spans="3:11" ht="19.2" customHeight="1" x14ac:dyDescent="0.3">
      <c r="C31" s="99" t="s">
        <v>304</v>
      </c>
      <c r="D31" s="85" t="s">
        <v>287</v>
      </c>
      <c r="E31" s="85" t="s">
        <v>288</v>
      </c>
      <c r="F31" s="220" t="s">
        <v>289</v>
      </c>
      <c r="G31" s="176" t="s">
        <v>290</v>
      </c>
      <c r="H31" s="64">
        <v>0</v>
      </c>
      <c r="I31" s="64">
        <v>0</v>
      </c>
      <c r="J31" s="233" t="s">
        <v>231</v>
      </c>
      <c r="K31" s="96"/>
    </row>
    <row r="32" spans="3:11" ht="19.2" customHeight="1" x14ac:dyDescent="0.3">
      <c r="C32" s="99" t="s">
        <v>305</v>
      </c>
      <c r="D32" s="85" t="s">
        <v>287</v>
      </c>
      <c r="E32" s="85" t="s">
        <v>288</v>
      </c>
      <c r="F32" s="220" t="s">
        <v>289</v>
      </c>
      <c r="G32" s="176" t="s">
        <v>290</v>
      </c>
      <c r="H32" s="64">
        <v>0</v>
      </c>
      <c r="I32" s="64">
        <v>0</v>
      </c>
      <c r="J32" s="233" t="s">
        <v>231</v>
      </c>
      <c r="K32" s="96"/>
    </row>
    <row r="33" spans="3:11" ht="19.2" customHeight="1" x14ac:dyDescent="0.3">
      <c r="C33" s="99" t="s">
        <v>306</v>
      </c>
      <c r="D33" s="85" t="s">
        <v>287</v>
      </c>
      <c r="E33" s="85" t="s">
        <v>288</v>
      </c>
      <c r="F33" s="220" t="s">
        <v>289</v>
      </c>
      <c r="G33" s="176" t="s">
        <v>290</v>
      </c>
      <c r="H33" s="64">
        <v>0</v>
      </c>
      <c r="I33" s="64">
        <v>0</v>
      </c>
      <c r="J33" s="233" t="s">
        <v>231</v>
      </c>
      <c r="K33" s="96"/>
    </row>
    <row r="34" spans="3:11" ht="19.2" customHeight="1" x14ac:dyDescent="0.3">
      <c r="C34" s="99" t="s">
        <v>307</v>
      </c>
      <c r="D34" s="85" t="s">
        <v>287</v>
      </c>
      <c r="E34" s="85" t="s">
        <v>288</v>
      </c>
      <c r="F34" s="220" t="s">
        <v>289</v>
      </c>
      <c r="G34" s="176" t="s">
        <v>290</v>
      </c>
      <c r="H34" s="64">
        <v>0</v>
      </c>
      <c r="I34" s="64">
        <v>0</v>
      </c>
      <c r="J34" s="233" t="s">
        <v>231</v>
      </c>
      <c r="K34" s="96"/>
    </row>
    <row r="35" spans="3:11" ht="19.2" customHeight="1" x14ac:dyDescent="0.3">
      <c r="C35" s="99" t="s">
        <v>308</v>
      </c>
      <c r="D35" s="85" t="s">
        <v>287</v>
      </c>
      <c r="E35" s="85" t="s">
        <v>288</v>
      </c>
      <c r="F35" s="220" t="s">
        <v>289</v>
      </c>
      <c r="G35" s="176" t="s">
        <v>290</v>
      </c>
      <c r="H35" s="64">
        <v>0</v>
      </c>
      <c r="I35" s="64">
        <v>0</v>
      </c>
      <c r="J35" s="233" t="s">
        <v>231</v>
      </c>
      <c r="K35" s="96"/>
    </row>
    <row r="36" spans="3:11" ht="19.2" customHeight="1" x14ac:dyDescent="0.3">
      <c r="C36" s="99" t="s">
        <v>307</v>
      </c>
      <c r="D36" s="85" t="s">
        <v>287</v>
      </c>
      <c r="E36" s="85" t="s">
        <v>288</v>
      </c>
      <c r="F36" s="220" t="s">
        <v>289</v>
      </c>
      <c r="G36" s="176" t="s">
        <v>290</v>
      </c>
      <c r="H36" s="64">
        <v>0</v>
      </c>
      <c r="I36" s="64">
        <v>0</v>
      </c>
      <c r="J36" s="233" t="s">
        <v>231</v>
      </c>
      <c r="K36" s="96"/>
    </row>
    <row r="37" spans="3:11" ht="19.2" customHeight="1" x14ac:dyDescent="0.3">
      <c r="C37" s="99" t="s">
        <v>306</v>
      </c>
      <c r="D37" s="85" t="s">
        <v>287</v>
      </c>
      <c r="E37" s="85" t="s">
        <v>288</v>
      </c>
      <c r="F37" s="220" t="s">
        <v>289</v>
      </c>
      <c r="G37" s="176" t="s">
        <v>290</v>
      </c>
      <c r="H37" s="64">
        <v>0</v>
      </c>
      <c r="I37" s="64">
        <v>0</v>
      </c>
      <c r="J37" s="233" t="s">
        <v>231</v>
      </c>
      <c r="K37" s="96"/>
    </row>
    <row r="38" spans="3:11" ht="19.2" customHeight="1" x14ac:dyDescent="0.3">
      <c r="C38" s="99" t="s">
        <v>305</v>
      </c>
      <c r="D38" s="85" t="s">
        <v>287</v>
      </c>
      <c r="E38" s="85" t="s">
        <v>288</v>
      </c>
      <c r="F38" s="220" t="s">
        <v>289</v>
      </c>
      <c r="G38" s="176" t="s">
        <v>290</v>
      </c>
      <c r="H38" s="64">
        <v>0</v>
      </c>
      <c r="I38" s="64">
        <v>0</v>
      </c>
      <c r="J38" s="233" t="s">
        <v>231</v>
      </c>
    </row>
    <row r="39" spans="3:11" ht="15" customHeight="1" thickBot="1" x14ac:dyDescent="0.35">
      <c r="C39" s="178"/>
      <c r="D39" s="174"/>
      <c r="E39" s="174"/>
      <c r="F39" s="174"/>
      <c r="G39" s="177"/>
      <c r="H39" s="95"/>
      <c r="I39" s="95"/>
      <c r="J39" s="95"/>
      <c r="K39" s="95"/>
    </row>
    <row r="40" spans="3:11" x14ac:dyDescent="0.3">
      <c r="C40" s="165"/>
      <c r="D40" s="164"/>
      <c r="E40" s="164"/>
      <c r="F40" s="164"/>
      <c r="G40" s="376"/>
      <c r="H40" s="377"/>
      <c r="I40" s="179"/>
      <c r="J40" s="378"/>
      <c r="K40" s="377"/>
    </row>
    <row r="41" spans="3:11" x14ac:dyDescent="0.3">
      <c r="C41" s="163"/>
      <c r="D41" s="163"/>
      <c r="E41" s="163"/>
      <c r="F41" s="163"/>
      <c r="G41" s="163"/>
      <c r="H41" s="163"/>
      <c r="I41" s="163"/>
      <c r="J41" s="163"/>
      <c r="K41" s="163"/>
    </row>
    <row r="42" spans="3:11" x14ac:dyDescent="0.3">
      <c r="C42" s="94"/>
    </row>
    <row r="43" spans="3:11" x14ac:dyDescent="0.3">
      <c r="C43" s="94"/>
    </row>
  </sheetData>
  <mergeCells count="3">
    <mergeCell ref="G40:H40"/>
    <mergeCell ref="J40:K40"/>
    <mergeCell ref="C1:J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C1:E35"/>
  <sheetViews>
    <sheetView showGridLines="0" topLeftCell="A21" workbookViewId="0">
      <selection activeCell="I19" sqref="I19"/>
    </sheetView>
  </sheetViews>
  <sheetFormatPr baseColWidth="10" defaultRowHeight="14.4" x14ac:dyDescent="0.3"/>
  <cols>
    <col min="3" max="3" width="38.5546875" customWidth="1"/>
    <col min="4" max="4" width="15.5546875" customWidth="1"/>
    <col min="5" max="5" width="13.77734375" customWidth="1"/>
    <col min="6" max="6" width="15" customWidth="1"/>
    <col min="7" max="7" width="13.88671875" customWidth="1"/>
  </cols>
  <sheetData>
    <row r="1" spans="3:5" x14ac:dyDescent="0.3">
      <c r="C1" s="5" t="s">
        <v>385</v>
      </c>
    </row>
    <row r="2" spans="3:5" x14ac:dyDescent="0.3">
      <c r="C2" s="301" t="s">
        <v>383</v>
      </c>
    </row>
    <row r="3" spans="3:5" x14ac:dyDescent="0.3">
      <c r="C3" s="234"/>
      <c r="D3" s="297">
        <v>46022</v>
      </c>
    </row>
    <row r="4" spans="3:5" x14ac:dyDescent="0.3">
      <c r="C4" s="239" t="s">
        <v>309</v>
      </c>
      <c r="D4" s="239" t="s">
        <v>310</v>
      </c>
      <c r="E4" s="239" t="s">
        <v>311</v>
      </c>
    </row>
    <row r="5" spans="3:5" x14ac:dyDescent="0.3">
      <c r="C5" s="236" t="s">
        <v>427</v>
      </c>
      <c r="D5" s="242">
        <v>217188556</v>
      </c>
      <c r="E5" s="243">
        <v>1</v>
      </c>
    </row>
    <row r="6" spans="3:5" x14ac:dyDescent="0.3">
      <c r="C6" s="240" t="s">
        <v>22</v>
      </c>
      <c r="D6" s="241">
        <f>+D5</f>
        <v>217188556</v>
      </c>
      <c r="E6" s="244">
        <v>1</v>
      </c>
    </row>
    <row r="7" spans="3:5" x14ac:dyDescent="0.3">
      <c r="C7" s="235"/>
    </row>
    <row r="8" spans="3:5" x14ac:dyDescent="0.3">
      <c r="C8" s="301" t="s">
        <v>384</v>
      </c>
    </row>
    <row r="9" spans="3:5" x14ac:dyDescent="0.3">
      <c r="C9" s="317" t="s">
        <v>312</v>
      </c>
    </row>
    <row r="10" spans="3:5" x14ac:dyDescent="0.3">
      <c r="D10" s="237">
        <v>46022</v>
      </c>
    </row>
    <row r="11" spans="3:5" x14ac:dyDescent="0.3">
      <c r="C11" s="24"/>
      <c r="D11" s="24"/>
    </row>
    <row r="12" spans="3:5" ht="20.399999999999999" customHeight="1" x14ac:dyDescent="0.3">
      <c r="C12" s="318" t="s">
        <v>313</v>
      </c>
      <c r="D12" s="238">
        <v>217188556</v>
      </c>
    </row>
    <row r="13" spans="3:5" x14ac:dyDescent="0.3">
      <c r="C13" s="318" t="s">
        <v>314</v>
      </c>
      <c r="D13" s="438">
        <v>0</v>
      </c>
    </row>
    <row r="14" spans="3:5" x14ac:dyDescent="0.3">
      <c r="C14" s="319" t="s">
        <v>84</v>
      </c>
      <c r="D14" s="245">
        <f>+D12+D13</f>
        <v>217188556</v>
      </c>
    </row>
    <row r="15" spans="3:5" x14ac:dyDescent="0.3">
      <c r="C15" s="353"/>
      <c r="D15" s="354"/>
    </row>
    <row r="16" spans="3:5" x14ac:dyDescent="0.3">
      <c r="C16" s="301" t="s">
        <v>387</v>
      </c>
    </row>
    <row r="17" spans="3:4" x14ac:dyDescent="0.3">
      <c r="C17" s="5" t="s">
        <v>386</v>
      </c>
    </row>
    <row r="18" spans="3:4" ht="15.6" x14ac:dyDescent="0.3">
      <c r="C18" s="320"/>
      <c r="D18" s="321" t="s">
        <v>388</v>
      </c>
    </row>
    <row r="19" spans="3:4" x14ac:dyDescent="0.3">
      <c r="C19" s="322"/>
      <c r="D19" s="323" t="s">
        <v>238</v>
      </c>
    </row>
    <row r="20" spans="3:4" ht="15.6" x14ac:dyDescent="0.3">
      <c r="C20" s="324"/>
      <c r="D20" s="320"/>
    </row>
    <row r="21" spans="3:4" x14ac:dyDescent="0.3">
      <c r="C21" s="18" t="s">
        <v>389</v>
      </c>
      <c r="D21" s="439">
        <v>-18253828</v>
      </c>
    </row>
    <row r="22" spans="3:4" ht="15" thickBot="1" x14ac:dyDescent="0.35">
      <c r="C22" s="18" t="s">
        <v>390</v>
      </c>
      <c r="D22" s="439">
        <v>217188556</v>
      </c>
    </row>
    <row r="23" spans="3:4" ht="23.4" thickBot="1" x14ac:dyDescent="0.35">
      <c r="C23" s="18" t="s">
        <v>391</v>
      </c>
      <c r="D23" s="440">
        <f>(+D21/D22)*1000</f>
        <v>-84.04599365723486</v>
      </c>
    </row>
    <row r="24" spans="3:4" ht="15" thickTop="1" x14ac:dyDescent="0.3">
      <c r="C24" s="18"/>
      <c r="D24" s="323"/>
    </row>
    <row r="25" spans="3:4" x14ac:dyDescent="0.3">
      <c r="C25" s="299" t="s">
        <v>416</v>
      </c>
    </row>
    <row r="26" spans="3:4" x14ac:dyDescent="0.3">
      <c r="C26" s="326" t="s">
        <v>315</v>
      </c>
    </row>
    <row r="28" spans="3:4" ht="15.6" x14ac:dyDescent="0.3">
      <c r="C28" s="320"/>
      <c r="D28" s="327" t="s">
        <v>388</v>
      </c>
    </row>
    <row r="29" spans="3:4" x14ac:dyDescent="0.3">
      <c r="C29" s="73"/>
      <c r="D29" s="328" t="s">
        <v>238</v>
      </c>
    </row>
    <row r="30" spans="3:4" ht="15.6" x14ac:dyDescent="0.3">
      <c r="C30" s="324"/>
      <c r="D30" s="320"/>
    </row>
    <row r="31" spans="3:4" x14ac:dyDescent="0.3">
      <c r="C31" s="18" t="s">
        <v>392</v>
      </c>
      <c r="D31" s="23">
        <v>0</v>
      </c>
    </row>
    <row r="32" spans="3:4" x14ac:dyDescent="0.3">
      <c r="C32" s="18" t="s">
        <v>393</v>
      </c>
      <c r="D32" s="43">
        <v>0</v>
      </c>
    </row>
    <row r="33" spans="3:4" ht="15" thickBot="1" x14ac:dyDescent="0.35">
      <c r="C33" s="18" t="s">
        <v>394</v>
      </c>
      <c r="D33" s="23">
        <v>0</v>
      </c>
    </row>
    <row r="34" spans="3:4" ht="15" thickBot="1" x14ac:dyDescent="0.35">
      <c r="C34" s="18" t="s">
        <v>395</v>
      </c>
      <c r="D34" s="330">
        <f>SUM(D31:D33)</f>
        <v>0</v>
      </c>
    </row>
    <row r="35" spans="3:4" ht="15" thickTop="1" x14ac:dyDescent="0.3"/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92D050"/>
  </sheetPr>
  <dimension ref="B1:AN12"/>
  <sheetViews>
    <sheetView showGridLines="0" workbookViewId="0">
      <selection activeCell="E10" sqref="E10"/>
    </sheetView>
  </sheetViews>
  <sheetFormatPr baseColWidth="10" defaultRowHeight="14.4" x14ac:dyDescent="0.3"/>
  <cols>
    <col min="2" max="2" width="36" customWidth="1"/>
    <col min="3" max="3" width="13.5546875" customWidth="1"/>
    <col min="4" max="5" width="13.6640625" customWidth="1"/>
    <col min="6" max="13" width="11.5546875" customWidth="1"/>
    <col min="14" max="14" width="14.77734375" customWidth="1"/>
    <col min="15" max="38" width="13" hidden="1" customWidth="1"/>
    <col min="39" max="39" width="12" customWidth="1"/>
  </cols>
  <sheetData>
    <row r="1" spans="2:40" x14ac:dyDescent="0.3">
      <c r="B1" s="5" t="s">
        <v>401</v>
      </c>
    </row>
    <row r="2" spans="2:40" x14ac:dyDescent="0.3">
      <c r="B2" s="301" t="s">
        <v>399</v>
      </c>
    </row>
    <row r="3" spans="2:40" x14ac:dyDescent="0.3">
      <c r="C3" s="46" t="s">
        <v>0</v>
      </c>
    </row>
    <row r="4" spans="2:40" x14ac:dyDescent="0.3">
      <c r="C4" s="10" t="s">
        <v>5</v>
      </c>
    </row>
    <row r="5" spans="2:40" x14ac:dyDescent="0.3">
      <c r="C5" s="10"/>
    </row>
    <row r="6" spans="2:40" x14ac:dyDescent="0.3">
      <c r="B6" s="155" t="s">
        <v>317</v>
      </c>
      <c r="C6" s="35"/>
    </row>
    <row r="7" spans="2:40" x14ac:dyDescent="0.3">
      <c r="B7" s="155" t="s">
        <v>318</v>
      </c>
      <c r="C7" s="35"/>
    </row>
    <row r="8" spans="2:40" x14ac:dyDescent="0.3">
      <c r="B8" s="155" t="s">
        <v>319</v>
      </c>
      <c r="C8" s="35"/>
    </row>
    <row r="9" spans="2:40" x14ac:dyDescent="0.3">
      <c r="B9" s="155" t="s">
        <v>320</v>
      </c>
      <c r="C9" s="35"/>
    </row>
    <row r="10" spans="2:40" x14ac:dyDescent="0.3">
      <c r="B10" s="155" t="s">
        <v>321</v>
      </c>
      <c r="C10" s="35">
        <v>-906718</v>
      </c>
    </row>
    <row r="11" spans="2:40" ht="15" customHeight="1" thickBot="1" x14ac:dyDescent="0.35">
      <c r="B11" s="155" t="s">
        <v>322</v>
      </c>
      <c r="C11" s="34"/>
      <c r="AN11" s="107"/>
    </row>
    <row r="12" spans="2:40" ht="15" customHeight="1" thickBot="1" x14ac:dyDescent="0.35">
      <c r="B12" s="155" t="s">
        <v>57</v>
      </c>
      <c r="C12" s="33">
        <f>SUM(C6:C11)</f>
        <v>-906718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92D050"/>
  </sheetPr>
  <dimension ref="B1:C11"/>
  <sheetViews>
    <sheetView showGridLines="0" workbookViewId="0">
      <selection activeCell="C11" sqref="C11"/>
    </sheetView>
  </sheetViews>
  <sheetFormatPr baseColWidth="10" defaultRowHeight="14.4" x14ac:dyDescent="0.3"/>
  <cols>
    <col min="2" max="2" width="40.33203125" customWidth="1"/>
    <col min="3" max="3" width="13.77734375" customWidth="1"/>
    <col min="4" max="4" width="12.21875" customWidth="1"/>
  </cols>
  <sheetData>
    <row r="1" spans="2:3" x14ac:dyDescent="0.3">
      <c r="B1" s="5" t="s">
        <v>316</v>
      </c>
    </row>
    <row r="2" spans="2:3" x14ac:dyDescent="0.3">
      <c r="B2" s="301" t="s">
        <v>400</v>
      </c>
    </row>
    <row r="3" spans="2:3" x14ac:dyDescent="0.3">
      <c r="B3" s="380"/>
      <c r="C3" s="46" t="s">
        <v>101</v>
      </c>
    </row>
    <row r="4" spans="2:3" x14ac:dyDescent="0.3">
      <c r="B4" s="370"/>
      <c r="C4" s="10" t="s">
        <v>5</v>
      </c>
    </row>
    <row r="5" spans="2:3" x14ac:dyDescent="0.3">
      <c r="B5" s="1"/>
      <c r="C5" s="10"/>
    </row>
    <row r="6" spans="2:3" x14ac:dyDescent="0.3">
      <c r="B6" s="155" t="s">
        <v>323</v>
      </c>
      <c r="C6" s="35">
        <v>31295</v>
      </c>
    </row>
    <row r="7" spans="2:3" x14ac:dyDescent="0.3">
      <c r="B7" s="155" t="s">
        <v>428</v>
      </c>
      <c r="C7" s="35">
        <v>519936</v>
      </c>
    </row>
    <row r="8" spans="2:3" x14ac:dyDescent="0.3">
      <c r="B8" s="155" t="s">
        <v>324</v>
      </c>
      <c r="C8" s="35">
        <v>906718</v>
      </c>
    </row>
    <row r="9" spans="2:3" x14ac:dyDescent="0.3">
      <c r="B9" s="155" t="s">
        <v>325</v>
      </c>
      <c r="C9" s="35"/>
    </row>
    <row r="10" spans="2:3" ht="15" customHeight="1" thickBot="1" x14ac:dyDescent="0.35">
      <c r="B10" s="155" t="s">
        <v>326</v>
      </c>
      <c r="C10" s="34">
        <v>379617</v>
      </c>
    </row>
    <row r="11" spans="2:3" ht="15" customHeight="1" thickBot="1" x14ac:dyDescent="0.35">
      <c r="B11" s="155" t="s">
        <v>57</v>
      </c>
      <c r="C11" s="33">
        <f>SUM(C6:C10)</f>
        <v>1837566</v>
      </c>
    </row>
  </sheetData>
  <mergeCells count="1">
    <mergeCell ref="B3:B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E3:J33"/>
  <sheetViews>
    <sheetView showGridLines="0" tabSelected="1" workbookViewId="0">
      <selection activeCell="H33" sqref="H33"/>
    </sheetView>
  </sheetViews>
  <sheetFormatPr baseColWidth="10" defaultRowHeight="14.4" x14ac:dyDescent="0.3"/>
  <cols>
    <col min="5" max="5" width="32.6640625" customWidth="1"/>
    <col min="6" max="6" width="15.21875" customWidth="1"/>
    <col min="7" max="8" width="15.109375" customWidth="1"/>
  </cols>
  <sheetData>
    <row r="3" spans="5:8" x14ac:dyDescent="0.3">
      <c r="E3" s="301" t="s">
        <v>402</v>
      </c>
    </row>
    <row r="4" spans="5:8" x14ac:dyDescent="0.3">
      <c r="E4" s="256" t="s">
        <v>327</v>
      </c>
    </row>
    <row r="6" spans="5:8" x14ac:dyDescent="0.3">
      <c r="E6" s="382"/>
      <c r="F6" s="10"/>
      <c r="G6" s="10" t="s">
        <v>328</v>
      </c>
      <c r="H6" s="10" t="s">
        <v>329</v>
      </c>
    </row>
    <row r="7" spans="5:8" x14ac:dyDescent="0.3">
      <c r="E7" s="370"/>
      <c r="F7" s="10" t="s">
        <v>101</v>
      </c>
      <c r="G7" s="10" t="s">
        <v>330</v>
      </c>
      <c r="H7" s="10" t="s">
        <v>331</v>
      </c>
    </row>
    <row r="8" spans="5:8" x14ac:dyDescent="0.3">
      <c r="E8" s="441"/>
      <c r="F8" s="442" t="s">
        <v>5</v>
      </c>
      <c r="G8" s="442" t="s">
        <v>5</v>
      </c>
      <c r="H8" s="442" t="s">
        <v>5</v>
      </c>
    </row>
    <row r="9" spans="5:8" x14ac:dyDescent="0.3">
      <c r="E9" s="443" t="s">
        <v>332</v>
      </c>
      <c r="F9" s="444">
        <v>13370059</v>
      </c>
      <c r="G9" s="444">
        <v>-1337006</v>
      </c>
      <c r="H9" s="444">
        <f>+F9*0.1</f>
        <v>1337005.9000000001</v>
      </c>
    </row>
    <row r="10" spans="5:8" x14ac:dyDescent="0.3">
      <c r="E10" s="443" t="s">
        <v>333</v>
      </c>
      <c r="F10" s="444">
        <v>140141</v>
      </c>
      <c r="G10" s="444">
        <v>-14014</v>
      </c>
      <c r="H10" s="444">
        <v>14014</v>
      </c>
    </row>
    <row r="11" spans="5:8" x14ac:dyDescent="0.3">
      <c r="E11" s="212" t="s">
        <v>334</v>
      </c>
      <c r="F11" s="445">
        <v>29426419</v>
      </c>
      <c r="G11" s="445">
        <v>-2942642</v>
      </c>
      <c r="H11" s="445">
        <v>2942642</v>
      </c>
    </row>
    <row r="12" spans="5:8" ht="22.8" customHeight="1" x14ac:dyDescent="0.3">
      <c r="E12" s="340" t="s">
        <v>335</v>
      </c>
      <c r="F12" s="445">
        <f>SUM(F9:F11)</f>
        <v>42936619</v>
      </c>
      <c r="G12" s="445">
        <f>SUM(G9:G11)</f>
        <v>-4293662</v>
      </c>
      <c r="H12" s="445">
        <f>SUM(H9:H11)</f>
        <v>4293661.9000000004</v>
      </c>
    </row>
    <row r="15" spans="5:8" x14ac:dyDescent="0.3">
      <c r="E15" s="301" t="s">
        <v>403</v>
      </c>
    </row>
    <row r="16" spans="5:8" x14ac:dyDescent="0.3">
      <c r="E16" s="256" t="s">
        <v>336</v>
      </c>
    </row>
    <row r="18" spans="5:10" x14ac:dyDescent="0.3">
      <c r="E18" s="383"/>
      <c r="F18" s="381" t="s">
        <v>337</v>
      </c>
      <c r="G18" s="9" t="s">
        <v>338</v>
      </c>
      <c r="H18" s="333" t="s">
        <v>339</v>
      </c>
    </row>
    <row r="19" spans="5:10" x14ac:dyDescent="0.3">
      <c r="E19" s="374"/>
      <c r="F19" s="374"/>
      <c r="G19" s="334" t="s">
        <v>5</v>
      </c>
      <c r="H19" s="334" t="s">
        <v>5</v>
      </c>
    </row>
    <row r="20" spans="5:10" x14ac:dyDescent="0.3">
      <c r="E20" s="336" t="s">
        <v>340</v>
      </c>
      <c r="F20" s="337">
        <v>0</v>
      </c>
      <c r="G20" s="338">
        <f>+F20*0.1</f>
        <v>0</v>
      </c>
      <c r="H20" s="338">
        <f>+F20*-0.1</f>
        <v>0</v>
      </c>
    </row>
    <row r="21" spans="5:10" ht="22.8" customHeight="1" x14ac:dyDescent="0.3">
      <c r="E21" s="339" t="s">
        <v>335</v>
      </c>
      <c r="F21" s="335"/>
      <c r="G21" s="332">
        <f>+G20</f>
        <v>0</v>
      </c>
      <c r="H21" s="332">
        <f>+H20</f>
        <v>0</v>
      </c>
    </row>
    <row r="24" spans="5:10" x14ac:dyDescent="0.3">
      <c r="E24" s="341" t="s">
        <v>404</v>
      </c>
    </row>
    <row r="25" spans="5:10" x14ac:dyDescent="0.3">
      <c r="E25" s="299" t="s">
        <v>417</v>
      </c>
    </row>
    <row r="27" spans="5:10" ht="15" thickBot="1" x14ac:dyDescent="0.35">
      <c r="E27" s="325"/>
    </row>
    <row r="28" spans="5:10" ht="21" thickBot="1" x14ac:dyDescent="0.35">
      <c r="E28" s="343" t="s">
        <v>405</v>
      </c>
      <c r="F28" s="350" t="s">
        <v>60</v>
      </c>
      <c r="G28" s="351" t="s">
        <v>406</v>
      </c>
      <c r="H28" s="351" t="s">
        <v>407</v>
      </c>
      <c r="I28" s="342" t="s">
        <v>408</v>
      </c>
      <c r="J28" s="342" t="s">
        <v>409</v>
      </c>
    </row>
    <row r="29" spans="5:10" x14ac:dyDescent="0.3">
      <c r="E29" s="348" t="s">
        <v>170</v>
      </c>
      <c r="F29" s="344" t="s">
        <v>168</v>
      </c>
      <c r="G29" s="386">
        <v>1011612883</v>
      </c>
      <c r="H29" s="386">
        <v>1129905748</v>
      </c>
      <c r="I29" s="345">
        <v>44971</v>
      </c>
      <c r="J29" s="345">
        <v>47569</v>
      </c>
    </row>
    <row r="30" spans="5:10" x14ac:dyDescent="0.3">
      <c r="E30" s="53" t="s">
        <v>170</v>
      </c>
      <c r="F30" s="344" t="s">
        <v>161</v>
      </c>
      <c r="G30" s="386">
        <v>59875</v>
      </c>
      <c r="H30" s="386">
        <v>2276276634</v>
      </c>
      <c r="I30" s="345">
        <v>44949</v>
      </c>
      <c r="J30" s="345">
        <v>47908</v>
      </c>
    </row>
    <row r="31" spans="5:10" x14ac:dyDescent="0.3">
      <c r="E31" s="204" t="s">
        <v>410</v>
      </c>
      <c r="F31" s="344" t="s">
        <v>168</v>
      </c>
      <c r="G31" s="386">
        <v>841822000</v>
      </c>
      <c r="H31" s="386">
        <v>841822000</v>
      </c>
      <c r="I31" s="345">
        <v>45826</v>
      </c>
      <c r="J31" s="345">
        <v>46696</v>
      </c>
    </row>
    <row r="32" spans="5:10" ht="15" thickBot="1" x14ac:dyDescent="0.35">
      <c r="E32" s="346" t="s">
        <v>411</v>
      </c>
      <c r="F32" s="247" t="s">
        <v>161</v>
      </c>
      <c r="G32" s="410">
        <v>12859</v>
      </c>
      <c r="H32" s="410">
        <v>510854687</v>
      </c>
      <c r="I32" s="347">
        <v>45264</v>
      </c>
      <c r="J32" s="347">
        <v>46179</v>
      </c>
    </row>
    <row r="33" spans="5:8" ht="15.6" x14ac:dyDescent="0.3">
      <c r="E33" s="329"/>
      <c r="F33" s="349"/>
      <c r="G33" s="234" t="s">
        <v>57</v>
      </c>
      <c r="H33" s="436">
        <f>SUM(H29:H32)</f>
        <v>4758859069</v>
      </c>
    </row>
  </sheetData>
  <mergeCells count="3">
    <mergeCell ref="F18:F19"/>
    <mergeCell ref="E6:E8"/>
    <mergeCell ref="E18:E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Efectivo</vt:lpstr>
      <vt:lpstr>Deudores</vt:lpstr>
      <vt:lpstr>Inventarios</vt:lpstr>
      <vt:lpstr>Activo Fijo</vt:lpstr>
      <vt:lpstr>Activo por derechos de uso</vt:lpstr>
      <vt:lpstr>Pasivos derechos de  uso</vt:lpstr>
      <vt:lpstr>Pasivos financieros </vt:lpstr>
      <vt:lpstr>Cuentas por pagar</vt:lpstr>
      <vt:lpstr>Impuestos Diferidos</vt:lpstr>
      <vt:lpstr>Inversion en relacionadas</vt:lpstr>
      <vt:lpstr>Empresas relacionadas</vt:lpstr>
      <vt:lpstr>Patrimonio</vt:lpstr>
      <vt:lpstr>Otros gastos por funcion</vt:lpstr>
      <vt:lpstr>Otros ingresos por funcion</vt:lpstr>
      <vt:lpstr>Cuadros adicionales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Constanza Loreto Garrido Coloma</dc:creator>
  <cp:lastModifiedBy>Cristiàn Saavedra</cp:lastModifiedBy>
  <cp:lastPrinted>2024-01-30T17:49:35Z</cp:lastPrinted>
  <dcterms:created xsi:type="dcterms:W3CDTF">2023-05-10T14:20:27Z</dcterms:created>
  <dcterms:modified xsi:type="dcterms:W3CDTF">2026-10-07T20:49:26Z</dcterms:modified>
</cp:coreProperties>
</file>