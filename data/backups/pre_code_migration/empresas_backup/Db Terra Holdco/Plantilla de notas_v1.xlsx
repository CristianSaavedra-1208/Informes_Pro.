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5" activeTab="17" autoFilterDateGrouping="1"/>
  </bookViews>
  <sheets>
    <sheet xmlns:r="http://schemas.openxmlformats.org/officeDocument/2006/relationships" name="Ajuste Manual Noviembre 2023" sheetId="1" state="hidden" r:id="rId1"/>
    <sheet xmlns:r="http://schemas.openxmlformats.org/officeDocument/2006/relationships" name="Ajustes Manuales" sheetId="2" state="hidden" r:id="rId2"/>
    <sheet xmlns:r="http://schemas.openxmlformats.org/officeDocument/2006/relationships" name="Efectivo" sheetId="3" state="visible" r:id="rId3"/>
    <sheet xmlns:r="http://schemas.openxmlformats.org/officeDocument/2006/relationships" name="Otros activos no financieros, c" sheetId="4" state="visible" r:id="rId4"/>
    <sheet xmlns:r="http://schemas.openxmlformats.org/officeDocument/2006/relationships" name="Deudores" sheetId="5" state="visible" r:id="rId5"/>
    <sheet xmlns:r="http://schemas.openxmlformats.org/officeDocument/2006/relationships" name="Inventarios" sheetId="6" state="visible" r:id="rId6"/>
    <sheet xmlns:r="http://schemas.openxmlformats.org/officeDocument/2006/relationships" name="Intangibles" sheetId="7" state="visible" r:id="rId7"/>
    <sheet xmlns:r="http://schemas.openxmlformats.org/officeDocument/2006/relationships" name="Activo Fijo" sheetId="8" state="visible" r:id="rId8"/>
    <sheet xmlns:r="http://schemas.openxmlformats.org/officeDocument/2006/relationships" name="Activo por derechos de uso" sheetId="9" state="visible" r:id="rId9"/>
    <sheet xmlns:r="http://schemas.openxmlformats.org/officeDocument/2006/relationships" name="Activos financieros" sheetId="10" state="visible" r:id="rId10"/>
    <sheet xmlns:r="http://schemas.openxmlformats.org/officeDocument/2006/relationships" name="Plusvalia" sheetId="11" state="visible" r:id="rId11"/>
    <sheet xmlns:r="http://schemas.openxmlformats.org/officeDocument/2006/relationships" name="Impuestos corrientes" sheetId="12" state="visible" r:id="rId12"/>
    <sheet xmlns:r="http://schemas.openxmlformats.org/officeDocument/2006/relationships" name="Pasivos derechos de  uso" sheetId="13" state="visible" r:id="rId13"/>
    <sheet xmlns:r="http://schemas.openxmlformats.org/officeDocument/2006/relationships" name="Pasivos financieros " sheetId="14" state="visible" r:id="rId14"/>
    <sheet xmlns:r="http://schemas.openxmlformats.org/officeDocument/2006/relationships" name="Cuentas por pagar" sheetId="15" state="visible" r:id="rId15"/>
    <sheet xmlns:r="http://schemas.openxmlformats.org/officeDocument/2006/relationships" name="Provisiones" sheetId="16" state="visible" r:id="rId16"/>
    <sheet xmlns:r="http://schemas.openxmlformats.org/officeDocument/2006/relationships" name="Impuestos Diferidos" sheetId="17" state="visible" r:id="rId17"/>
    <sheet xmlns:r="http://schemas.openxmlformats.org/officeDocument/2006/relationships" name="Inversion en relacionadas" sheetId="18" state="visible" r:id="rId18"/>
    <sheet xmlns:r="http://schemas.openxmlformats.org/officeDocument/2006/relationships" name="Empresas relacionadas" sheetId="19" state="visible" r:id="rId19"/>
    <sheet xmlns:r="http://schemas.openxmlformats.org/officeDocument/2006/relationships" name="Patrimonio" sheetId="20" state="visible" r:id="rId20"/>
    <sheet xmlns:r="http://schemas.openxmlformats.org/officeDocument/2006/relationships" name="Ingresos Ctos operacion" sheetId="21" state="visible" r:id="rId21"/>
    <sheet xmlns:r="http://schemas.openxmlformats.org/officeDocument/2006/relationships" name="Nota Cambios contables" sheetId="22" state="hidden" r:id="rId22"/>
    <sheet xmlns:r="http://schemas.openxmlformats.org/officeDocument/2006/relationships" name="Nota reexpresion" sheetId="23" state="hidden" r:id="rId23"/>
    <sheet xmlns:r="http://schemas.openxmlformats.org/officeDocument/2006/relationships" name="Gtos Adm" sheetId="24" state="visible" r:id="rId24"/>
    <sheet xmlns:r="http://schemas.openxmlformats.org/officeDocument/2006/relationships" name="DC y Reajustes" sheetId="25" state="visible" r:id="rId25"/>
    <sheet xmlns:r="http://schemas.openxmlformats.org/officeDocument/2006/relationships" name="Costos e ingresos Financieros" sheetId="26" state="visible" r:id="rId26"/>
    <sheet xmlns:r="http://schemas.openxmlformats.org/officeDocument/2006/relationships" name="Otros gastos por funcion" sheetId="27" state="visible" r:id="rId27"/>
    <sheet xmlns:r="http://schemas.openxmlformats.org/officeDocument/2006/relationships" name="Otros ingresos por funcion" sheetId="28" state="visible" r:id="rId28"/>
    <sheet xmlns:r="http://schemas.openxmlformats.org/officeDocument/2006/relationships" name="Nota de Riesgo" sheetId="29" state="visible" r:id="rId29"/>
    <sheet xmlns:r="http://schemas.openxmlformats.org/officeDocument/2006/relationships" name="BCE final 2022" sheetId="30" state="hidden" r:id="rId30"/>
    <sheet xmlns:r="http://schemas.openxmlformats.org/officeDocument/2006/relationships" name="Calculo RLI" sheetId="31" state="hidden" r:id="rId31"/>
    <sheet xmlns:r="http://schemas.openxmlformats.org/officeDocument/2006/relationships" name="PPA v3_04 Abril" sheetId="32" state="hidden" r:id="rId32"/>
    <sheet xmlns:r="http://schemas.openxmlformats.org/officeDocument/2006/relationships" name="Ajuste Cartera Clientes 2022" sheetId="33" state="hidden" r:id="rId33"/>
    <sheet xmlns:r="http://schemas.openxmlformats.org/officeDocument/2006/relationships" name="Segmentos" sheetId="34" state="visible" r:id="rId34"/>
  </sheets>
  <definedNames>
    <definedName name="_1PAR">#REF!</definedName>
    <definedName name="_2C">#REF!</definedName>
    <definedName name="_3C">#REF!</definedName>
    <definedName name="_4C">#REF!</definedName>
    <definedName name="_9C">#REF!</definedName>
    <definedName name="_BAS1">#REF!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_impresión_IM">#REF!</definedName>
    <definedName name="ANEXO3A">#REF!</definedName>
    <definedName name="Area">#REF!</definedName>
    <definedName name="AUDBASISCLPFC">#REF!</definedName>
    <definedName name="AUDBASISCLPFD">#REF!</definedName>
    <definedName name="AUDBASISNCLPFC">#REF!</definedName>
    <definedName name="AUDBASISNCLPFD">#REF!</definedName>
    <definedName name="AUDBASISUSDFC">#REF!</definedName>
    <definedName name="AUDBASISUSDFD">#REF!</definedName>
    <definedName name="ayu">#REF!</definedName>
    <definedName name="BAS">#REF!</definedName>
    <definedName name="_xlnm.Database">#REF!</definedName>
    <definedName name="Bins__aisi304_steel_lining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RLBASISCLPFC">#REF!</definedName>
    <definedName name="BRLBASISCLPFD">#REF!</definedName>
    <definedName name="BRLBASISNCLPFC">#REF!</definedName>
    <definedName name="BRLBASISNCLPFD">#REF!</definedName>
    <definedName name="BRLBASISUSDFC">#REF!</definedName>
    <definedName name="BRLBASISUSDFD">#REF!</definedName>
    <definedName name="CADBASISCLPFC">#REF!</definedName>
    <definedName name="CADBASISCLPFD">#REF!</definedName>
    <definedName name="CADBASISNCLPFC">#REF!</definedName>
    <definedName name="CADBASISNCLPFD">#REF!</definedName>
    <definedName name="CADBASISUSDFC">#REF!</definedName>
    <definedName name="CADBASISUSDFD">#REF!</definedName>
    <definedName name="CADEYREG">#REF!</definedName>
    <definedName name="cap">#REF!</definedName>
    <definedName name="car">#REF!</definedName>
    <definedName name="cat">#REF!</definedName>
    <definedName name="CATEG">#REF!</definedName>
    <definedName name="CEDEYREG">#REF!</definedName>
    <definedName name="CHFBASISCLPFC">#REF!</definedName>
    <definedName name="CHFBASISCLPFD">#REF!</definedName>
    <definedName name="CHFBASISNCLPFC">#REF!</definedName>
    <definedName name="CHFBASISNCLPFD">#REF!</definedName>
    <definedName name="CHFBASISUSDFC">#REF!</definedName>
    <definedName name="CHFBASISUSDFD">#REF!</definedName>
    <definedName name="Ciwil_work">#REF!</definedName>
    <definedName name="CNYBASISCLPFC">#REF!</definedName>
    <definedName name="CNYBASISCLPFD">#REF!</definedName>
    <definedName name="CNYBASISNCLPFC">#REF!</definedName>
    <definedName name="CNYBASISNCLPFD">#REF!</definedName>
    <definedName name="CNYBASISUSDFC">#REF!</definedName>
    <definedName name="CNYBASISUSDFD">#REF!</definedName>
    <definedName name="conv_t">#REF!</definedName>
    <definedName name="COPBASISCLPFC">#REF!</definedName>
    <definedName name="COPBASISCLPFD">#REF!</definedName>
    <definedName name="COPBASISNCLPFC">#REF!</definedName>
    <definedName name="COPBASISNCLPFD">#REF!</definedName>
    <definedName name="COPBASISUSDFC">#REF!</definedName>
    <definedName name="COPBASISUSDFD">#REF!</definedName>
    <definedName name="cuentas">#REF!</definedName>
    <definedName name="CURVA_COLL">#REF!</definedName>
    <definedName name="curva_fra">#REF!</definedName>
    <definedName name="Database">#REF!</definedName>
    <definedName name="deltah">#REF!</definedName>
    <definedName name="DKKBASISCLPFC">#REF!</definedName>
    <definedName name="DKKBASISCLPFD">#REF!</definedName>
    <definedName name="DKKBASISNCLPFC">#REF!</definedName>
    <definedName name="DKKBASISNCLPFD">#REF!</definedName>
    <definedName name="DKKBASISUSDFC">#REF!</definedName>
    <definedName name="DKKBASISUSDFD">#REF!</definedName>
    <definedName name="dsf">#REF!</definedName>
    <definedName name="EE">#REF!</definedName>
    <definedName name="effactor260">#REF!</definedName>
    <definedName name="FCD">#REF!</definedName>
    <definedName name="FECHAUF">#REF!</definedName>
    <definedName name="FX">#REF!</definedName>
    <definedName name="gbp">#REF!</definedName>
    <definedName name="GBPBASISCLPFC">#REF!</definedName>
    <definedName name="GBPBASISCLPFD">#REF!</definedName>
    <definedName name="GBPBASISNCLPFC">#REF!</definedName>
    <definedName name="GBPBASISNCLPFD">#REF!</definedName>
    <definedName name="GBPBASISUSDFC">#REF!</definedName>
    <definedName name="GBPBASISUSDFD">#REF!</definedName>
    <definedName name="grafos">#REF!</definedName>
    <definedName name="H">#REF!</definedName>
    <definedName name="hc">#REF!</definedName>
    <definedName name="HH__Kg_Fe">#REF!</definedName>
    <definedName name="HH__m3_Ho__NO_Incl_Fe">#REF!</definedName>
    <definedName name="HH_Kg_fe">#REF!</definedName>
    <definedName name="HH_m3_Ho_sFe">#REF!</definedName>
    <definedName name="HKDBASISCLPFC">#REF!</definedName>
    <definedName name="HKDBASISCLPFD">#REF!</definedName>
    <definedName name="HKDBASISNCLPFC">#REF!</definedName>
    <definedName name="HKDBASISNCLPFD">#REF!</definedName>
    <definedName name="HKDBASISUSDFC">#REF!</definedName>
    <definedName name="HKDBASISUSDFD">#REF!</definedName>
    <definedName name="hn">#REF!</definedName>
    <definedName name="Imprimir_área_IM">#REF!</definedName>
    <definedName name="Impuesto">#REF!</definedName>
    <definedName name="index_2">#REF!</definedName>
    <definedName name="INDICE_INI">#REF!</definedName>
    <definedName name="Installation">#REF!</definedName>
    <definedName name="Installation___Electrical">#REF!</definedName>
    <definedName name="Installation___Instr">#REF!</definedName>
    <definedName name="installationA">#REF!</definedName>
    <definedName name="installationpiping">#REF!</definedName>
    <definedName name="InstallationTele">#REF!</definedName>
    <definedName name="Interés">#REF!</definedName>
    <definedName name="Itemizado_EE">#REF!</definedName>
    <definedName name="Itemizado_IN">#REF!</definedName>
    <definedName name="Itemizado_Me">#REF!</definedName>
    <definedName name="Itemizado_Me1">#REF!</definedName>
    <definedName name="J1927.">#REF!</definedName>
    <definedName name="JPYBASISCLPFC">#REF!</definedName>
    <definedName name="JPYBASISCLPFD">#REF!</definedName>
    <definedName name="JPYBASISNCLPFC">#REF!</definedName>
    <definedName name="JPYBASISNCLPFD">#REF!</definedName>
    <definedName name="JPYBASISUSDFC">#REF!</definedName>
    <definedName name="JPYBASISUSDFD">#REF!</definedName>
    <definedName name="llave">#REF!</definedName>
    <definedName name="LLAVE2">#REF!</definedName>
    <definedName name="MAG">#REF!</definedName>
    <definedName name="MR">#REF!</definedName>
    <definedName name="MXNBASISCLPFC">#REF!</definedName>
    <definedName name="MXNBASISCLPFD">#REF!</definedName>
    <definedName name="MXNBASISNCLPFC">#REF!</definedName>
    <definedName name="MXNBASISNCLPFD">#REF!</definedName>
    <definedName name="MXNBASISUSDFC">#REF!</definedName>
    <definedName name="MXNBASISUSDFD">#REF!</definedName>
    <definedName name="NOKBASISCLPFC">#REF!</definedName>
    <definedName name="NOKBASISCLPFD">#REF!</definedName>
    <definedName name="NOKBASISNCLPFC">#REF!</definedName>
    <definedName name="NOKBASISNCLPFD">#REF!</definedName>
    <definedName name="NOKBASISUSDFC">#REF!</definedName>
    <definedName name="NOKBASISUSDFD">#REF!</definedName>
    <definedName name="PED">#REF!</definedName>
    <definedName name="PENBASISCLPFC">#REF!</definedName>
    <definedName name="PENBASISCLPFD">#REF!</definedName>
    <definedName name="PENBASISNCLPFC">#REF!</definedName>
    <definedName name="PENBASISNCLPFD">#REF!</definedName>
    <definedName name="PENBASISUSDFC">#REF!</definedName>
    <definedName name="PENBASISUSDFD">#REF!</definedName>
    <definedName name="periodo_fecha">#REF!</definedName>
    <definedName name="PREC">#REF!</definedName>
    <definedName name="Print_Area_MI">#REF!</definedName>
    <definedName name="PRINT_TITLES_MI">#REF!</definedName>
    <definedName name="PROV">#REF!</definedName>
    <definedName name="RESERVA">#REF!</definedName>
    <definedName name="RESERVA1">#REF!</definedName>
    <definedName name="Rt">#REF!</definedName>
    <definedName name="SEKBASISCLPFC">#REF!</definedName>
    <definedName name="SEKBASISCLPFD">#REF!</definedName>
    <definedName name="SEKBASISNCLPFC">#REF!</definedName>
    <definedName name="SEKBASISNCLPFD">#REF!</definedName>
    <definedName name="SEKBASISUSDFC">#REF!</definedName>
    <definedName name="SEKBASISUSDFD">#REF!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T">#REF!</definedName>
    <definedName name="tanks_AISI316">#REF!</definedName>
    <definedName name="TIT">#REF!</definedName>
    <definedName name="Títulos_a_imprimir_IM">#REF!</definedName>
    <definedName name="totalarea">#REF!</definedName>
    <definedName name="usd">#REF!</definedName>
    <definedName name="USD__Kg_Fe">#REF!</definedName>
    <definedName name="USD__m3_Ho__NO_Incl_Fe">#REF!</definedName>
    <definedName name="USD_hh_Erect">#REF!</definedName>
    <definedName name="USD_Ho_sFe">#REF!</definedName>
    <definedName name="USD_Kg_fe">#REF!</definedName>
    <definedName name="usd_peso">#REF!</definedName>
    <definedName name="WATER">#REF!</definedName>
    <definedName name="_Hlk129972316" localSheetId="21">'Nota Cambios contables'!#REF!</definedName>
    <definedName name="_1PAR" localSheetId="31">#REF!</definedName>
    <definedName name="_2C" localSheetId="31">#REF!</definedName>
    <definedName name="_3C" localSheetId="31">#REF!</definedName>
    <definedName name="_4C" localSheetId="31">#REF!</definedName>
    <definedName name="_9C" localSheetId="31">#REF!</definedName>
    <definedName name="_BAS1" localSheetId="31">#REF!</definedName>
    <definedName name="_Regression_Out" localSheetId="31" hidden="1">#REF!</definedName>
    <definedName name="_Regression_X" localSheetId="31" hidden="1">#REF!</definedName>
    <definedName name="_Regression_Y" localSheetId="31" hidden="1">#REF!</definedName>
    <definedName name="A_impresión_IM" localSheetId="31">#REF!</definedName>
    <definedName name="ANEXO3A" localSheetId="31">#REF!</definedName>
    <definedName name="AUDBASISCLPFC" localSheetId="31">#REF!</definedName>
    <definedName name="AUDBASISCLPFD" localSheetId="31">#REF!</definedName>
    <definedName name="AUDBASISNCLPFC" localSheetId="31">#REF!</definedName>
    <definedName name="AUDBASISNCLPFD" localSheetId="31">#REF!</definedName>
    <definedName name="AUDBASISUSDFC" localSheetId="31">#REF!</definedName>
    <definedName name="AUDBASISUSDFD" localSheetId="31">#REF!</definedName>
    <definedName name="BAS" localSheetId="31">#REF!</definedName>
    <definedName name="BLPH1" localSheetId="31" hidden="1">#REF!</definedName>
    <definedName name="BLPH10" localSheetId="31" hidden="1">#REF!</definedName>
    <definedName name="BLPH11" localSheetId="31" hidden="1">#REF!</definedName>
    <definedName name="BLPH12" localSheetId="31" hidden="1">#REF!</definedName>
    <definedName name="BLPH13" localSheetId="31" hidden="1">#REF!</definedName>
    <definedName name="BLPH2" localSheetId="31" hidden="1">#REF!</definedName>
    <definedName name="BLPH3" localSheetId="31" hidden="1">#REF!</definedName>
    <definedName name="BLPH4" localSheetId="31" hidden="1">#REF!</definedName>
    <definedName name="BLPH5" localSheetId="31" hidden="1">#REF!</definedName>
    <definedName name="BLPH6" localSheetId="31" hidden="1">#REF!</definedName>
    <definedName name="BLPH7" localSheetId="31" hidden="1">#REF!</definedName>
    <definedName name="BLPH8" localSheetId="31" hidden="1">#REF!</definedName>
    <definedName name="BRLBASISCLPFC" localSheetId="31">#REF!</definedName>
    <definedName name="BRLBASISCLPFD" localSheetId="31">#REF!</definedName>
    <definedName name="BRLBASISNCLPFC" localSheetId="31">#REF!</definedName>
    <definedName name="BRLBASISNCLPFD" localSheetId="31">#REF!</definedName>
    <definedName name="BRLBASISUSDFC" localSheetId="31">#REF!</definedName>
    <definedName name="BRLBASISUSDFD" localSheetId="31">#REF!</definedName>
    <definedName name="CADBASISCLPFC" localSheetId="31">#REF!</definedName>
    <definedName name="CADBASISCLPFD" localSheetId="31">#REF!</definedName>
    <definedName name="CADBASISNCLPFC" localSheetId="31">#REF!</definedName>
    <definedName name="CADBASISNCLPFD" localSheetId="31">#REF!</definedName>
    <definedName name="CADBASISUSDFC" localSheetId="31">#REF!</definedName>
    <definedName name="CADBASISUSDFD" localSheetId="31">#REF!</definedName>
    <definedName name="CADEYREG" localSheetId="31">#REF!</definedName>
    <definedName name="cat" localSheetId="31">#REF!</definedName>
    <definedName name="CATEG" localSheetId="31">#REF!</definedName>
    <definedName name="CEDEYREG" localSheetId="31">#REF!</definedName>
    <definedName name="CHFBASISCLPFC" localSheetId="31">#REF!</definedName>
    <definedName name="CHFBASISCLPFD" localSheetId="31">#REF!</definedName>
    <definedName name="CHFBASISNCLPFC" localSheetId="31">#REF!</definedName>
    <definedName name="CHFBASISNCLPFD" localSheetId="31">#REF!</definedName>
    <definedName name="CHFBASISUSDFC" localSheetId="31">#REF!</definedName>
    <definedName name="CHFBASISUSDFD" localSheetId="31">#REF!</definedName>
    <definedName name="CNYBASISCLPFC" localSheetId="31">#REF!</definedName>
    <definedName name="CNYBASISCLPFD" localSheetId="31">#REF!</definedName>
    <definedName name="CNYBASISNCLPFC" localSheetId="31">#REF!</definedName>
    <definedName name="CNYBASISNCLPFD" localSheetId="31">#REF!</definedName>
    <definedName name="CNYBASISUSDFC" localSheetId="31">#REF!</definedName>
    <definedName name="CNYBASISUSDFD" localSheetId="31">#REF!</definedName>
    <definedName name="COPBASISCLPFC" localSheetId="31">#REF!</definedName>
    <definedName name="COPBASISCLPFD" localSheetId="31">#REF!</definedName>
    <definedName name="COPBASISNCLPFC" localSheetId="31">#REF!</definedName>
    <definedName name="COPBASISNCLPFD" localSheetId="31">#REF!</definedName>
    <definedName name="COPBASISUSDFC" localSheetId="31">#REF!</definedName>
    <definedName name="COPBASISUSDFD" localSheetId="31">#REF!</definedName>
    <definedName name="cuentas" localSheetId="31">#REF!</definedName>
    <definedName name="Database" localSheetId="31">#REF!</definedName>
    <definedName name="deltah" localSheetId="31">#REF!</definedName>
    <definedName name="DKKBASISCLPFC" localSheetId="31">#REF!</definedName>
    <definedName name="DKKBASISCLPFD" localSheetId="31">#REF!</definedName>
    <definedName name="DKKBASISNCLPFC" localSheetId="31">#REF!</definedName>
    <definedName name="DKKBASISNCLPFD" localSheetId="31">#REF!</definedName>
    <definedName name="DKKBASISUSDFC" localSheetId="31">#REF!</definedName>
    <definedName name="DKKBASISUSDFD" localSheetId="31">#REF!</definedName>
    <definedName name="dsf" localSheetId="31">#REF!</definedName>
    <definedName name="EE" localSheetId="31">#REF!</definedName>
    <definedName name="effactor260" localSheetId="31">#REF!</definedName>
    <definedName name="FCD" localSheetId="31">#REF!</definedName>
    <definedName name="GBPBASISCLPFC" localSheetId="31">#REF!</definedName>
    <definedName name="GBPBASISCLPFD" localSheetId="31">#REF!</definedName>
    <definedName name="GBPBASISNCLPFC" localSheetId="31">#REF!</definedName>
    <definedName name="GBPBASISNCLPFD" localSheetId="31">#REF!</definedName>
    <definedName name="GBPBASISUSDFC" localSheetId="31">#REF!</definedName>
    <definedName name="GBPBASISUSDFD" localSheetId="31">#REF!</definedName>
    <definedName name="grafos" localSheetId="31">#REF!</definedName>
    <definedName name="H" localSheetId="31">#REF!</definedName>
    <definedName name="hc" localSheetId="31">#REF!</definedName>
    <definedName name="HKDBASISCLPFC" localSheetId="31">#REF!</definedName>
    <definedName name="HKDBASISCLPFD" localSheetId="31">#REF!</definedName>
    <definedName name="HKDBASISNCLPFC" localSheetId="31">#REF!</definedName>
    <definedName name="HKDBASISNCLPFD" localSheetId="31">#REF!</definedName>
    <definedName name="HKDBASISUSDFC" localSheetId="31">#REF!</definedName>
    <definedName name="HKDBASISUSDFD" localSheetId="31">#REF!</definedName>
    <definedName name="hn" localSheetId="31">#REF!</definedName>
    <definedName name="Imprimir_área_IM" localSheetId="31">#REF!</definedName>
    <definedName name="Impuesto" localSheetId="31">#REF!</definedName>
    <definedName name="Interés" localSheetId="31">#REF!</definedName>
    <definedName name="Itemizado_EE" localSheetId="31">#REF!</definedName>
    <definedName name="Itemizado_IN" localSheetId="31">#REF!</definedName>
    <definedName name="Itemizado_Me" localSheetId="31">#REF!</definedName>
    <definedName name="Itemizado_Me1" localSheetId="31">#REF!</definedName>
    <definedName name="J1927." localSheetId="31">#REF!</definedName>
    <definedName name="JPYBASISCLPFC" localSheetId="31">#REF!</definedName>
    <definedName name="JPYBASISCLPFD" localSheetId="31">#REF!</definedName>
    <definedName name="JPYBASISNCLPFC" localSheetId="31">#REF!</definedName>
    <definedName name="JPYBASISNCLPFD" localSheetId="31">#REF!</definedName>
    <definedName name="JPYBASISUSDFC" localSheetId="31">#REF!</definedName>
    <definedName name="JPYBASISUSDFD" localSheetId="31">#REF!</definedName>
    <definedName name="llave" localSheetId="31">#REF!</definedName>
    <definedName name="MR" localSheetId="31">#REF!</definedName>
    <definedName name="MXNBASISCLPFC" localSheetId="31">#REF!</definedName>
    <definedName name="MXNBASISCLPFD" localSheetId="31">#REF!</definedName>
    <definedName name="MXNBASISNCLPFC" localSheetId="31">#REF!</definedName>
    <definedName name="MXNBASISNCLPFD" localSheetId="31">#REF!</definedName>
    <definedName name="MXNBASISUSDFC" localSheetId="31">#REF!</definedName>
    <definedName name="MXNBASISUSDFD" localSheetId="31">#REF!</definedName>
    <definedName name="NOKBASISCLPFC" localSheetId="31">#REF!</definedName>
    <definedName name="NOKBASISCLPFD" localSheetId="31">#REF!</definedName>
    <definedName name="NOKBASISNCLPFC" localSheetId="31">#REF!</definedName>
    <definedName name="NOKBASISNCLPFD" localSheetId="31">#REF!</definedName>
    <definedName name="NOKBASISUSDFC" localSheetId="31">#REF!</definedName>
    <definedName name="NOKBASISUSDFD" localSheetId="31">#REF!</definedName>
    <definedName name="PED" localSheetId="31">#REF!</definedName>
    <definedName name="PENBASISCLPFC" localSheetId="31">#REF!</definedName>
    <definedName name="PENBASISCLPFD" localSheetId="31">#REF!</definedName>
    <definedName name="PENBASISNCLPFC" localSheetId="31">#REF!</definedName>
    <definedName name="PENBASISNCLPFD" localSheetId="31">#REF!</definedName>
    <definedName name="PENBASISUSDFC" localSheetId="31">#REF!</definedName>
    <definedName name="PENBASISUSDFD" localSheetId="31">#REF!</definedName>
    <definedName name="Print_Area_MI" localSheetId="31">#REF!</definedName>
    <definedName name="PRINT_TITLES_MI" localSheetId="31">#REF!</definedName>
    <definedName name="PROV" localSheetId="31">#REF!</definedName>
    <definedName name="RESERVA" localSheetId="31">#REF!</definedName>
    <definedName name="RESERVA1" localSheetId="31">#REF!</definedName>
    <definedName name="Rt" localSheetId="31">#REF!</definedName>
    <definedName name="SEKBASISCLPFC" localSheetId="31">#REF!</definedName>
    <definedName name="SEKBASISCLPFD" localSheetId="31">#REF!</definedName>
    <definedName name="SEKBASISNCLPFC" localSheetId="31">#REF!</definedName>
    <definedName name="SEKBASISNCLPFD" localSheetId="31">#REF!</definedName>
    <definedName name="SEKBASISUSDFC" localSheetId="31">#REF!</definedName>
    <definedName name="SEKBASISUSDFD" localSheetId="31">#REF!</definedName>
    <definedName name="TIT" localSheetId="31">#REF!</definedName>
    <definedName name="Títulos_a_imprimir_IM" localSheetId="31">#REF!</definedName>
    <definedName name="totalarea" localSheetId="31">#REF!</definedName>
    <definedName name="WATER" localSheetId="31">#REF!</definedName>
    <definedName name="_1PAR" localSheetId="32">#REF!</definedName>
    <definedName name="_2C" localSheetId="32">#REF!</definedName>
    <definedName name="_3C" localSheetId="32">#REF!</definedName>
    <definedName name="_4C" localSheetId="32">#REF!</definedName>
    <definedName name="_9C" localSheetId="32">#REF!</definedName>
    <definedName name="_BAS1" localSheetId="32">#REF!</definedName>
    <definedName name="_Regression_Out" localSheetId="32" hidden="1">#REF!</definedName>
    <definedName name="_Regression_X" localSheetId="32" hidden="1">#REF!</definedName>
    <definedName name="_Regression_Y" localSheetId="32" hidden="1">#REF!</definedName>
    <definedName name="A_impresión_IM" localSheetId="32">#REF!</definedName>
    <definedName name="ANEXO3A" localSheetId="32">#REF!</definedName>
    <definedName name="AUDBASISCLPFC" localSheetId="32">#REF!</definedName>
    <definedName name="AUDBASISCLPFD" localSheetId="32">#REF!</definedName>
    <definedName name="AUDBASISNCLPFC" localSheetId="32">#REF!</definedName>
    <definedName name="AUDBASISNCLPFD" localSheetId="32">#REF!</definedName>
    <definedName name="AUDBASISUSDFC" localSheetId="32">#REF!</definedName>
    <definedName name="AUDBASISUSDFD" localSheetId="32">#REF!</definedName>
    <definedName name="BAS" localSheetId="32">#REF!</definedName>
    <definedName name="BLPH1" localSheetId="32" hidden="1">#REF!</definedName>
    <definedName name="BLPH10" localSheetId="32" hidden="1">#REF!</definedName>
    <definedName name="BLPH11" localSheetId="32" hidden="1">#REF!</definedName>
    <definedName name="BLPH12" localSheetId="32" hidden="1">#REF!</definedName>
    <definedName name="BLPH13" localSheetId="32" hidden="1">#REF!</definedName>
    <definedName name="BLPH2" localSheetId="32" hidden="1">#REF!</definedName>
    <definedName name="BLPH3" localSheetId="32" hidden="1">#REF!</definedName>
    <definedName name="BLPH4" localSheetId="32" hidden="1">#REF!</definedName>
    <definedName name="BLPH5" localSheetId="32" hidden="1">#REF!</definedName>
    <definedName name="BLPH6" localSheetId="32" hidden="1">#REF!</definedName>
    <definedName name="BLPH7" localSheetId="32" hidden="1">#REF!</definedName>
    <definedName name="BLPH8" localSheetId="32" hidden="1">#REF!</definedName>
    <definedName name="BRLBASISCLPFC" localSheetId="32">#REF!</definedName>
    <definedName name="BRLBASISCLPFD" localSheetId="32">#REF!</definedName>
    <definedName name="BRLBASISNCLPFC" localSheetId="32">#REF!</definedName>
    <definedName name="BRLBASISNCLPFD" localSheetId="32">#REF!</definedName>
    <definedName name="BRLBASISUSDFC" localSheetId="32">#REF!</definedName>
    <definedName name="BRLBASISUSDFD" localSheetId="32">#REF!</definedName>
    <definedName name="CADBASISCLPFC" localSheetId="32">#REF!</definedName>
    <definedName name="CADBASISCLPFD" localSheetId="32">#REF!</definedName>
    <definedName name="CADBASISNCLPFC" localSheetId="32">#REF!</definedName>
    <definedName name="CADBASISNCLPFD" localSheetId="32">#REF!</definedName>
    <definedName name="CADBASISUSDFC" localSheetId="32">#REF!</definedName>
    <definedName name="CADBASISUSDFD" localSheetId="32">#REF!</definedName>
    <definedName name="CADEYREG" localSheetId="32">#REF!</definedName>
    <definedName name="cat" localSheetId="32">#REF!</definedName>
    <definedName name="CATEG" localSheetId="32">#REF!</definedName>
    <definedName name="CEDEYREG" localSheetId="32">#REF!</definedName>
    <definedName name="CHFBASISCLPFC" localSheetId="32">#REF!</definedName>
    <definedName name="CHFBASISCLPFD" localSheetId="32">#REF!</definedName>
    <definedName name="CHFBASISNCLPFC" localSheetId="32">#REF!</definedName>
    <definedName name="CHFBASISNCLPFD" localSheetId="32">#REF!</definedName>
    <definedName name="CHFBASISUSDFC" localSheetId="32">#REF!</definedName>
    <definedName name="CHFBASISUSDFD" localSheetId="32">#REF!</definedName>
    <definedName name="CNYBASISCLPFC" localSheetId="32">#REF!</definedName>
    <definedName name="CNYBASISCLPFD" localSheetId="32">#REF!</definedName>
    <definedName name="CNYBASISNCLPFC" localSheetId="32">#REF!</definedName>
    <definedName name="CNYBASISNCLPFD" localSheetId="32">#REF!</definedName>
    <definedName name="CNYBASISUSDFC" localSheetId="32">#REF!</definedName>
    <definedName name="CNYBASISUSDFD" localSheetId="32">#REF!</definedName>
    <definedName name="COPBASISCLPFC" localSheetId="32">#REF!</definedName>
    <definedName name="COPBASISCLPFD" localSheetId="32">#REF!</definedName>
    <definedName name="COPBASISNCLPFC" localSheetId="32">#REF!</definedName>
    <definedName name="COPBASISNCLPFD" localSheetId="32">#REF!</definedName>
    <definedName name="COPBASISUSDFC" localSheetId="32">#REF!</definedName>
    <definedName name="COPBASISUSDFD" localSheetId="32">#REF!</definedName>
    <definedName name="cuentas" localSheetId="32">#REF!</definedName>
    <definedName name="Database" localSheetId="32">#REF!</definedName>
    <definedName name="deltah" localSheetId="32">#REF!</definedName>
    <definedName name="DKKBASISCLPFC" localSheetId="32">#REF!</definedName>
    <definedName name="DKKBASISCLPFD" localSheetId="32">#REF!</definedName>
    <definedName name="DKKBASISNCLPFC" localSheetId="32">#REF!</definedName>
    <definedName name="DKKBASISNCLPFD" localSheetId="32">#REF!</definedName>
    <definedName name="DKKBASISUSDFC" localSheetId="32">#REF!</definedName>
    <definedName name="DKKBASISUSDFD" localSheetId="32">#REF!</definedName>
    <definedName name="dsf" localSheetId="32">#REF!</definedName>
    <definedName name="EE" localSheetId="32">#REF!</definedName>
    <definedName name="effactor260" localSheetId="32">#REF!</definedName>
    <definedName name="FCD" localSheetId="32">#REF!</definedName>
    <definedName name="GBPBASISCLPFC" localSheetId="32">#REF!</definedName>
    <definedName name="GBPBASISCLPFD" localSheetId="32">#REF!</definedName>
    <definedName name="GBPBASISNCLPFC" localSheetId="32">#REF!</definedName>
    <definedName name="GBPBASISNCLPFD" localSheetId="32">#REF!</definedName>
    <definedName name="GBPBASISUSDFC" localSheetId="32">#REF!</definedName>
    <definedName name="GBPBASISUSDFD" localSheetId="32">#REF!</definedName>
    <definedName name="grafos" localSheetId="32">#REF!</definedName>
    <definedName name="H" localSheetId="32">#REF!</definedName>
    <definedName name="hc" localSheetId="32">#REF!</definedName>
    <definedName name="HKDBASISCLPFC" localSheetId="32">#REF!</definedName>
    <definedName name="HKDBASISCLPFD" localSheetId="32">#REF!</definedName>
    <definedName name="HKDBASISNCLPFC" localSheetId="32">#REF!</definedName>
    <definedName name="HKDBASISNCLPFD" localSheetId="32">#REF!</definedName>
    <definedName name="HKDBASISUSDFC" localSheetId="32">#REF!</definedName>
    <definedName name="HKDBASISUSDFD" localSheetId="32">#REF!</definedName>
    <definedName name="hn" localSheetId="32">#REF!</definedName>
    <definedName name="Imprimir_área_IM" localSheetId="32">#REF!</definedName>
    <definedName name="Impuesto" localSheetId="32">#REF!</definedName>
    <definedName name="Interés" localSheetId="32">#REF!</definedName>
    <definedName name="Itemizado_EE" localSheetId="32">#REF!</definedName>
    <definedName name="Itemizado_IN" localSheetId="32">#REF!</definedName>
    <definedName name="Itemizado_Me" localSheetId="32">#REF!</definedName>
    <definedName name="Itemizado_Me1" localSheetId="32">#REF!</definedName>
    <definedName name="J1927." localSheetId="32">#REF!</definedName>
    <definedName name="JPYBASISCLPFC" localSheetId="32">#REF!</definedName>
    <definedName name="JPYBASISCLPFD" localSheetId="32">#REF!</definedName>
    <definedName name="JPYBASISNCLPFC" localSheetId="32">#REF!</definedName>
    <definedName name="JPYBASISNCLPFD" localSheetId="32">#REF!</definedName>
    <definedName name="JPYBASISUSDFC" localSheetId="32">#REF!</definedName>
    <definedName name="JPYBASISUSDFD" localSheetId="32">#REF!</definedName>
    <definedName name="llave" localSheetId="32">#REF!</definedName>
    <definedName name="MR" localSheetId="32">#REF!</definedName>
    <definedName name="MXNBASISCLPFC" localSheetId="32">#REF!</definedName>
    <definedName name="MXNBASISCLPFD" localSheetId="32">#REF!</definedName>
    <definedName name="MXNBASISNCLPFC" localSheetId="32">#REF!</definedName>
    <definedName name="MXNBASISNCLPFD" localSheetId="32">#REF!</definedName>
    <definedName name="MXNBASISUSDFC" localSheetId="32">#REF!</definedName>
    <definedName name="MXNBASISUSDFD" localSheetId="32">#REF!</definedName>
    <definedName name="NOKBASISCLPFC" localSheetId="32">#REF!</definedName>
    <definedName name="NOKBASISCLPFD" localSheetId="32">#REF!</definedName>
    <definedName name="NOKBASISNCLPFC" localSheetId="32">#REF!</definedName>
    <definedName name="NOKBASISNCLPFD" localSheetId="32">#REF!</definedName>
    <definedName name="NOKBASISUSDFC" localSheetId="32">#REF!</definedName>
    <definedName name="NOKBASISUSDFD" localSheetId="32">#REF!</definedName>
    <definedName name="PED" localSheetId="32">#REF!</definedName>
    <definedName name="PENBASISCLPFC" localSheetId="32">#REF!</definedName>
    <definedName name="PENBASISCLPFD" localSheetId="32">#REF!</definedName>
    <definedName name="PENBASISNCLPFC" localSheetId="32">#REF!</definedName>
    <definedName name="PENBASISNCLPFD" localSheetId="32">#REF!</definedName>
    <definedName name="PENBASISUSDFC" localSheetId="32">#REF!</definedName>
    <definedName name="PENBASISUSDFD" localSheetId="32">#REF!</definedName>
    <definedName name="Print_Area_MI" localSheetId="32">#REF!</definedName>
    <definedName name="PRINT_TITLES_MI" localSheetId="32">#REF!</definedName>
    <definedName name="PROV" localSheetId="32">#REF!</definedName>
    <definedName name="RESERVA" localSheetId="32">#REF!</definedName>
    <definedName name="RESERVA1" localSheetId="32">#REF!</definedName>
    <definedName name="Rt" localSheetId="32">#REF!</definedName>
    <definedName name="SEKBASISCLPFC" localSheetId="32">#REF!</definedName>
    <definedName name="SEKBASISCLPFD" localSheetId="32">#REF!</definedName>
    <definedName name="SEKBASISNCLPFC" localSheetId="32">#REF!</definedName>
    <definedName name="SEKBASISNCLPFD" localSheetId="32">#REF!</definedName>
    <definedName name="SEKBASISUSDFC" localSheetId="32">#REF!</definedName>
    <definedName name="SEKBASISUSDFD" localSheetId="32">#REF!</definedName>
    <definedName name="TIT" localSheetId="32">#REF!</definedName>
    <definedName name="Títulos_a_imprimir_IM" localSheetId="32">#REF!</definedName>
    <definedName name="totalarea" localSheetId="32">#REF!</definedName>
    <definedName name="WATER" localSheetId="32">#REF!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 * #,##0_ ;_ * \-#,##0_ ;_ * &quot;-&quot;_ ;_ @_ "/>
    <numFmt numFmtId="165" formatCode="_ * #,##0_ ;_ * \-#,##0_ ;_ * &quot;-&quot;??_ ;_ @_ "/>
    <numFmt numFmtId="166" formatCode="_(#,##0_);_(\ \(#,##0\);_(&quot;-&quot;??_);_(@_)"/>
    <numFmt numFmtId="167" formatCode="_ * #,##0.00_ ;_ * \-#,##0.00_ ;_ * &quot;-&quot;??_ ;_ @_ "/>
    <numFmt numFmtId="168" formatCode="_(* #,##0_);_(* \(#,##0\);_(* &quot;-&quot;??_);_(@_)"/>
    <numFmt numFmtId="169" formatCode="#,##0_ ;[Red]\-#,##0\ "/>
    <numFmt numFmtId="170" formatCode="#,##0.00;[Red]\(#,##0.00\)"/>
    <numFmt numFmtId="171" formatCode="#,##0;\(#,##0\)"/>
    <numFmt numFmtId="172" formatCode="_-* #,##0_-;\-* #,##0_-;_-* &quot;-&quot;_-;_-@_-"/>
    <numFmt numFmtId="173" formatCode="_-* #,##0_-;\-* #,##0_-;_-* &quot;-&quot;??_-;_-@_-"/>
    <numFmt numFmtId="174" formatCode="#,##0;[Red]\(#,##0\)"/>
    <numFmt numFmtId="175" formatCode="#,##0.00000000_);\(#,##0.00000000\)"/>
    <numFmt numFmtId="176" formatCode="0.0%"/>
    <numFmt numFmtId="177" formatCode="_-* #,##0.00_-;\-* #,##0.00_-;_-* &quot;-&quot;??_-;_-@_-"/>
  </numFmts>
  <fonts count="10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theme="0"/>
      <sz val="8"/>
    </font>
    <font>
      <name val="Arial"/>
      <family val="2"/>
      <color theme="1"/>
      <sz val="8"/>
    </font>
    <font>
      <name val="Arial"/>
      <family val="2"/>
      <color rgb="FFFF0000"/>
      <sz val="8"/>
    </font>
    <font>
      <name val="Arial"/>
      <family val="2"/>
      <color rgb="FF000000"/>
      <sz val="9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Arial"/>
      <family val="2"/>
      <b val="1"/>
      <color theme="0"/>
      <sz val="16"/>
    </font>
    <font>
      <name val="Arial"/>
      <family val="2"/>
      <color theme="0"/>
      <sz val="10"/>
    </font>
    <font>
      <name val="Arial"/>
      <family val="2"/>
      <b val="1"/>
      <color theme="0"/>
      <sz val="12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Verdana"/>
      <family val="2"/>
      <b val="1"/>
      <color theme="1"/>
      <sz val="10"/>
    </font>
    <font>
      <name val="Arial"/>
      <family val="2"/>
      <i val="1"/>
      <color theme="1"/>
      <sz val="10"/>
    </font>
    <font>
      <name val="Arial"/>
      <family val="2"/>
      <color rgb="FFFF0000"/>
      <sz val="10"/>
    </font>
    <font>
      <name val="Arial"/>
      <family val="2"/>
      <color theme="1"/>
      <sz val="8.5"/>
    </font>
    <font>
      <name val="Arial"/>
      <family val="2"/>
      <b val="1"/>
      <color theme="1"/>
      <sz val="8.5"/>
      <u val="single"/>
    </font>
    <font>
      <name val="Arial"/>
      <family val="2"/>
      <b val="1"/>
      <color theme="1"/>
      <sz val="8.5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color theme="1"/>
      <sz val="8"/>
    </font>
    <font>
      <name val="Calibri"/>
      <family val="2"/>
      <color theme="1"/>
      <sz val="11"/>
      <u val="single"/>
      <scheme val="minor"/>
    </font>
    <font>
      <name val="Arial"/>
      <family val="2"/>
      <color theme="1"/>
      <sz val="9"/>
    </font>
    <font>
      <name val="Arial"/>
      <family val="2"/>
      <color theme="1"/>
      <sz val="9"/>
      <u val="single"/>
    </font>
    <font>
      <name val="Arial"/>
      <family val="2"/>
      <color rgb="FF000000"/>
      <sz val="9"/>
      <u val="single"/>
    </font>
    <font>
      <name val="Arial"/>
      <family val="2"/>
      <color rgb="FF000000"/>
      <sz val="8"/>
    </font>
    <font>
      <name val="Georgia"/>
      <family val="1"/>
      <color theme="1"/>
      <sz val="10"/>
    </font>
    <font>
      <name val="Georgia"/>
      <family val="1"/>
      <color theme="1"/>
      <sz val="8"/>
    </font>
    <font>
      <name val="Georgia"/>
      <family val="1"/>
      <color rgb="FF000000"/>
      <sz val="10"/>
    </font>
    <font>
      <name val="Arial"/>
      <family val="2"/>
      <color rgb="FF000000"/>
      <sz val="10"/>
      <u val="single"/>
    </font>
    <font>
      <name val="Calibri"/>
      <family val="2"/>
      <color theme="1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6"/>
    </font>
    <font>
      <name val="Arial"/>
      <family val="2"/>
      <b val="1"/>
      <color rgb="FF000000"/>
      <sz val="6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9"/>
      <u val="single"/>
    </font>
    <font>
      <name val="Arial"/>
      <family val="2"/>
      <b val="1"/>
      <color rgb="FF000000"/>
      <sz val="9"/>
      <u val="single"/>
    </font>
    <font>
      <name val="Arial"/>
      <family val="2"/>
      <color rgb="FF000000"/>
      <sz val="8"/>
      <u val="single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9"/>
    </font>
    <font>
      <name val="Arial"/>
      <family val="2"/>
      <color theme="1"/>
      <sz val="11"/>
    </font>
    <font>
      <name val="Arial"/>
      <family val="2"/>
      <color rgb="FF000000"/>
      <sz val="7"/>
    </font>
    <font>
      <name val="Arial"/>
      <family val="2"/>
      <b val="1"/>
      <i val="1"/>
      <color theme="1"/>
      <sz val="8"/>
    </font>
    <font>
      <name val="Arial"/>
      <family val="2"/>
      <color theme="1"/>
      <sz val="8"/>
      <u val="single"/>
    </font>
    <font>
      <name val="Arial"/>
      <family val="2"/>
      <b val="1"/>
      <color theme="1"/>
      <sz val="8"/>
      <u val="single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8"/>
      <u val="single"/>
    </font>
    <font>
      <name val="Arial"/>
      <family val="2"/>
      <b val="1"/>
      <color indexed="10"/>
      <sz val="8"/>
    </font>
    <font>
      <name val="Arial"/>
      <family val="2"/>
      <b val="1"/>
      <color rgb="FFFF0000"/>
      <sz val="8"/>
    </font>
    <font>
      <name val="Arial"/>
      <family val="2"/>
      <b val="1"/>
      <color indexed="12"/>
      <sz val="8"/>
    </font>
    <font>
      <name val="Wingdings 3"/>
      <charset val="2"/>
      <family val="1"/>
      <b val="1"/>
      <color indexed="12"/>
      <sz val="8"/>
    </font>
    <font>
      <name val="Monotype Sorts"/>
      <charset val="2"/>
      <b val="1"/>
      <color indexed="12"/>
      <sz val="8"/>
    </font>
    <font>
      <name val="Arial"/>
      <family val="2"/>
      <b val="1"/>
      <color rgb="FF0000FF"/>
      <sz val="8"/>
    </font>
    <font>
      <name val="Times New Roman"/>
      <family val="1"/>
      <b val="1"/>
      <color indexed="12"/>
      <sz val="8"/>
    </font>
    <font>
      <name val="Calibri"/>
      <family val="2"/>
      <color theme="1"/>
      <sz val="8"/>
    </font>
    <font>
      <name val="Arial"/>
      <family val="2"/>
      <b val="1"/>
      <color rgb="FFFF0000"/>
      <sz val="8"/>
      <u val="single"/>
    </font>
    <font>
      <name val="Arial"/>
      <family val="2"/>
      <b val="1"/>
      <i val="1"/>
      <sz val="8"/>
    </font>
    <font>
      <name val="Arial"/>
      <family val="2"/>
      <i val="1"/>
      <sz val="8"/>
    </font>
    <font>
      <name val="Times New Roman"/>
      <family val="1"/>
      <b val="1"/>
      <i val="1"/>
      <sz val="8"/>
    </font>
    <font>
      <name val="Times New Roman"/>
      <family val="1"/>
      <b val="1"/>
      <i val="1"/>
      <color indexed="12"/>
      <sz val="8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0"/>
    </font>
    <font>
      <name val="Calibri"/>
      <family val="2"/>
      <color rgb="FFFF0000"/>
      <sz val="11"/>
      <u val="single"/>
      <scheme val="minor"/>
    </font>
    <font>
      <name val="Calibri"/>
      <family val="2"/>
      <color rgb="FF000000"/>
      <sz val="9"/>
      <scheme val="minor"/>
    </font>
    <font>
      <name val="Arial"/>
      <family val="2"/>
      <color theme="1"/>
      <sz val="7"/>
    </font>
    <font>
      <name val="Arial"/>
      <family val="2"/>
      <b val="1"/>
      <color rgb="FF000000"/>
      <sz val="7"/>
    </font>
    <font>
      <name val="Arial"/>
      <family val="2"/>
      <b val="1"/>
      <color theme="1"/>
      <sz val="7"/>
    </font>
    <font>
      <name val="Calibri"/>
      <family val="2"/>
      <color theme="1"/>
      <sz val="10"/>
      <u val="single"/>
      <scheme val="minor"/>
    </font>
    <font>
      <name val="Arial"/>
      <family val="2"/>
      <color rgb="FF000000"/>
      <sz val="7"/>
      <u val="single"/>
    </font>
    <font>
      <name val="Calibri"/>
      <family val="2"/>
      <color rgb="FFFF0000"/>
      <sz val="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color theme="1"/>
      <sz val="12"/>
      <scheme val="minor"/>
    </font>
    <font>
      <name val="Times New Roman"/>
      <family val="1"/>
      <color rgb="FF000000"/>
      <sz val="10"/>
      <u val="single"/>
    </font>
    <font>
      <name val="Arial"/>
      <family val="2"/>
      <color rgb="FFFF0000"/>
      <sz val="7"/>
    </font>
    <font>
      <name val="Calibri"/>
      <family val="2"/>
      <b val="1"/>
      <color rgb="FFFF0000"/>
      <sz val="11"/>
      <u val="single"/>
      <scheme val="minor"/>
    </font>
    <font>
      <name val="Times New Roman"/>
      <family val="1"/>
      <color theme="1"/>
      <sz val="9"/>
    </font>
    <font>
      <name val="Arial"/>
      <family val="2"/>
      <color theme="1"/>
      <sz val="10"/>
      <u val="single"/>
    </font>
    <font>
      <name val="Calibri"/>
      <family val="2"/>
      <b val="1"/>
      <sz val="11"/>
    </font>
    <font>
      <name val="Arial"/>
      <family val="2"/>
      <color rgb="FFFF0000"/>
      <sz val="11"/>
      <u val="single"/>
    </font>
    <font>
      <name val="Arial"/>
      <family val="2"/>
      <b val="1"/>
      <sz val="11"/>
    </font>
    <font>
      <name val="Arial"/>
      <family val="2"/>
      <color rgb="FFFF0000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  <u val="single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b val="1"/>
      <color theme="1"/>
      <sz val="8"/>
    </font>
    <font>
      <name val="Arial"/>
      <family val="2"/>
      <color rgb="FF212121"/>
      <sz val="8"/>
      <u val="single"/>
    </font>
    <font>
      <name val="Arial"/>
      <family val="2"/>
      <color rgb="FF212121"/>
      <sz val="8"/>
    </font>
    <font>
      <name val="Calibri"/>
      <family val="2"/>
      <sz val="8"/>
      <scheme val="minor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9" tint="0.7999816888943144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/>
      <top/>
      <bottom/>
      <diagonal/>
    </border>
  </borders>
  <cellStyleXfs count="28">
    <xf numFmtId="0" fontId="1" fillId="0" borderId="0"/>
    <xf numFmtId="43" fontId="1" fillId="0" borderId="0"/>
    <xf numFmtId="41" fontId="1" fillId="0" borderId="0"/>
    <xf numFmtId="9" fontId="1" fillId="0" borderId="0"/>
    <xf numFmtId="0" fontId="8" fillId="0" borderId="0"/>
    <xf numFmtId="0" fontId="8" fillId="0" borderId="0"/>
    <xf numFmtId="0" fontId="13" fillId="0" borderId="0"/>
    <xf numFmtId="41" fontId="93" fillId="0" borderId="0"/>
    <xf numFmtId="41" fontId="8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10" fontId="13" fillId="0" borderId="0"/>
    <xf numFmtId="172" fontId="1" fillId="0" borderId="0"/>
    <xf numFmtId="43" fontId="13" fillId="0" borderId="0"/>
    <xf numFmtId="177" fontId="13" fillId="0" borderId="0"/>
    <xf numFmtId="0" fontId="13" fillId="0" borderId="0"/>
    <xf numFmtId="0" fontId="1" fillId="0" borderId="0"/>
    <xf numFmtId="0" fontId="13" fillId="0" borderId="0"/>
    <xf numFmtId="0" fontId="70" fillId="0" borderId="0"/>
    <xf numFmtId="0" fontId="55" fillId="0" borderId="0"/>
    <xf numFmtId="0" fontId="55" fillId="0" borderId="0"/>
    <xf numFmtId="9" fontId="55" fillId="0" borderId="0"/>
    <xf numFmtId="41" fontId="1" fillId="0" borderId="0"/>
    <xf numFmtId="41" fontId="1" fillId="0" borderId="0"/>
    <xf numFmtId="41" fontId="1" fillId="0" borderId="0"/>
  </cellStyleXfs>
  <cellXfs count="1255">
    <xf numFmtId="0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justify" vertical="center" wrapText="1"/>
    </xf>
    <xf numFmtId="0" fontId="0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9" fillId="6" borderId="0" pivotButton="0" quotePrefix="0" xfId="4"/>
    <xf numFmtId="0" fontId="9" fillId="7" borderId="0" pivotButton="0" quotePrefix="0" xfId="5"/>
    <xf numFmtId="0" fontId="10" fillId="7" borderId="0" pivotButton="0" quotePrefix="0" xfId="5"/>
    <xf numFmtId="0" fontId="8" fillId="0" borderId="0" pivotButton="0" quotePrefix="0" xfId="5"/>
    <xf numFmtId="0" fontId="11" fillId="7" borderId="0" pivotButton="0" quotePrefix="0" xfId="4"/>
    <xf numFmtId="0" fontId="11" fillId="7" borderId="0" pivotButton="0" quotePrefix="0" xfId="5"/>
    <xf numFmtId="0" fontId="12" fillId="7" borderId="0" applyAlignment="1" pivotButton="0" quotePrefix="0" xfId="5">
      <alignment horizontal="right"/>
    </xf>
    <xf numFmtId="0" fontId="10" fillId="7" borderId="0" pivotButton="0" quotePrefix="0" xfId="4"/>
    <xf numFmtId="0" fontId="12" fillId="7" borderId="0" pivotButton="0" quotePrefix="0" xfId="5"/>
    <xf numFmtId="0" fontId="10" fillId="7" borderId="0" pivotButton="0" quotePrefix="0" xfId="6"/>
    <xf numFmtId="0" fontId="14" fillId="7" borderId="0" applyAlignment="1" pivotButton="0" quotePrefix="0" xfId="5">
      <alignment horizontal="right"/>
    </xf>
    <xf numFmtId="0" fontId="15" fillId="0" borderId="0" pivotButton="0" quotePrefix="0" xfId="5"/>
    <xf numFmtId="0" fontId="15" fillId="4" borderId="0" pivotButton="0" quotePrefix="0" xfId="5"/>
    <xf numFmtId="164" fontId="15" fillId="0" borderId="0" pivotButton="0" quotePrefix="0" xfId="7"/>
    <xf numFmtId="0" fontId="14" fillId="7" borderId="0" pivotButton="0" quotePrefix="0" xfId="5"/>
    <xf numFmtId="0" fontId="14" fillId="7" borderId="0" applyAlignment="1" pivotButton="0" quotePrefix="0" xfId="5">
      <alignment horizontal="center" wrapText="1"/>
    </xf>
    <xf numFmtId="0" fontId="16" fillId="0" borderId="0" applyAlignment="1" pivotButton="0" quotePrefix="0" xfId="5">
      <alignment horizontal="center"/>
    </xf>
    <xf numFmtId="0" fontId="16" fillId="0" borderId="0" pivotButton="0" quotePrefix="0" xfId="5"/>
    <xf numFmtId="0" fontId="16" fillId="8" borderId="6" pivotButton="0" quotePrefix="0" xfId="5"/>
    <xf numFmtId="0" fontId="16" fillId="8" borderId="5" pivotButton="0" quotePrefix="0" xfId="5"/>
    <xf numFmtId="0" fontId="16" fillId="8" borderId="5" applyAlignment="1" pivotButton="0" quotePrefix="0" xfId="5">
      <alignment horizontal="center"/>
    </xf>
    <xf numFmtId="3" fontId="16" fillId="8" borderId="5" pivotButton="0" quotePrefix="0" xfId="5"/>
    <xf numFmtId="164" fontId="16" fillId="8" borderId="5" pivotButton="0" quotePrefix="0" xfId="5"/>
    <xf numFmtId="164" fontId="16" fillId="8" borderId="7" pivotButton="0" quotePrefix="0" xfId="5"/>
    <xf numFmtId="0" fontId="15" fillId="0" borderId="0" applyAlignment="1" pivotButton="0" quotePrefix="0" xfId="5">
      <alignment horizontal="center"/>
    </xf>
    <xf numFmtId="164" fontId="15" fillId="9" borderId="0" pivotButton="0" quotePrefix="0" xfId="8"/>
    <xf numFmtId="164" fontId="15" fillId="0" borderId="0" pivotButton="0" quotePrefix="0" xfId="8"/>
    <xf numFmtId="3" fontId="16" fillId="0" borderId="0" pivotButton="0" quotePrefix="0" xfId="5"/>
    <xf numFmtId="164" fontId="16" fillId="0" borderId="0" pivotButton="0" quotePrefix="0" xfId="5"/>
    <xf numFmtId="0" fontId="17" fillId="0" borderId="0" pivotButton="0" quotePrefix="0" xfId="5"/>
    <xf numFmtId="0" fontId="15" fillId="0" borderId="0" applyAlignment="1" pivotButton="0" quotePrefix="0" xfId="5">
      <alignment horizontal="left" indent="1"/>
    </xf>
    <xf numFmtId="0" fontId="15" fillId="0" borderId="0" applyAlignment="1" pivotButton="0" quotePrefix="0" xfId="5">
      <alignment horizontal="left" indent="2"/>
    </xf>
    <xf numFmtId="0" fontId="18" fillId="4" borderId="0" applyAlignment="1" pivotButton="0" quotePrefix="0" xfId="5">
      <alignment horizontal="center"/>
    </xf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0" fontId="16" fillId="4" borderId="0" applyAlignment="1" pivotButton="0" quotePrefix="0" xfId="5">
      <alignment horizontal="center"/>
    </xf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0" fontId="18" fillId="0" borderId="0" applyAlignment="1" pivotButton="0" quotePrefix="0" xfId="5">
      <alignment horizontal="center"/>
    </xf>
    <xf numFmtId="164" fontId="16" fillId="11" borderId="7" pivotButton="0" quotePrefix="0" xfId="8"/>
    <xf numFmtId="9" fontId="8" fillId="0" borderId="0" pivotButton="0" quotePrefix="0" xfId="3"/>
    <xf numFmtId="0" fontId="16" fillId="4" borderId="1" pivotButton="0" quotePrefix="0" xfId="5"/>
    <xf numFmtId="0" fontId="15" fillId="4" borderId="1" pivotButton="0" quotePrefix="0" xfId="5"/>
    <xf numFmtId="164" fontId="16" fillId="0" borderId="1" pivotButton="0" quotePrefix="0" xfId="5"/>
    <xf numFmtId="0" fontId="13" fillId="0" borderId="2" applyAlignment="1" pivotButton="0" quotePrefix="0" xfId="5">
      <alignment horizontal="left" vertical="center"/>
    </xf>
    <xf numFmtId="0" fontId="13" fillId="0" borderId="2" applyAlignment="1" pivotButton="0" quotePrefix="0" xfId="5">
      <alignment horizontal="left"/>
    </xf>
    <xf numFmtId="0" fontId="13" fillId="0" borderId="0" applyAlignment="1" pivotButton="0" quotePrefix="0" xfId="5">
      <alignment horizontal="left" vertical="center"/>
    </xf>
    <xf numFmtId="0" fontId="13" fillId="0" borderId="0" applyAlignment="1" pivotButton="0" quotePrefix="0" xfId="5">
      <alignment horizontal="left" vertical="top" wrapText="1"/>
    </xf>
    <xf numFmtId="0" fontId="19" fillId="0" borderId="0" applyAlignment="1" pivotButton="0" quotePrefix="0" xfId="5">
      <alignment wrapText="1"/>
    </xf>
    <xf numFmtId="0" fontId="21" fillId="12" borderId="0" applyAlignment="1" pivotButton="0" quotePrefix="0" xfId="0">
      <alignment horizontal="left" vertical="center" wrapText="1"/>
    </xf>
    <xf numFmtId="0" fontId="0" fillId="12" borderId="0" pivotButton="0" quotePrefix="0" xfId="0"/>
    <xf numFmtId="0" fontId="20" fillId="12" borderId="0" applyAlignment="1" pivotButton="0" quotePrefix="0" xfId="0">
      <alignment horizontal="left" vertical="center" wrapText="1"/>
    </xf>
    <xf numFmtId="0" fontId="22" fillId="12" borderId="0" applyAlignment="1" pivotButton="0" quotePrefix="0" xfId="0">
      <alignment horizontal="center" vertical="center" wrapText="1"/>
    </xf>
    <xf numFmtId="164" fontId="20" fillId="12" borderId="0" applyAlignment="1" pivotButton="0" quotePrefix="0" xfId="2">
      <alignment horizontal="left" vertical="center" wrapText="1"/>
    </xf>
    <xf numFmtId="0" fontId="20" fillId="12" borderId="8" applyAlignment="1" pivotButton="0" quotePrefix="0" xfId="0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0" fontId="20" fillId="12" borderId="10" applyAlignment="1" pivotButton="0" quotePrefix="0" xfId="0">
      <alignment horizontal="left" vertical="center" wrapText="1" indent="2"/>
    </xf>
    <xf numFmtId="0" fontId="22" fillId="12" borderId="10" applyAlignment="1" pivotButton="0" quotePrefix="0" xfId="0">
      <alignment horizontal="left" vertical="center" wrapText="1"/>
    </xf>
    <xf numFmtId="0" fontId="20" fillId="12" borderId="10" applyAlignment="1" pivotButton="0" quotePrefix="0" xfId="0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0" fontId="22" fillId="12" borderId="11" applyAlignment="1" pivotButton="0" quotePrefix="0" xfId="0">
      <alignment horizontal="left" vertical="center" wrapText="1"/>
    </xf>
    <xf numFmtId="0" fontId="0" fillId="12" borderId="12" pivotButton="0" quotePrefix="0" xfId="0"/>
    <xf numFmtId="164" fontId="20" fillId="0" borderId="0" applyAlignment="1" pivotButton="0" quotePrefix="0" xfId="2">
      <alignment horizontal="left" vertical="center" wrapText="1"/>
    </xf>
    <xf numFmtId="0" fontId="21" fillId="13" borderId="0" applyAlignment="1" pivotButton="0" quotePrefix="0" xfId="0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0" fontId="0" fillId="13" borderId="0" pivotButton="0" quotePrefix="0" xfId="0"/>
    <xf numFmtId="0" fontId="20" fillId="13" borderId="0" applyAlignment="1" pivotButton="0" quotePrefix="0" xfId="0">
      <alignment horizontal="left" vertical="center" wrapText="1"/>
    </xf>
    <xf numFmtId="0" fontId="20" fillId="13" borderId="0" applyAlignment="1" pivotButton="0" quotePrefix="0" xfId="0">
      <alignment horizontal="left" vertical="center" wrapText="1" indent="2"/>
    </xf>
    <xf numFmtId="0" fontId="22" fillId="13" borderId="0" applyAlignment="1" pivotButton="0" quotePrefix="0" xfId="0">
      <alignment horizontal="left" vertical="center" wrapText="1"/>
    </xf>
    <xf numFmtId="164" fontId="0" fillId="0" borderId="0" pivotButton="0" quotePrefix="0" xfId="2"/>
    <xf numFmtId="0" fontId="7" fillId="0" borderId="0" pivotButton="0" quotePrefix="0" xfId="0"/>
    <xf numFmtId="0" fontId="23" fillId="0" borderId="0" pivotButton="0" quotePrefix="0" xfId="0"/>
    <xf numFmtId="0" fontId="23" fillId="4" borderId="0" pivotButton="0" quotePrefix="0" xfId="0"/>
    <xf numFmtId="0" fontId="2" fillId="0" borderId="0" pivotButton="0" quotePrefix="0" xfId="0"/>
    <xf numFmtId="0" fontId="24" fillId="2" borderId="0" applyAlignment="1" pivotButton="0" quotePrefix="0" xfId="0">
      <alignment horizontal="center"/>
    </xf>
    <xf numFmtId="164" fontId="24" fillId="2" borderId="0" applyAlignment="1" pivotButton="0" quotePrefix="0" xfId="2">
      <alignment horizontal="center"/>
    </xf>
    <xf numFmtId="0" fontId="0" fillId="0" borderId="0" applyAlignment="1" pivotButton="0" quotePrefix="0" xfId="0">
      <alignment horizontal="center"/>
    </xf>
    <xf numFmtId="0" fontId="25" fillId="0" borderId="0" pivotButton="0" quotePrefix="0" xfId="0"/>
    <xf numFmtId="164" fontId="25" fillId="0" borderId="0" pivotButton="0" quotePrefix="0" xfId="2"/>
    <xf numFmtId="0" fontId="26" fillId="0" borderId="0" pivotButton="0" quotePrefix="0" xfId="0"/>
    <xf numFmtId="14" fontId="0" fillId="0" borderId="0" pivotButton="0" quotePrefix="0" xfId="0"/>
    <xf numFmtId="164" fontId="0" fillId="0" borderId="1" pivotButton="0" quotePrefix="0" xfId="2"/>
    <xf numFmtId="164" fontId="0" fillId="0" borderId="4" pivotButton="0" quotePrefix="0" xfId="2"/>
    <xf numFmtId="0" fontId="2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right" vertical="center" wrapText="1"/>
    </xf>
    <xf numFmtId="164" fontId="0" fillId="0" borderId="1" pivotButton="0" quotePrefix="0" xfId="0"/>
    <xf numFmtId="165" fontId="6" fillId="0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0" fontId="7" fillId="0" borderId="0" applyAlignment="1" pivotButton="0" quotePrefix="0" xfId="0">
      <alignment horizontal="center"/>
    </xf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6" fontId="0" fillId="0" borderId="0" pivotButton="0" quotePrefix="0" xfId="0"/>
    <xf numFmtId="0" fontId="2" fillId="3" borderId="0" pivotButton="0" quotePrefix="0" xfId="0"/>
    <xf numFmtId="0" fontId="6" fillId="9" borderId="0" applyAlignment="1" pivotButton="0" quotePrefix="0" xfId="0">
      <alignment vertical="center" wrapText="1"/>
    </xf>
    <xf numFmtId="0" fontId="29" fillId="9" borderId="0" applyAlignment="1" pivotButton="0" quotePrefix="0" xfId="0">
      <alignment vertical="center" wrapText="1"/>
    </xf>
    <xf numFmtId="0" fontId="31" fillId="9" borderId="0" applyAlignment="1" pivotButton="0" quotePrefix="0" xfId="0">
      <alignment vertical="center" wrapText="1"/>
    </xf>
    <xf numFmtId="0" fontId="6" fillId="9" borderId="0" applyAlignment="1" pivotButton="0" quotePrefix="0" xfId="0">
      <alignment horizontal="justify" vertical="center" wrapText="1"/>
    </xf>
    <xf numFmtId="0" fontId="6" fillId="9" borderId="0" applyAlignment="1" pivotButton="0" quotePrefix="0" xfId="0">
      <alignment horizontal="center" vertical="center" wrapText="1"/>
    </xf>
    <xf numFmtId="3" fontId="6" fillId="9" borderId="0" applyAlignment="1" pivotButton="0" quotePrefix="0" xfId="0">
      <alignment horizontal="right" vertical="center" wrapText="1"/>
    </xf>
    <xf numFmtId="3" fontId="6" fillId="9" borderId="12" applyAlignment="1" pivotButton="0" quotePrefix="0" xfId="0">
      <alignment horizontal="right" vertical="center" wrapText="1"/>
    </xf>
    <xf numFmtId="0" fontId="31" fillId="9" borderId="0" applyAlignment="1" pivotButton="0" quotePrefix="0" xfId="0">
      <alignment horizontal="justify" vertical="center" wrapText="1"/>
    </xf>
    <xf numFmtId="3" fontId="29" fillId="9" borderId="0" applyAlignment="1" pivotButton="0" quotePrefix="0" xfId="0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0" fontId="0" fillId="0" borderId="1" pivotButton="0" quotePrefix="0" xfId="0"/>
    <xf numFmtId="3" fontId="6" fillId="14" borderId="0" applyAlignment="1" pivotButton="0" quotePrefix="0" xfId="0">
      <alignment horizontal="right" vertical="center" wrapText="1"/>
    </xf>
    <xf numFmtId="3" fontId="6" fillId="14" borderId="12" applyAlignment="1" pivotButton="0" quotePrefix="0" xfId="0">
      <alignment horizontal="right" vertical="center" wrapText="1"/>
    </xf>
    <xf numFmtId="166" fontId="0" fillId="0" borderId="3" pivotButton="0" quotePrefix="0" xfId="2"/>
    <xf numFmtId="0" fontId="34" fillId="0" borderId="0" applyAlignment="1" pivotButton="0" quotePrefix="0" xfId="0">
      <alignment horizontal="justify" vertical="center"/>
    </xf>
    <xf numFmtId="0" fontId="35" fillId="0" borderId="0" applyAlignment="1" pivotButton="0" quotePrefix="0" xfId="0">
      <alignment horizontal="justify" vertical="center"/>
    </xf>
    <xf numFmtId="0" fontId="29" fillId="9" borderId="0" applyAlignment="1" pivotButton="0" quotePrefix="0" xfId="0">
      <alignment horizontal="justify" vertical="center" wrapText="1"/>
    </xf>
    <xf numFmtId="166" fontId="6" fillId="9" borderId="0" applyAlignment="1" pivotButton="0" quotePrefix="0" xfId="0">
      <alignment horizontal="right" vertical="center" wrapText="1"/>
    </xf>
    <xf numFmtId="166" fontId="6" fillId="9" borderId="12" applyAlignment="1" pivotButton="0" quotePrefix="0" xfId="0">
      <alignment horizontal="right" vertical="center" wrapText="1"/>
    </xf>
    <xf numFmtId="14" fontId="30" fillId="0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166" fontId="29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 wrapText="1"/>
    </xf>
    <xf numFmtId="166" fontId="29" fillId="0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6" fontId="6" fillId="0" borderId="0" applyAlignment="1" pivotButton="0" quotePrefix="0" xfId="0">
      <alignment horizontal="right" vertical="center" wrapText="1"/>
    </xf>
    <xf numFmtId="0" fontId="33" fillId="0" borderId="0" applyAlignment="1" pivotButton="0" quotePrefix="0" xfId="0">
      <alignment horizontal="justify" vertical="center"/>
    </xf>
    <xf numFmtId="0" fontId="37" fillId="0" borderId="0" pivotButton="0" quotePrefix="0" xfId="0"/>
    <xf numFmtId="0" fontId="38" fillId="9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wrapText="1"/>
    </xf>
    <xf numFmtId="166" fontId="37" fillId="0" borderId="0" pivotButton="0" quotePrefix="0" xfId="0"/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5" fontId="41" fillId="0" borderId="0" applyAlignment="1" pivotButton="0" quotePrefix="0" xfId="1">
      <alignment horizontal="right" vertical="center" wrapText="1"/>
    </xf>
    <xf numFmtId="0" fontId="6" fillId="9" borderId="0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" applyAlignment="1" pivotButton="0" quotePrefix="0" xfId="0">
      <alignment wrapText="1"/>
    </xf>
    <xf numFmtId="166" fontId="0" fillId="0" borderId="3" pivotButton="0" quotePrefix="0" xfId="0"/>
    <xf numFmtId="166" fontId="6" fillId="9" borderId="13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0" pivotButton="0" quotePrefix="0" xfId="1"/>
    <xf numFmtId="0" fontId="31" fillId="0" borderId="0" applyAlignment="1" pivotButton="0" quotePrefix="0" xfId="0">
      <alignment horizontal="center" vertical="center" wrapText="1"/>
    </xf>
    <xf numFmtId="14" fontId="31" fillId="0" borderId="0" applyAlignment="1" pivotButton="0" quotePrefix="0" xfId="0">
      <alignment horizontal="center" vertical="center" wrapText="1"/>
    </xf>
    <xf numFmtId="0" fontId="15" fillId="0" borderId="0" pivotButton="0" quotePrefix="0" xfId="0"/>
    <xf numFmtId="14" fontId="36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justify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38" fillId="0" borderId="13" applyAlignment="1" pivotButton="0" quotePrefix="0" xfId="0">
      <alignment vertical="center" wrapText="1"/>
    </xf>
    <xf numFmtId="0" fontId="3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166" fontId="29" fillId="0" borderId="13" applyAlignment="1" pivotButton="0" quotePrefix="0" xfId="0">
      <alignment vertical="center" wrapText="1"/>
    </xf>
    <xf numFmtId="0" fontId="45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32" fillId="0" borderId="0" applyAlignment="1" pivotButton="0" quotePrefix="0" xfId="0">
      <alignment vertical="center" wrapText="1"/>
    </xf>
    <xf numFmtId="0" fontId="4" fillId="9" borderId="0" applyAlignment="1" pivotButton="0" quotePrefix="0" xfId="0">
      <alignment horizontal="justify" vertical="center" wrapText="1"/>
    </xf>
    <xf numFmtId="0" fontId="32" fillId="9" borderId="0" applyAlignment="1" pivotButton="0" quotePrefix="0" xfId="0">
      <alignment horizontal="justify" vertical="center" wrapText="1"/>
    </xf>
    <xf numFmtId="0" fontId="32" fillId="9" borderId="1" applyAlignment="1" pivotButton="0" quotePrefix="0" xfId="0">
      <alignment horizontal="left" vertical="center" wrapText="1"/>
    </xf>
    <xf numFmtId="0" fontId="32" fillId="9" borderId="1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left" vertical="center" wrapText="1"/>
    </xf>
    <xf numFmtId="166" fontId="32" fillId="9" borderId="0" applyAlignment="1" pivotButton="0" quotePrefix="0" xfId="0">
      <alignment horizontal="right" vertical="center" wrapText="1"/>
    </xf>
    <xf numFmtId="0" fontId="32" fillId="9" borderId="12" applyAlignment="1" pivotButton="0" quotePrefix="0" xfId="0">
      <alignment horizontal="center" vertical="center" wrapText="1"/>
    </xf>
    <xf numFmtId="0" fontId="31" fillId="9" borderId="0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32" fillId="9" borderId="1" applyAlignment="1" pivotButton="0" quotePrefix="0" xfId="0">
      <alignment horizontal="justify" vertical="center" wrapText="1"/>
    </xf>
    <xf numFmtId="165" fontId="6" fillId="0" borderId="0" applyAlignment="1" pivotButton="0" quotePrefix="0" xfId="1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center" vertical="center" wrapText="1"/>
    </xf>
    <xf numFmtId="0" fontId="32" fillId="9" borderId="0" applyAlignment="1" pivotButton="0" quotePrefix="0" xfId="0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0" fontId="6" fillId="9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9" borderId="0" applyAlignment="1" pivotButton="0" quotePrefix="0" xfId="0">
      <alignment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5" fontId="6" fillId="9" borderId="12" applyAlignment="1" pivotButton="0" quotePrefix="0" xfId="1">
      <alignment horizontal="right" vertical="center" wrapText="1"/>
    </xf>
    <xf numFmtId="1" fontId="6" fillId="9" borderId="0" applyAlignment="1" pivotButton="0" quotePrefix="0" xfId="0">
      <alignment horizontal="right" vertical="center" wrapText="1"/>
    </xf>
    <xf numFmtId="1" fontId="0" fillId="0" borderId="0" pivotButton="0" quotePrefix="0" xfId="0"/>
    <xf numFmtId="0" fontId="48" fillId="9" borderId="0" applyAlignment="1" pivotButton="0" quotePrefix="0" xfId="0">
      <alignment horizontal="center" vertical="center" wrapText="1"/>
    </xf>
    <xf numFmtId="0" fontId="49" fillId="0" borderId="0" pivotButton="0" quotePrefix="0" xfId="0"/>
    <xf numFmtId="0" fontId="29" fillId="0" borderId="0" pivotButton="0" quotePrefix="0" xfId="0"/>
    <xf numFmtId="167" fontId="0" fillId="0" borderId="0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21" applyAlignment="1" pivotButton="0" quotePrefix="0" xfId="0">
      <alignment horizontal="left" vertical="center" wrapText="1"/>
    </xf>
    <xf numFmtId="164" fontId="6" fillId="0" borderId="22" applyAlignment="1" pivotButton="0" quotePrefix="0" xfId="0">
      <alignment horizontal="right" vertical="center" wrapText="1"/>
    </xf>
    <xf numFmtId="165" fontId="0" fillId="0" borderId="0" pivotButton="0" quotePrefix="0" xfId="0"/>
    <xf numFmtId="0" fontId="29" fillId="0" borderId="0" applyAlignment="1" pivotButton="0" quotePrefix="0" xfId="0">
      <alignment horizontal="justify" vertical="center"/>
    </xf>
    <xf numFmtId="168" fontId="0" fillId="0" borderId="0" pivotButton="0" quotePrefix="0" xfId="1"/>
    <xf numFmtId="168" fontId="32" fillId="0" borderId="0" applyAlignment="1" pivotButton="0" quotePrefix="0" xfId="1">
      <alignment vertical="center" wrapText="1"/>
    </xf>
    <xf numFmtId="0" fontId="27" fillId="0" borderId="0" pivotButton="0" quotePrefix="0" xfId="0"/>
    <xf numFmtId="164" fontId="4" fillId="0" borderId="0" pivotButton="0" quotePrefix="0" xfId="2"/>
    <xf numFmtId="0" fontId="4" fillId="0" borderId="0" applyAlignment="1" pivotButton="0" quotePrefix="0" xfId="0">
      <alignment horizontal="center" vertical="center"/>
    </xf>
    <xf numFmtId="169" fontId="4" fillId="0" borderId="0" pivotButton="0" quotePrefix="0" xfId="2"/>
    <xf numFmtId="169" fontId="27" fillId="0" borderId="0" pivotButton="0" quotePrefix="0" xfId="2"/>
    <xf numFmtId="169" fontId="4" fillId="0" borderId="0" pivotButton="0" quotePrefix="0" xfId="0"/>
    <xf numFmtId="0" fontId="51" fillId="0" borderId="0" pivotButton="0" quotePrefix="0" xfId="0"/>
    <xf numFmtId="169" fontId="4" fillId="0" borderId="3" pivotButton="0" quotePrefix="0" xfId="2"/>
    <xf numFmtId="169" fontId="27" fillId="0" borderId="3" pivotButton="0" quotePrefix="0" xfId="2"/>
    <xf numFmtId="169" fontId="27" fillId="0" borderId="0" pivotButton="0" quotePrefix="0" xfId="0"/>
    <xf numFmtId="0" fontId="52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 wrapText="1"/>
    </xf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12" applyAlignment="1" pivotButton="0" quotePrefix="0" xfId="1">
      <alignment vertical="center" wrapText="1"/>
    </xf>
    <xf numFmtId="0" fontId="27" fillId="0" borderId="0" applyAlignment="1" pivotButton="0" quotePrefix="0" xfId="0">
      <alignment vertical="center" wrapText="1"/>
    </xf>
    <xf numFmtId="168" fontId="4" fillId="0" borderId="1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8" fontId="4" fillId="0" borderId="12" applyAlignment="1" pivotButton="0" quotePrefix="0" xfId="1">
      <alignment horizontal="right" vertical="center" wrapText="1"/>
    </xf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0" fontId="4" fillId="0" borderId="0" applyAlignment="1" pivotButton="0" quotePrefix="0" xfId="0">
      <alignment horizontal="justify" vertical="center" wrapText="1"/>
    </xf>
    <xf numFmtId="0" fontId="53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8" fontId="4" fillId="0" borderId="0" applyAlignment="1" pivotButton="0" quotePrefix="0" xfId="0">
      <alignment vertical="center" wrapText="1"/>
    </xf>
    <xf numFmtId="168" fontId="53" fillId="0" borderId="0" applyAlignment="1" pivotButton="0" quotePrefix="0" xfId="1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168" fontId="0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5" fontId="0" fillId="0" borderId="3" pivotButton="0" quotePrefix="0" xfId="0"/>
    <xf numFmtId="165" fontId="6" fillId="0" borderId="1" applyAlignment="1" pivotButton="0" quotePrefix="0" xfId="1">
      <alignment horizontal="right" vertical="center" wrapText="1"/>
    </xf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5" fontId="4" fillId="0" borderId="0" pivotButton="0" quotePrefix="0" xfId="1"/>
    <xf numFmtId="165" fontId="4" fillId="3" borderId="0" pivotButton="0" quotePrefix="0" xfId="1"/>
    <xf numFmtId="166" fontId="4" fillId="0" borderId="0" pivotButton="0" quotePrefix="0" xfId="0"/>
    <xf numFmtId="3" fontId="0" fillId="3" borderId="0" pivotButton="0" quotePrefix="0" xfId="0"/>
    <xf numFmtId="37" fontId="54" fillId="17" borderId="0" pivotButton="0" quotePrefix="0" xfId="9"/>
    <xf numFmtId="37" fontId="55" fillId="0" borderId="0" pivotButton="0" quotePrefix="0" xfId="10"/>
    <xf numFmtId="170" fontId="55" fillId="0" borderId="0" pivotButton="0" quotePrefix="0" xfId="10"/>
    <xf numFmtId="170" fontId="55" fillId="18" borderId="0" pivotButton="0" quotePrefix="0" xfId="10"/>
    <xf numFmtId="170" fontId="55" fillId="4" borderId="0" pivotButton="0" quotePrefix="0" xfId="10"/>
    <xf numFmtId="0" fontId="54" fillId="17" borderId="0" pivotButton="0" quotePrefix="0" xfId="9"/>
    <xf numFmtId="37" fontId="56" fillId="17" borderId="0" pivotButton="0" quotePrefix="0" xfId="9"/>
    <xf numFmtId="37" fontId="54" fillId="4" borderId="0" pivotButton="0" quotePrefix="0" xfId="9"/>
    <xf numFmtId="37" fontId="55" fillId="0" borderId="0" applyAlignment="1" pivotButton="0" quotePrefix="0" xfId="10">
      <alignment horizontal="right"/>
    </xf>
    <xf numFmtId="0" fontId="54" fillId="0" borderId="0" pivotButton="0" quotePrefix="0" xfId="11"/>
    <xf numFmtId="37" fontId="54" fillId="0" borderId="0" pivotButton="0" quotePrefix="0" xfId="10"/>
    <xf numFmtId="37" fontId="55" fillId="17" borderId="0" applyAlignment="1" pivotButton="0" quotePrefix="0" xfId="10">
      <alignment horizontal="center"/>
    </xf>
    <xf numFmtId="37" fontId="57" fillId="17" borderId="0" applyAlignment="1" pivotButton="0" quotePrefix="1" xfId="10">
      <alignment horizontal="center" vertical="center" wrapText="1"/>
    </xf>
    <xf numFmtId="0" fontId="55" fillId="0" borderId="2" pivotButton="0" quotePrefix="0" xfId="11"/>
    <xf numFmtId="0" fontId="54" fillId="0" borderId="0" applyAlignment="1" pivotButton="0" quotePrefix="0" xfId="11">
      <alignment horizontal="center"/>
    </xf>
    <xf numFmtId="0" fontId="55" fillId="0" borderId="0" applyAlignment="1" pivotButton="0" quotePrefix="0" xfId="11">
      <alignment horizontal="left"/>
    </xf>
    <xf numFmtId="0" fontId="55" fillId="0" borderId="0" pivotButton="0" quotePrefix="0" xfId="11"/>
    <xf numFmtId="170" fontId="54" fillId="0" borderId="17" applyAlignment="1" pivotButton="0" quotePrefix="0" xfId="10">
      <alignment horizontal="center"/>
    </xf>
    <xf numFmtId="170" fontId="54" fillId="0" borderId="0" applyAlignment="1" pivotButton="0" quotePrefix="0" xfId="10">
      <alignment horizontal="center"/>
    </xf>
    <xf numFmtId="0" fontId="55" fillId="0" borderId="12" applyAlignment="1" pivotButton="0" quotePrefix="0" xfId="11">
      <alignment horizontal="center"/>
    </xf>
    <xf numFmtId="0" fontId="55" fillId="0" borderId="12" applyAlignment="1" pivotButton="0" quotePrefix="0" xfId="11">
      <alignment horizontal="left"/>
    </xf>
    <xf numFmtId="0" fontId="55" fillId="0" borderId="12" pivotButton="0" quotePrefix="0" xfId="11"/>
    <xf numFmtId="37" fontId="54" fillId="4" borderId="0" applyAlignment="1" pivotButton="0" quotePrefix="0" xfId="10">
      <alignment horizontal="center" vertical="center" wrapText="1"/>
    </xf>
    <xf numFmtId="0" fontId="4" fillId="4" borderId="0" pivotButton="0" quotePrefix="0" xfId="12"/>
    <xf numFmtId="37" fontId="55" fillId="4" borderId="0" pivotButton="0" quotePrefix="0" xfId="10"/>
    <xf numFmtId="171" fontId="55" fillId="4" borderId="0" pivotButton="0" quotePrefix="0" xfId="10"/>
    <xf numFmtId="37" fontId="58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37" fontId="54" fillId="17" borderId="0" pivotButton="0" quotePrefix="0" xfId="10"/>
    <xf numFmtId="0" fontId="59" fillId="17" borderId="0" applyAlignment="1" pivotButton="0" quotePrefix="0" xfId="13">
      <alignment horizontal="left" vertical="center"/>
    </xf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37" fontId="54" fillId="4" borderId="1" pivotButton="0" quotePrefix="0" xfId="10"/>
    <xf numFmtId="37" fontId="60" fillId="4" borderId="0" applyAlignment="1" pivotButton="0" quotePrefix="0" xfId="10">
      <alignment horizontal="left" vertical="center"/>
    </xf>
    <xf numFmtId="171" fontId="54" fillId="4" borderId="1" pivotButton="0" quotePrefix="0" xfId="10"/>
    <xf numFmtId="37" fontId="55" fillId="4" borderId="1" pivotButton="0" quotePrefix="0" xfId="10"/>
    <xf numFmtId="171" fontId="55" fillId="4" borderId="1" pivotButton="0" quotePrefix="0" xfId="10"/>
    <xf numFmtId="37" fontId="60" fillId="17" borderId="0" applyAlignment="1" pivotButton="0" quotePrefix="0" xfId="10">
      <alignment horizontal="left" vertical="center"/>
    </xf>
    <xf numFmtId="164" fontId="55" fillId="0" borderId="0" pivotButton="0" quotePrefix="0" xfId="2"/>
    <xf numFmtId="10" fontId="55" fillId="0" borderId="0" pivotButton="0" quotePrefix="0" xfId="14"/>
    <xf numFmtId="37" fontId="55" fillId="17" borderId="0" pivotButton="0" quotePrefix="0" xfId="10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5" fillId="3" borderId="0" pivotButton="0" quotePrefix="0" xfId="10"/>
    <xf numFmtId="14" fontId="55" fillId="3" borderId="0" pivotButton="0" quotePrefix="0" xfId="10"/>
    <xf numFmtId="37" fontId="54" fillId="0" borderId="0" applyAlignment="1" pivotButton="0" quotePrefix="0" xfId="10">
      <alignment horizontal="center"/>
    </xf>
    <xf numFmtId="37" fontId="57" fillId="0" borderId="0" applyAlignment="1" pivotButton="0" quotePrefix="0" xfId="16">
      <alignment vertical="center"/>
    </xf>
    <xf numFmtId="37" fontId="55" fillId="0" borderId="0" pivotButton="0" quotePrefix="0" xfId="16"/>
    <xf numFmtId="37" fontId="61" fillId="17" borderId="0" applyAlignment="1" pivotButton="0" quotePrefix="0" xfId="10">
      <alignment horizontal="center" vertical="center"/>
    </xf>
    <xf numFmtId="173" fontId="55" fillId="0" borderId="0" pivotButton="0" quotePrefix="0" xfId="17"/>
    <xf numFmtId="37" fontId="55" fillId="0" borderId="1" pivotButton="0" quotePrefix="0" xfId="10"/>
    <xf numFmtId="171" fontId="55" fillId="0" borderId="0" pivotButton="0" quotePrefix="0" xfId="16"/>
    <xf numFmtId="0" fontId="62" fillId="4" borderId="0" applyAlignment="1" pivotButton="0" quotePrefix="0" xfId="18">
      <alignment horizontal="right"/>
    </xf>
    <xf numFmtId="37" fontId="63" fillId="17" borderId="0" applyAlignment="1" pivotButton="0" quotePrefix="0" xfId="10">
      <alignment horizontal="left" vertical="center"/>
    </xf>
    <xf numFmtId="37" fontId="63" fillId="4" borderId="0" applyAlignment="1" pivotButton="0" quotePrefix="0" xfId="10">
      <alignment horizontal="left" vertical="center"/>
    </xf>
    <xf numFmtId="174" fontId="55" fillId="4" borderId="0" pivotButton="0" quotePrefix="0" xfId="11"/>
    <xf numFmtId="174" fontId="55" fillId="0" borderId="0" pivotButton="0" quotePrefix="0" xfId="11"/>
    <xf numFmtId="0" fontId="55" fillId="4" borderId="0" pivotButton="0" quotePrefix="0" xfId="11"/>
    <xf numFmtId="37" fontId="57" fillId="4" borderId="0" applyAlignment="1" pivotButton="0" quotePrefix="0" xfId="16">
      <alignment vertical="center"/>
    </xf>
    <xf numFmtId="37" fontId="58" fillId="0" borderId="0" applyAlignment="1" pivotButton="0" quotePrefix="0" xfId="10">
      <alignment horizontal="right"/>
    </xf>
    <xf numFmtId="0" fontId="58" fillId="4" borderId="0" applyAlignment="1" pivotButton="0" quotePrefix="1" xfId="18">
      <alignment horizontal="left"/>
    </xf>
    <xf numFmtId="37" fontId="58" fillId="4" borderId="0" applyAlignment="1" pivotButton="0" quotePrefix="0" xfId="10">
      <alignment horizontal="left"/>
    </xf>
    <xf numFmtId="174" fontId="55" fillId="0" borderId="0" pivotButton="0" quotePrefix="0" xfId="10"/>
    <xf numFmtId="37" fontId="58" fillId="0" borderId="0" applyAlignment="1" pivotButton="0" quotePrefix="0" xfId="10">
      <alignment horizontal="center"/>
    </xf>
    <xf numFmtId="164" fontId="55" fillId="4" borderId="0" pivotButton="0" quotePrefix="0" xfId="2"/>
    <xf numFmtId="0" fontId="55" fillId="14" borderId="0" pivotButton="0" quotePrefix="0" xfId="11"/>
    <xf numFmtId="37" fontId="55" fillId="14" borderId="0" pivotButton="0" quotePrefix="0" xfId="10"/>
    <xf numFmtId="37" fontId="57" fillId="14" borderId="0" applyAlignment="1" pivotButton="0" quotePrefix="0" xfId="16">
      <alignment vertical="center"/>
    </xf>
    <xf numFmtId="174" fontId="55" fillId="14" borderId="0" pivotButton="0" quotePrefix="0" xfId="11"/>
    <xf numFmtId="37" fontId="63" fillId="14" borderId="0" applyAlignment="1" pivotButton="0" quotePrefix="0" xfId="10">
      <alignment horizontal="left" vertical="center"/>
    </xf>
    <xf numFmtId="37" fontId="57" fillId="0" borderId="0" applyAlignment="1" pivotButton="0" quotePrefix="1" xfId="16">
      <alignment horizontal="center"/>
    </xf>
    <xf numFmtId="37" fontId="54" fillId="0" borderId="2" pivotButton="0" quotePrefix="0" xfId="16"/>
    <xf numFmtId="37" fontId="54" fillId="0" borderId="0" pivotButton="0" quotePrefix="0" xfId="16"/>
    <xf numFmtId="37" fontId="54" fillId="17" borderId="1" pivotButton="0" quotePrefix="0" xfId="16"/>
    <xf numFmtId="37" fontId="54" fillId="0" borderId="1" pivotButton="0" quotePrefix="0" xfId="16"/>
    <xf numFmtId="170" fontId="54" fillId="18" borderId="0" pivotButton="0" quotePrefix="0" xfId="10"/>
    <xf numFmtId="170" fontId="54" fillId="4" borderId="0" pivotButton="0" quotePrefix="0" xfId="10"/>
    <xf numFmtId="3" fontId="64" fillId="0" borderId="0" pivotButton="0" quotePrefix="0" xfId="19"/>
    <xf numFmtId="170" fontId="54" fillId="0" borderId="0" pivotButton="0" quotePrefix="0" xfId="10"/>
    <xf numFmtId="37" fontId="58" fillId="0" borderId="0" pivotButton="0" quotePrefix="0" xfId="10"/>
    <xf numFmtId="37" fontId="58" fillId="0" borderId="1" pivotButton="0" quotePrefix="0" xfId="10"/>
    <xf numFmtId="37" fontId="60" fillId="17" borderId="0" applyAlignment="1" pivotButton="0" quotePrefix="0" xfId="10">
      <alignment horizontal="center" vertical="center"/>
    </xf>
    <xf numFmtId="37" fontId="55" fillId="0" borderId="0" applyAlignment="1" pivotButton="0" quotePrefix="0" xfId="16">
      <alignment horizontal="center"/>
    </xf>
    <xf numFmtId="37" fontId="55" fillId="0" borderId="2" pivotButton="0" quotePrefix="0" xfId="16"/>
    <xf numFmtId="37" fontId="55" fillId="0" borderId="1" pivotButton="0" quotePrefix="0" xfId="16"/>
    <xf numFmtId="37" fontId="65" fillId="0" borderId="0" pivotButton="0" quotePrefix="0" xfId="16"/>
    <xf numFmtId="170" fontId="55" fillId="0" borderId="2" pivotButton="0" quotePrefix="0" xfId="10"/>
    <xf numFmtId="37" fontId="63" fillId="0" borderId="0" applyAlignment="1" pivotButton="0" quotePrefix="0" xfId="10">
      <alignment horizontal="left" vertical="center"/>
    </xf>
    <xf numFmtId="37" fontId="66" fillId="0" borderId="0" pivotButton="0" quotePrefix="0" xfId="16"/>
    <xf numFmtId="37" fontId="67" fillId="0" borderId="0" pivotButton="0" quotePrefix="0" xfId="10"/>
    <xf numFmtId="171" fontId="67" fillId="0" borderId="0" pivotButton="0" quotePrefix="0" xfId="16"/>
    <xf numFmtId="37" fontId="68" fillId="17" borderId="0" applyAlignment="1" pivotButton="0" quotePrefix="0" xfId="10">
      <alignment horizontal="center" vertical="center" wrapText="1"/>
    </xf>
    <xf numFmtId="37" fontId="67" fillId="0" borderId="0" pivotButton="0" quotePrefix="0" xfId="16"/>
    <xf numFmtId="37" fontId="69" fillId="17" borderId="0" applyAlignment="1" pivotButton="0" quotePrefix="0" xfId="10">
      <alignment horizontal="left" vertical="center"/>
    </xf>
    <xf numFmtId="170" fontId="67" fillId="0" borderId="0" pivotButton="0" quotePrefix="0" xfId="10"/>
    <xf numFmtId="49" fontId="56" fillId="0" borderId="0" pivotButton="0" quotePrefix="0" xfId="20"/>
    <xf numFmtId="0" fontId="59" fillId="17" borderId="0" applyAlignment="1" pivotButton="0" quotePrefix="0" xfId="13">
      <alignment horizontal="right" vertical="center"/>
    </xf>
    <xf numFmtId="0" fontId="55" fillId="0" borderId="0" pivotButton="0" quotePrefix="0" xfId="21"/>
    <xf numFmtId="37" fontId="63" fillId="17" borderId="0" applyAlignment="1" pivotButton="0" quotePrefix="0" xfId="10">
      <alignment horizontal="right" vertical="center"/>
    </xf>
    <xf numFmtId="37" fontId="61" fillId="17" borderId="0" applyAlignment="1" pivotButton="0" quotePrefix="0" xfId="10">
      <alignment horizontal="right" vertical="center"/>
    </xf>
    <xf numFmtId="37" fontId="60" fillId="17" borderId="0" applyAlignment="1" pivotButton="0" quotePrefix="0" xfId="10">
      <alignment horizontal="right" vertical="center"/>
    </xf>
    <xf numFmtId="0" fontId="55" fillId="4" borderId="0" pivotButton="0" quotePrefix="0" xfId="21"/>
    <xf numFmtId="37" fontId="54" fillId="0" borderId="0" pivotButton="0" quotePrefix="0" xfId="22"/>
    <xf numFmtId="37" fontId="55" fillId="0" borderId="0" pivotButton="0" quotePrefix="0" xfId="22"/>
    <xf numFmtId="37" fontId="54" fillId="17" borderId="0" applyAlignment="1" pivotButton="0" quotePrefix="0" xfId="10">
      <alignment horizontal="center"/>
    </xf>
    <xf numFmtId="37" fontId="55" fillId="0" borderId="2" pivotButton="0" quotePrefix="0" xfId="22"/>
    <xf numFmtId="37" fontId="55" fillId="0" borderId="2" pivotButton="0" quotePrefix="0" xfId="10"/>
    <xf numFmtId="37" fontId="54" fillId="0" borderId="2" applyAlignment="1" pivotButton="0" quotePrefix="0" xfId="10">
      <alignment horizontal="center"/>
    </xf>
    <xf numFmtId="37" fontId="54" fillId="17" borderId="2" applyAlignment="1" pivotButton="0" quotePrefix="0" xfId="10">
      <alignment horizontal="center"/>
    </xf>
    <xf numFmtId="37" fontId="58" fillId="0" borderId="0" pivotButton="0" quotePrefix="1" xfId="16"/>
    <xf numFmtId="171" fontId="55" fillId="4" borderId="0" pivotButton="0" quotePrefix="0" xfId="23"/>
    <xf numFmtId="37" fontId="63" fillId="17" borderId="0" applyAlignment="1" pivotButton="0" quotePrefix="0" xfId="10">
      <alignment horizontal="center" vertical="center"/>
    </xf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37" fontId="54" fillId="0" borderId="0" applyAlignment="1" pivotButton="0" quotePrefix="0" xfId="16">
      <alignment horizontal="center" vertical="center"/>
    </xf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9" fontId="55" fillId="0" borderId="0" pivotButton="0" quotePrefix="0" xfId="24"/>
    <xf numFmtId="170" fontId="55" fillId="0" borderId="1" pivotButton="0" quotePrefix="0" xfId="10"/>
    <xf numFmtId="170" fontId="55" fillId="0" borderId="1" pivotButton="0" quotePrefix="0" xfId="16"/>
    <xf numFmtId="9" fontId="55" fillId="0" borderId="1" pivotButton="0" quotePrefix="0" xfId="24"/>
    <xf numFmtId="37" fontId="54" fillId="3" borderId="0" pivotButton="0" quotePrefix="0" xfId="10"/>
    <xf numFmtId="165" fontId="55" fillId="3" borderId="0" pivotButton="0" quotePrefix="0" xfId="1"/>
    <xf numFmtId="170" fontId="55" fillId="0" borderId="0" applyAlignment="1" pivotButton="0" quotePrefix="0" xfId="10">
      <alignment horizontal="center"/>
    </xf>
    <xf numFmtId="166" fontId="4" fillId="3" borderId="0" pivotButton="0" quotePrefix="0" xfId="0"/>
    <xf numFmtId="166" fontId="4" fillId="0" borderId="3" pivotButton="0" quotePrefix="0" xfId="0"/>
    <xf numFmtId="0" fontId="53" fillId="0" borderId="0" pivotButton="0" quotePrefix="0" xfId="0"/>
    <xf numFmtId="169" fontId="4" fillId="0" borderId="3" pivotButton="0" quotePrefix="0" xfId="0"/>
    <xf numFmtId="167" fontId="4" fillId="0" borderId="0" pivotButton="0" quotePrefix="0" xfId="0"/>
    <xf numFmtId="169" fontId="4" fillId="15" borderId="3" pivotButton="0" quotePrefix="0" xfId="0"/>
    <xf numFmtId="167" fontId="4" fillId="0" borderId="0" pivotButton="0" quotePrefix="0" xfId="1"/>
    <xf numFmtId="165" fontId="4" fillId="0" borderId="0" pivotButton="0" quotePrefix="0" xfId="0"/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0" fontId="29" fillId="0" borderId="0" applyAlignment="1" pivotButton="0" quotePrefix="0" xfId="0">
      <alignment horizontal="center" wrapText="1"/>
    </xf>
    <xf numFmtId="0" fontId="6" fillId="0" borderId="1" pivotButton="0" quotePrefix="0" xfId="0"/>
    <xf numFmtId="166" fontId="29" fillId="0" borderId="0" pivotButton="0" quotePrefix="0" xfId="1"/>
    <xf numFmtId="166" fontId="29" fillId="0" borderId="1" pivotButton="0" quotePrefix="0" xfId="0"/>
    <xf numFmtId="166" fontId="29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horizontal="center"/>
    </xf>
    <xf numFmtId="172" fontId="37" fillId="0" borderId="0" pivotButton="0" quotePrefix="0" xfId="15"/>
    <xf numFmtId="172" fontId="43" fillId="0" borderId="0" pivotButton="0" quotePrefix="0" xfId="15"/>
    <xf numFmtId="172" fontId="37" fillId="10" borderId="0" pivotButton="0" quotePrefix="0" xfId="15"/>
    <xf numFmtId="0" fontId="37" fillId="0" borderId="0" applyAlignment="1" pivotButton="0" quotePrefix="0" xfId="0">
      <alignment horizontal="center" vertical="center"/>
    </xf>
    <xf numFmtId="169" fontId="37" fillId="0" borderId="0" pivotButton="0" quotePrefix="0" xfId="15"/>
    <xf numFmtId="169" fontId="43" fillId="0" borderId="0" pivotButton="0" quotePrefix="0" xfId="15"/>
    <xf numFmtId="169" fontId="37" fillId="0" borderId="0" pivotButton="0" quotePrefix="0" xfId="0"/>
    <xf numFmtId="169" fontId="43" fillId="0" borderId="3" pivotButton="0" quotePrefix="0" xfId="15"/>
    <xf numFmtId="169" fontId="43" fillId="10" borderId="0" pivotButton="0" quotePrefix="0" xfId="0"/>
    <xf numFmtId="169" fontId="43" fillId="0" borderId="0" pivotButton="0" quotePrefix="0" xfId="0"/>
    <xf numFmtId="169" fontId="43" fillId="10" borderId="0" pivotButton="0" quotePrefix="0" xfId="15"/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9" fontId="7" fillId="0" borderId="28" pivotButton="0" quotePrefix="0" xfId="0"/>
    <xf numFmtId="169" fontId="4" fillId="3" borderId="0" pivotButton="0" quotePrefix="0" xfId="0"/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0" borderId="12" applyAlignment="1" pivotButton="0" quotePrefix="0" xfId="0">
      <alignment horizontal="right" vertical="center" wrapText="1"/>
    </xf>
    <xf numFmtId="168" fontId="0" fillId="0" borderId="0" pivotButton="0" quotePrefix="0" xfId="2"/>
    <xf numFmtId="165" fontId="6" fillId="0" borderId="13" applyAlignment="1" pivotButton="0" quotePrefix="0" xfId="0">
      <alignment horizontal="left" vertical="center" wrapText="1"/>
    </xf>
    <xf numFmtId="168" fontId="6" fillId="0" borderId="0" applyAlignment="1" pivotButton="0" quotePrefix="0" xfId="2">
      <alignment horizontal="right" vertical="center" wrapText="1"/>
    </xf>
    <xf numFmtId="168" fontId="29" fillId="0" borderId="13" applyAlignment="1" pivotButton="0" quotePrefix="0" xfId="0">
      <alignment vertical="center" wrapText="1"/>
    </xf>
    <xf numFmtId="0" fontId="19" fillId="0" borderId="0" pivotButton="0" quotePrefix="0" xfId="0"/>
    <xf numFmtId="166" fontId="15" fillId="0" borderId="0" applyAlignment="1" pivotButton="0" quotePrefix="0" xfId="0">
      <alignment horizontal="right"/>
    </xf>
    <xf numFmtId="165" fontId="6" fillId="3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left" vertical="center" wrapText="1"/>
    </xf>
    <xf numFmtId="0" fontId="75" fillId="0" borderId="0" applyAlignment="1" pivotButton="0" quotePrefix="0" xfId="0">
      <alignment horizontal="right" vertical="center" wrapText="1"/>
    </xf>
    <xf numFmtId="0" fontId="50" fillId="0" borderId="0" applyAlignment="1" pivotButton="0" quotePrefix="0" xfId="0">
      <alignment horizontal="left" vertical="center" wrapText="1"/>
    </xf>
    <xf numFmtId="0" fontId="75" fillId="0" borderId="13" applyAlignment="1" pivotButton="0" quotePrefix="0" xfId="0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0" fontId="76" fillId="0" borderId="0" applyAlignment="1" pivotButton="0" quotePrefix="0" xfId="0">
      <alignment horizontal="center" vertical="center" wrapText="1"/>
    </xf>
    <xf numFmtId="166" fontId="50" fillId="0" borderId="0" applyAlignment="1" pivotButton="0" quotePrefix="0" xfId="1">
      <alignment horizontal="right" vertical="center" wrapText="1"/>
    </xf>
    <xf numFmtId="166" fontId="75" fillId="0" borderId="13" applyAlignment="1" pivotButton="0" quotePrefix="0" xfId="1">
      <alignment horizontal="right" vertical="center" wrapText="1"/>
    </xf>
    <xf numFmtId="0" fontId="31" fillId="0" borderId="0" applyAlignment="1" pivotButton="0" quotePrefix="0" xfId="0">
      <alignment horizontal="justify" vertical="center" wrapText="1"/>
    </xf>
    <xf numFmtId="168" fontId="6" fillId="0" borderId="1" applyAlignment="1" pivotButton="0" quotePrefix="0" xfId="2">
      <alignment horizontal="right" vertical="center" wrapText="1"/>
    </xf>
    <xf numFmtId="0" fontId="28" fillId="0" borderId="0" pivotButton="0" quotePrefix="0" xfId="0"/>
    <xf numFmtId="0" fontId="0" fillId="4" borderId="0" pivotButton="0" quotePrefix="0" xfId="0"/>
    <xf numFmtId="0" fontId="38" fillId="9" borderId="0" applyAlignment="1" pivotButton="0" quotePrefix="0" xfId="0">
      <alignment vertical="center" wrapText="1"/>
    </xf>
    <xf numFmtId="168" fontId="23" fillId="0" borderId="0" pivotButton="0" quotePrefix="0" xfId="1"/>
    <xf numFmtId="168" fontId="38" fillId="9" borderId="0" applyAlignment="1" pivotButton="0" quotePrefix="0" xfId="1">
      <alignment horizontal="right" vertical="center" wrapText="1"/>
    </xf>
    <xf numFmtId="0" fontId="7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justify" vertical="center"/>
    </xf>
    <xf numFmtId="0" fontId="75" fillId="0" borderId="12" applyAlignment="1" pivotButton="0" quotePrefix="0" xfId="0">
      <alignment vertical="center" wrapText="1"/>
    </xf>
    <xf numFmtId="0" fontId="75" fillId="0" borderId="0" applyAlignment="1" pivotButton="0" quotePrefix="0" xfId="0">
      <alignment vertical="center" wrapText="1"/>
    </xf>
    <xf numFmtId="0" fontId="77" fillId="0" borderId="0" applyAlignment="1" pivotButton="0" quotePrefix="0" xfId="0">
      <alignment vertical="center" wrapText="1"/>
    </xf>
    <xf numFmtId="0" fontId="78" fillId="0" borderId="0" pivotButton="0" quotePrefix="0" xfId="0"/>
    <xf numFmtId="166" fontId="76" fillId="0" borderId="0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5" fontId="6" fillId="0" borderId="1" applyAlignment="1" pivotButton="0" quotePrefix="0" xfId="1">
      <alignment horizontal="left" vertical="center" wrapText="1"/>
    </xf>
    <xf numFmtId="0" fontId="50" fillId="0" borderId="0" applyAlignment="1" pivotButton="0" quotePrefix="0" xfId="0">
      <alignment horizontal="justify" vertical="center" wrapText="1"/>
    </xf>
    <xf numFmtId="0" fontId="79" fillId="9" borderId="0" applyAlignment="1" pivotButton="0" quotePrefix="0" xfId="0">
      <alignment horizontal="left" vertical="center" wrapText="1"/>
    </xf>
    <xf numFmtId="0" fontId="79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center" vertical="center" wrapText="1"/>
    </xf>
    <xf numFmtId="0" fontId="75" fillId="9" borderId="0" applyAlignment="1" pivotButton="0" quotePrefix="0" xfId="0">
      <alignment horizontal="center" vertical="center" wrapText="1"/>
    </xf>
    <xf numFmtId="0" fontId="50" fillId="9" borderId="0" applyAlignment="1" pivotButton="0" quotePrefix="0" xfId="0">
      <alignment horizontal="justify" vertical="center" wrapText="1"/>
    </xf>
    <xf numFmtId="0" fontId="50" fillId="9" borderId="0" applyAlignment="1" pivotButton="0" quotePrefix="0" xfId="0">
      <alignment horizontal="right" vertical="center" wrapText="1"/>
    </xf>
    <xf numFmtId="166" fontId="23" fillId="4" borderId="0" pivotButton="0" quotePrefix="0" xfId="0"/>
    <xf numFmtId="165" fontId="6" fillId="14" borderId="0" applyAlignment="1" pivotButton="0" quotePrefix="0" xfId="1">
      <alignment horizontal="right" vertical="center" wrapText="1"/>
    </xf>
    <xf numFmtId="0" fontId="80" fillId="0" borderId="0" pivotButton="0" quotePrefix="0" xfId="0"/>
    <xf numFmtId="0" fontId="81" fillId="0" borderId="0" pivotButton="0" quotePrefix="0" xfId="0"/>
    <xf numFmtId="166" fontId="0" fillId="4" borderId="0" pivotButton="0" quotePrefix="0" xfId="2"/>
    <xf numFmtId="0" fontId="38" fillId="4" borderId="0" applyAlignment="1" pivotButton="0" quotePrefix="0" xfId="0">
      <alignment horizontal="justify" vertical="center" wrapText="1"/>
    </xf>
    <xf numFmtId="0" fontId="38" fillId="4" borderId="0" applyAlignment="1" pivotButton="0" quotePrefix="0" xfId="0">
      <alignment horizontal="center" vertical="center" wrapText="1"/>
    </xf>
    <xf numFmtId="166" fontId="38" fillId="4" borderId="0" applyAlignment="1" pivotButton="0" quotePrefix="0" xfId="0">
      <alignment vertical="center" wrapText="1"/>
    </xf>
    <xf numFmtId="0" fontId="37" fillId="4" borderId="0" pivotButton="0" quotePrefix="0" xfId="0"/>
    <xf numFmtId="0" fontId="38" fillId="4" borderId="0" applyAlignment="1" pivotButton="0" quotePrefix="0" xfId="0">
      <alignment horizontal="left" vertical="center" wrapText="1"/>
    </xf>
    <xf numFmtId="0" fontId="38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justify" vertical="center" wrapText="1"/>
    </xf>
    <xf numFmtId="14" fontId="36" fillId="4" borderId="0" applyAlignment="1" pivotButton="0" quotePrefix="0" xfId="0">
      <alignment vertical="center" wrapText="1"/>
    </xf>
    <xf numFmtId="0" fontId="36" fillId="4" borderId="0" applyAlignment="1" pivotButton="0" quotePrefix="0" xfId="0">
      <alignment horizontal="justify" vertical="center" wrapText="1"/>
    </xf>
    <xf numFmtId="0" fontId="38" fillId="4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0" fontId="37" fillId="0" borderId="1" pivotButton="0" quotePrefix="0" xfId="0"/>
    <xf numFmtId="0" fontId="82" fillId="0" borderId="0" pivotButton="0" quotePrefix="0" xfId="0"/>
    <xf numFmtId="0" fontId="0" fillId="0" borderId="0" applyAlignment="1" pivotButton="0" quotePrefix="0" xfId="0">
      <alignment horizontal="right"/>
    </xf>
    <xf numFmtId="166" fontId="47" fillId="0" borderId="0" applyAlignment="1" pivotButton="0" quotePrefix="0" xfId="0">
      <alignment horizontal="center" vertical="center" wrapText="1"/>
    </xf>
    <xf numFmtId="165" fontId="80" fillId="4" borderId="0" pivotButton="0" quotePrefix="0" xfId="0"/>
    <xf numFmtId="0" fontId="32" fillId="4" borderId="0" applyAlignment="1" pivotButton="0" quotePrefix="0" xfId="0">
      <alignment horizontal="right" vertical="center" wrapText="1"/>
    </xf>
    <xf numFmtId="14" fontId="32" fillId="4" borderId="0" applyAlignment="1" pivotButton="0" quotePrefix="0" xfId="0">
      <alignment horizontal="right" vertical="center" wrapText="1"/>
    </xf>
    <xf numFmtId="0" fontId="32" fillId="4" borderId="12" applyAlignment="1" pivotButton="0" quotePrefix="0" xfId="0">
      <alignment horizontal="right" vertical="center" wrapText="1"/>
    </xf>
    <xf numFmtId="10" fontId="32" fillId="4" borderId="12" applyAlignment="1" pivotButton="0" quotePrefix="0" xfId="0">
      <alignment horizontal="right" vertical="center" wrapText="1"/>
    </xf>
    <xf numFmtId="0" fontId="5" fillId="9" borderId="0" applyAlignment="1" pivotButton="0" quotePrefix="0" xfId="0">
      <alignment horizontal="left" vertical="center" wrapText="1"/>
    </xf>
    <xf numFmtId="166" fontId="80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0" fontId="80" fillId="4" borderId="0" pivotButton="0" quotePrefix="0" xfId="0"/>
    <xf numFmtId="0" fontId="81" fillId="4" borderId="0" pivotButton="0" quotePrefix="0" xfId="0"/>
    <xf numFmtId="0" fontId="81" fillId="0" borderId="1" pivotButton="0" quotePrefix="0" xfId="0"/>
    <xf numFmtId="14" fontId="31" fillId="9" borderId="0" applyAlignment="1" pivotButton="0" quotePrefix="0" xfId="0">
      <alignment horizontal="center" vertical="center" wrapText="1"/>
    </xf>
    <xf numFmtId="164" fontId="6" fillId="9" borderId="0" applyAlignment="1" pivotButton="0" quotePrefix="0" xfId="2">
      <alignment horizontal="right" vertical="center" wrapText="1"/>
    </xf>
    <xf numFmtId="0" fontId="37" fillId="0" borderId="0" applyAlignment="1" pivotButton="0" quotePrefix="0" xfId="0">
      <alignment horizontal="center"/>
    </xf>
    <xf numFmtId="0" fontId="15" fillId="9" borderId="0" applyAlignment="1" pivotButton="0" quotePrefix="0" xfId="0">
      <alignment horizontal="justify" vertical="center" wrapText="1"/>
    </xf>
    <xf numFmtId="0" fontId="38" fillId="9" borderId="0" applyAlignment="1" pivotButton="0" quotePrefix="0" xfId="0">
      <alignment horizontal="justify" vertical="center" wrapText="1"/>
    </xf>
    <xf numFmtId="0" fontId="36" fillId="9" borderId="0" applyAlignment="1" pivotButton="0" quotePrefix="0" xfId="0">
      <alignment horizontal="justify" vertical="center" wrapText="1"/>
    </xf>
    <xf numFmtId="0" fontId="16" fillId="0" borderId="0" applyAlignment="1" pivotButton="0" quotePrefix="0" xfId="0">
      <alignment horizontal="left" vertical="center" wrapText="1"/>
    </xf>
    <xf numFmtId="165" fontId="38" fillId="0" borderId="0" applyAlignment="1" pivotButton="0" quotePrefix="0" xfId="1">
      <alignment horizontal="right" vertical="center" wrapText="1"/>
    </xf>
    <xf numFmtId="0" fontId="50" fillId="9" borderId="0" applyAlignment="1" pivotButton="0" quotePrefix="0" xfId="0">
      <alignment horizontal="left"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0" applyAlignment="1" pivotButton="0" quotePrefix="0" xfId="0">
      <alignment horizontal="right" vertical="center" wrapText="1"/>
    </xf>
    <xf numFmtId="3" fontId="40" fillId="0" borderId="0" applyAlignment="1" pivotButton="0" quotePrefix="0" xfId="0">
      <alignment horizontal="right" vertical="center" wrapText="1"/>
    </xf>
    <xf numFmtId="3" fontId="41" fillId="0" borderId="0" applyAlignment="1" pivotButton="0" quotePrefix="0" xfId="0">
      <alignment horizontal="right" vertical="center" wrapText="1"/>
    </xf>
    <xf numFmtId="3" fontId="37" fillId="0" borderId="0" pivotButton="0" quotePrefix="0" xfId="0"/>
    <xf numFmtId="167" fontId="37" fillId="0" borderId="0" pivotButton="0" quotePrefix="0" xfId="0"/>
    <xf numFmtId="165" fontId="37" fillId="0" borderId="0" pivotButton="0" quotePrefix="0" xfId="1"/>
    <xf numFmtId="175" fontId="37" fillId="0" borderId="0" pivotButton="0" quotePrefix="0" xfId="0"/>
    <xf numFmtId="0" fontId="38" fillId="4" borderId="24" applyAlignment="1" pivotButton="0" quotePrefix="0" xfId="0">
      <alignment horizontal="justify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29" applyAlignment="1" pivotButton="0" quotePrefix="0" xfId="0">
      <alignment horizontal="left" vertical="center" wrapText="1"/>
    </xf>
    <xf numFmtId="166" fontId="38" fillId="4" borderId="30" applyAlignment="1" pivotButton="0" quotePrefix="0" xfId="0">
      <alignment vertical="center" wrapText="1"/>
    </xf>
    <xf numFmtId="0" fontId="38" fillId="4" borderId="24" applyAlignment="1" pivotButton="0" quotePrefix="0" xfId="0">
      <alignment horizontal="center" vertical="center" wrapText="1"/>
    </xf>
    <xf numFmtId="166" fontId="0" fillId="4" borderId="29" pivotButton="0" quotePrefix="0" xfId="2"/>
    <xf numFmtId="166" fontId="23" fillId="4" borderId="29" pivotButton="0" quotePrefix="0" xfId="0"/>
    <xf numFmtId="0" fontId="29" fillId="4" borderId="0" pivotButton="0" quotePrefix="0" xfId="0"/>
    <xf numFmtId="0" fontId="50" fillId="4" borderId="0" applyAlignment="1" pivotButton="0" quotePrefix="0" xfId="0">
      <alignment horizontal="left" vertical="center" wrapText="1"/>
    </xf>
    <xf numFmtId="0" fontId="38" fillId="4" borderId="26" applyAlignment="1" pivotButton="0" quotePrefix="0" xfId="0">
      <alignment horizontal="left"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0" fontId="42" fillId="4" borderId="0" pivotButton="0" quotePrefix="0" xfId="0"/>
    <xf numFmtId="0" fontId="37" fillId="0" borderId="29" pivotButton="0" quotePrefix="0" xfId="0"/>
    <xf numFmtId="0" fontId="37" fillId="0" borderId="30" pivotButton="0" quotePrefix="0" xfId="0"/>
    <xf numFmtId="0" fontId="38" fillId="9" borderId="29" applyAlignment="1" pivotButton="0" quotePrefix="0" xfId="0">
      <alignment horizontal="center" vertical="center" wrapText="1"/>
    </xf>
    <xf numFmtId="0" fontId="38" fillId="9" borderId="30" applyAlignment="1" pivotButton="0" quotePrefix="0" xfId="0">
      <alignment vertical="center" wrapText="1"/>
    </xf>
    <xf numFmtId="0" fontId="38" fillId="9" borderId="30" applyAlignment="1" pivotButton="0" quotePrefix="0" xfId="0">
      <alignment horizontal="center" vertical="center" wrapText="1"/>
    </xf>
    <xf numFmtId="168" fontId="74" fillId="9" borderId="30" applyAlignment="1" pivotButton="0" quotePrefix="0" xfId="1">
      <alignment vertical="center" wrapText="1"/>
    </xf>
    <xf numFmtId="168" fontId="74" fillId="4" borderId="29" applyAlignment="1" pivotButton="0" quotePrefix="0" xfId="1">
      <alignment vertical="center" wrapText="1"/>
    </xf>
    <xf numFmtId="168" fontId="74" fillId="4" borderId="30" applyAlignment="1" pivotButton="0" quotePrefix="0" xfId="1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0" fontId="38" fillId="4" borderId="29" applyAlignment="1" pivotButton="0" quotePrefix="0" xfId="0">
      <alignment horizontal="center" vertical="center" wrapText="1"/>
    </xf>
    <xf numFmtId="0" fontId="38" fillId="4" borderId="30" applyAlignment="1" pivotButton="0" quotePrefix="0" xfId="0">
      <alignment vertical="center" wrapText="1"/>
    </xf>
    <xf numFmtId="0" fontId="38" fillId="4" borderId="30" applyAlignment="1" pivotButton="0" quotePrefix="0" xfId="0">
      <alignment horizontal="center" vertical="center" wrapText="1"/>
    </xf>
    <xf numFmtId="0" fontId="38" fillId="4" borderId="26" applyAlignment="1" pivotButton="0" quotePrefix="0" xfId="0">
      <alignment horizontal="center" vertical="center" wrapText="1"/>
    </xf>
    <xf numFmtId="0" fontId="38" fillId="4" borderId="27" applyAlignment="1" pivotButton="0" quotePrefix="0" xfId="0">
      <alignment horizontal="center" vertical="center" wrapText="1"/>
    </xf>
    <xf numFmtId="14" fontId="36" fillId="4" borderId="2" applyAlignment="1" pivotButton="0" quotePrefix="0" xfId="0">
      <alignment vertical="center" wrapText="1"/>
    </xf>
    <xf numFmtId="0" fontId="37" fillId="4" borderId="24" pivotButton="0" quotePrefix="0" xfId="0"/>
    <xf numFmtId="14" fontId="36" fillId="4" borderId="25" applyAlignment="1" pivotButton="0" quotePrefix="0" xfId="0">
      <alignment vertical="center" wrapText="1"/>
    </xf>
    <xf numFmtId="0" fontId="37" fillId="0" borderId="1" applyAlignment="1" pivotButton="0" quotePrefix="0" xfId="0">
      <alignment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32" fillId="9" borderId="12" applyAlignment="1" pivotButton="0" quotePrefix="0" xfId="0">
      <alignment horizontal="right" vertical="center" wrapText="1"/>
    </xf>
    <xf numFmtId="164" fontId="32" fillId="9" borderId="0" applyAlignment="1" pivotButton="0" quotePrefix="0" xfId="0">
      <alignment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4" fontId="31" fillId="9" borderId="0" applyAlignment="1" pivotButton="0" quotePrefix="0" xfId="0">
      <alignment vertical="center" wrapText="1"/>
    </xf>
    <xf numFmtId="0" fontId="38" fillId="0" borderId="0" applyAlignment="1" pivotButton="0" quotePrefix="0" xfId="0">
      <alignment horizontal="justify" vertical="center"/>
    </xf>
    <xf numFmtId="0" fontId="31" fillId="9" borderId="0" applyAlignment="1" pivotButton="0" quotePrefix="0" xfId="0">
      <alignment horizontal="left" vertical="center" wrapText="1"/>
    </xf>
    <xf numFmtId="164" fontId="4" fillId="9" borderId="0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justify" vertical="center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 wrapText="1"/>
    </xf>
    <xf numFmtId="0" fontId="38" fillId="0" borderId="1" applyAlignment="1" pivotButton="0" quotePrefix="0" xfId="0">
      <alignment horizontal="justify" vertical="center"/>
    </xf>
    <xf numFmtId="0" fontId="35" fillId="0" borderId="1" applyAlignment="1" pivotButton="0" quotePrefix="0" xfId="0">
      <alignment horizontal="justify" vertical="center"/>
    </xf>
    <xf numFmtId="0" fontId="32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justify" vertical="center" wrapText="1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4" fontId="32" fillId="9" borderId="15" applyAlignment="1" pivotButton="0" quotePrefix="0" xfId="0">
      <alignment horizontal="right" vertical="center" wrapText="1"/>
    </xf>
    <xf numFmtId="0" fontId="71" fillId="0" borderId="0" applyAlignment="1" pivotButton="0" quotePrefix="0" xfId="0">
      <alignment horizontal="right"/>
    </xf>
    <xf numFmtId="0" fontId="83" fillId="0" borderId="0" pivotButton="0" quotePrefix="0" xfId="0"/>
    <xf numFmtId="176" fontId="47" fillId="9" borderId="0" applyAlignment="1" pivotButton="0" quotePrefix="0" xfId="3">
      <alignment horizontal="right" vertical="center"/>
    </xf>
    <xf numFmtId="0" fontId="84" fillId="0" borderId="0" applyAlignment="1" pivotButton="0" quotePrefix="0" xfId="0">
      <alignment horizontal="justify" vertical="center"/>
    </xf>
    <xf numFmtId="0" fontId="4" fillId="9" borderId="0" applyAlignment="1" pivotButton="0" quotePrefix="0" xfId="0">
      <alignment horizontal="center" vertical="center" wrapText="1"/>
    </xf>
    <xf numFmtId="46" fontId="15" fillId="0" borderId="0" applyAlignment="1" pivotButton="0" quotePrefix="0" xfId="0">
      <alignment horizontal="justify" vertical="center"/>
    </xf>
    <xf numFmtId="0" fontId="5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vertical="top" wrapText="1"/>
    </xf>
    <xf numFmtId="0" fontId="50" fillId="0" borderId="0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center" vertical="center" wrapText="1"/>
    </xf>
    <xf numFmtId="0" fontId="50" fillId="0" borderId="12" applyAlignment="1" pivotButton="0" quotePrefix="0" xfId="0">
      <alignment horizontal="justify" vertical="center" wrapText="1"/>
    </xf>
    <xf numFmtId="0" fontId="4" fillId="0" borderId="0" applyAlignment="1" pivotButton="0" quotePrefix="0" xfId="0">
      <alignment horizontal="right" vertical="center" wrapText="1"/>
    </xf>
    <xf numFmtId="0" fontId="4" fillId="9" borderId="0" applyAlignment="1" pivotButton="0" quotePrefix="0" xfId="0">
      <alignment vertical="center" wrapText="1"/>
    </xf>
    <xf numFmtId="14" fontId="46" fillId="9" borderId="0" applyAlignment="1" pivotButton="0" quotePrefix="0" xfId="0">
      <alignment vertical="center" wrapText="1"/>
    </xf>
    <xf numFmtId="0" fontId="46" fillId="9" borderId="0" applyAlignment="1" pivotButton="0" quotePrefix="0" xfId="0">
      <alignment vertical="center" wrapText="1"/>
    </xf>
    <xf numFmtId="0" fontId="32" fillId="9" borderId="0" applyAlignment="1" pivotButton="0" quotePrefix="0" xfId="0">
      <alignment vertical="center" wrapText="1"/>
    </xf>
    <xf numFmtId="0" fontId="32" fillId="9" borderId="1" applyAlignment="1" pivotButton="0" quotePrefix="0" xfId="0">
      <alignment vertical="center" wrapText="1"/>
    </xf>
    <xf numFmtId="14" fontId="32" fillId="9" borderId="1" applyAlignment="1" pivotButton="0" quotePrefix="0" xfId="0">
      <alignment horizontal="center" vertical="center" wrapText="1"/>
    </xf>
    <xf numFmtId="3" fontId="32" fillId="9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75" fillId="0" borderId="9" applyAlignment="1" pivotButton="0" quotePrefix="0" xfId="0">
      <alignment horizontal="center" vertical="center" wrapText="1"/>
    </xf>
    <xf numFmtId="0" fontId="50" fillId="0" borderId="0" applyAlignment="1" pivotButton="0" quotePrefix="0" xfId="0">
      <alignment vertical="center" wrapText="1"/>
    </xf>
    <xf numFmtId="0" fontId="50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4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3" fontId="6" fillId="0" borderId="12" applyAlignment="1" pivotButton="0" quotePrefix="0" xfId="0">
      <alignment horizontal="right" vertical="center"/>
    </xf>
    <xf numFmtId="165" fontId="6" fillId="3" borderId="0" applyAlignment="1" pivotButton="0" quotePrefix="0" xfId="1">
      <alignment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left" vertical="center" wrapText="1"/>
    </xf>
    <xf numFmtId="165" fontId="6" fillId="4" borderId="0" applyAlignment="1" pivotButton="0" quotePrefix="0" xfId="1">
      <alignment horizontal="right" vertical="center" wrapText="1"/>
    </xf>
    <xf numFmtId="0" fontId="86" fillId="0" borderId="0" pivotButton="0" quotePrefix="0" xfId="0"/>
    <xf numFmtId="166" fontId="4" fillId="4" borderId="12" applyAlignment="1" pivotButton="0" quotePrefix="0" xfId="1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4" fontId="23" fillId="0" borderId="0" pivotButton="0" quotePrefix="0" xfId="0"/>
    <xf numFmtId="14" fontId="23" fillId="0" borderId="1" applyAlignment="1" pivotButton="0" quotePrefix="0" xfId="0">
      <alignment horizontal="center"/>
    </xf>
    <xf numFmtId="0" fontId="32" fillId="9" borderId="1" applyAlignment="1" pivotButton="0" quotePrefix="0" xfId="0">
      <alignment horizontal="right" vertical="center" wrapText="1"/>
    </xf>
    <xf numFmtId="166" fontId="32" fillId="4" borderId="1" applyAlignment="1" pivotButton="0" quotePrefix="0" xfId="0">
      <alignment horizontal="right" vertical="center" wrapText="1"/>
    </xf>
    <xf numFmtId="10" fontId="75" fillId="0" borderId="0" applyAlignment="1" pivotButton="0" quotePrefix="0" xfId="3">
      <alignment horizontal="center"/>
    </xf>
    <xf numFmtId="166" fontId="29" fillId="19" borderId="0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19" borderId="12" applyAlignment="1" pivotButton="0" quotePrefix="0" xfId="0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0" fontId="32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0" fontId="32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0" fontId="29" fillId="0" borderId="21" applyAlignment="1" pivotButton="0" quotePrefix="0" xfId="0">
      <alignment horizontal="left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22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center" wrapText="1" inden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66" fontId="50" fillId="0" borderId="0" applyAlignment="1" pivotButton="0" quotePrefix="0" xfId="0">
      <alignment horizontal="right" vertical="center" wrapText="1"/>
    </xf>
    <xf numFmtId="164" fontId="32" fillId="0" borderId="12" applyAlignment="1" pivotButton="0" quotePrefix="0" xfId="2">
      <alignment horizontal="right" vertical="center"/>
    </xf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4" fontId="88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 indent="1"/>
    </xf>
    <xf numFmtId="3" fontId="15" fillId="0" borderId="0" applyAlignment="1" pivotButton="0" quotePrefix="0" xfId="0">
      <alignment horizontal="right" vertical="center" wrapText="1"/>
    </xf>
    <xf numFmtId="3" fontId="15" fillId="0" borderId="13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14" fontId="89" fillId="0" borderId="0" applyAlignment="1" pivotButton="0" quotePrefix="0" xfId="0">
      <alignment horizontal="center" vertical="center"/>
    </xf>
    <xf numFmtId="0" fontId="89" fillId="9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/>
    </xf>
    <xf numFmtId="0" fontId="73" fillId="3" borderId="0" pivotButton="0" quotePrefix="0" xfId="0"/>
    <xf numFmtId="3" fontId="29" fillId="9" borderId="1" applyAlignment="1" pivotButton="0" quotePrefix="0" xfId="0">
      <alignment horizontal="right" vertical="center" wrapText="1"/>
    </xf>
    <xf numFmtId="0" fontId="38" fillId="9" borderId="26" applyAlignment="1" pivotButton="0" quotePrefix="0" xfId="0">
      <alignment horizontal="center" vertical="center" wrapText="1"/>
    </xf>
    <xf numFmtId="0" fontId="38" fillId="9" borderId="1" applyAlignment="1" pivotButton="0" quotePrefix="0" xfId="0">
      <alignment horizontal="center" vertical="center" wrapText="1"/>
    </xf>
    <xf numFmtId="0" fontId="38" fillId="9" borderId="27" applyAlignment="1" pivotButton="0" quotePrefix="0" xfId="0">
      <alignment horizontal="center" vertical="center" wrapText="1"/>
    </xf>
    <xf numFmtId="0" fontId="90" fillId="4" borderId="0" pivotButton="0" quotePrefix="0" xfId="0"/>
    <xf numFmtId="0" fontId="91" fillId="0" borderId="0" applyAlignment="1" pivotButton="0" quotePrefix="0" xfId="0">
      <alignment horizontal="center" vertical="center"/>
    </xf>
    <xf numFmtId="0" fontId="91" fillId="9" borderId="0" applyAlignment="1" pivotButton="0" quotePrefix="0" xfId="0">
      <alignment horizontal="center" vertical="center"/>
    </xf>
    <xf numFmtId="0" fontId="49" fillId="4" borderId="0" pivotButton="0" quotePrefix="0" xfId="0"/>
    <xf numFmtId="0" fontId="49" fillId="0" borderId="0" applyAlignment="1" pivotButton="0" quotePrefix="0" xfId="0">
      <alignment wrapText="1"/>
    </xf>
    <xf numFmtId="165" fontId="5" fillId="4" borderId="0" pivotButton="0" quotePrefix="0" xfId="0"/>
    <xf numFmtId="0" fontId="92" fillId="0" borderId="0" pivotButton="0" quotePrefix="0" xfId="0"/>
    <xf numFmtId="0" fontId="85" fillId="0" borderId="0" applyAlignment="1" pivotButton="0" quotePrefix="0" xfId="0">
      <alignment horizontal="left" vertical="center" wrapText="1"/>
    </xf>
    <xf numFmtId="0" fontId="93" fillId="0" borderId="0" applyAlignment="1" pivotButton="0" quotePrefix="0" xfId="0">
      <alignment horizontal="right"/>
    </xf>
    <xf numFmtId="0" fontId="93" fillId="0" borderId="0" pivotButton="0" quotePrefix="0" xfId="0"/>
    <xf numFmtId="0" fontId="94" fillId="0" borderId="0" pivotButton="0" quotePrefix="0" xfId="0"/>
    <xf numFmtId="3" fontId="93" fillId="0" borderId="0" pivotButton="0" quotePrefix="0" xfId="0"/>
    <xf numFmtId="0" fontId="95" fillId="0" borderId="0" pivotButton="0" quotePrefix="0" xfId="0"/>
    <xf numFmtId="0" fontId="95" fillId="0" borderId="1" pivotButton="0" quotePrefix="0" xfId="0"/>
    <xf numFmtId="0" fontId="95" fillId="0" borderId="5" pivotButton="0" quotePrefix="0" xfId="0"/>
    <xf numFmtId="0" fontId="95" fillId="0" borderId="0" applyAlignment="1" pivotButton="0" quotePrefix="0" xfId="0">
      <alignment horizontal="center"/>
    </xf>
    <xf numFmtId="0" fontId="95" fillId="0" borderId="0" applyAlignment="1" pivotButton="0" quotePrefix="0" xfId="0">
      <alignment wrapText="1"/>
    </xf>
    <xf numFmtId="168" fontId="95" fillId="0" borderId="0" pivotButton="0" quotePrefix="0" xfId="0"/>
    <xf numFmtId="168" fontId="95" fillId="0" borderId="1" pivotButton="0" quotePrefix="0" xfId="0"/>
    <xf numFmtId="0" fontId="96" fillId="0" borderId="0" pivotButton="0" quotePrefix="0" xfId="0"/>
    <xf numFmtId="164" fontId="95" fillId="0" borderId="0" pivotButton="0" quotePrefix="0" xfId="0"/>
    <xf numFmtId="168" fontId="95" fillId="0" borderId="5" pivotButton="0" quotePrefix="0" xfId="0"/>
    <xf numFmtId="0" fontId="95" fillId="4" borderId="0" applyAlignment="1" pivotButton="0" quotePrefix="0" xfId="0">
      <alignment wrapText="1"/>
    </xf>
    <xf numFmtId="0" fontId="97" fillId="0" borderId="0" pivotButton="0" quotePrefix="0" xfId="0"/>
    <xf numFmtId="0" fontId="93" fillId="0" borderId="1" pivotButton="0" quotePrefix="0" xfId="0"/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4" fontId="36" fillId="4" borderId="0" applyAlignment="1" pivotButton="0" quotePrefix="0" xfId="0">
      <alignment horizontal="center" vertical="center" wrapText="1"/>
    </xf>
    <xf numFmtId="166" fontId="76" fillId="0" borderId="4" applyAlignment="1" pivotButton="0" quotePrefix="0" xfId="1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8" fontId="0" fillId="0" borderId="1" pivotButton="0" quotePrefix="0" xfId="0"/>
    <xf numFmtId="168" fontId="6" fillId="4" borderId="0" applyAlignment="1" pivotButton="0" quotePrefix="0" xfId="0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right" vertical="center" wrapText="1"/>
    </xf>
    <xf numFmtId="0" fontId="31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center" vertical="center" wrapText="1"/>
    </xf>
    <xf numFmtId="0" fontId="4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0" fontId="49" fillId="4" borderId="0" applyAlignment="1" pivotButton="0" quotePrefix="0" xfId="0">
      <alignment wrapText="1"/>
    </xf>
    <xf numFmtId="0" fontId="46" fillId="4" borderId="0" applyAlignment="1" pivotButton="0" quotePrefix="0" xfId="0">
      <alignment horizontal="center" vertical="center" wrapText="1"/>
    </xf>
    <xf numFmtId="0" fontId="46" fillId="4" borderId="0" applyAlignment="1" pivotButton="0" quotePrefix="0" xfId="0">
      <alignment horizontal="left" vertical="center" wrapText="1"/>
    </xf>
    <xf numFmtId="0" fontId="46" fillId="4" borderId="0" applyAlignment="1" pivotButton="0" quotePrefix="0" xfId="0">
      <alignment vertical="center" wrapText="1"/>
    </xf>
    <xf numFmtId="0" fontId="32" fillId="4" borderId="0" applyAlignment="1" pivotButton="0" quotePrefix="0" xfId="0">
      <alignment horizontal="center" vertical="center" wrapText="1"/>
    </xf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0" fontId="15" fillId="4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wrapText="1"/>
    </xf>
    <xf numFmtId="166" fontId="37" fillId="4" borderId="0" pivotButton="0" quotePrefix="0" xfId="0"/>
    <xf numFmtId="0" fontId="99" fillId="0" borderId="0" applyAlignment="1" pivotButton="0" quotePrefix="0" xfId="0">
      <alignment horizontal="center" vertical="center"/>
    </xf>
    <xf numFmtId="14" fontId="98" fillId="0" borderId="0" applyAlignment="1" pivotButton="0" quotePrefix="0" xfId="0">
      <alignment horizontal="center" vertical="center"/>
    </xf>
    <xf numFmtId="164" fontId="1" fillId="0" borderId="0" pivotButton="0" quotePrefix="0" xfId="2"/>
    <xf numFmtId="164" fontId="1" fillId="0" borderId="31" pivotButton="0" quotePrefix="0" xfId="2"/>
    <xf numFmtId="0" fontId="98" fillId="0" borderId="0" applyAlignment="1" pivotButton="0" quotePrefix="0" xfId="0">
      <alignment vertical="center"/>
    </xf>
    <xf numFmtId="0" fontId="99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2"/>
    </xf>
    <xf numFmtId="14" fontId="52" fillId="0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 wrapText="1"/>
    </xf>
    <xf numFmtId="14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2"/>
    </xf>
    <xf numFmtId="0" fontId="4" fillId="0" borderId="31" applyAlignment="1" pivotButton="0" quotePrefix="0" xfId="0">
      <alignment horizontal="left" vertical="center" indent="2"/>
    </xf>
    <xf numFmtId="3" fontId="4" fillId="0" borderId="31" applyAlignment="1" pivotButton="0" quotePrefix="0" xfId="0">
      <alignment horizontal="right" vertical="center" indent="2"/>
    </xf>
    <xf numFmtId="3" fontId="4" fillId="0" borderId="0" applyAlignment="1" pivotButton="0" quotePrefix="0" xfId="0">
      <alignment horizontal="right" vertical="center" indent="2"/>
    </xf>
    <xf numFmtId="9" fontId="4" fillId="0" borderId="0" applyAlignment="1" pivotButton="0" quotePrefix="0" xfId="0">
      <alignment horizontal="right" vertical="center" indent="2"/>
    </xf>
    <xf numFmtId="9" fontId="4" fillId="0" borderId="31" applyAlignment="1" pivotButton="0" quotePrefix="0" xfId="0">
      <alignment horizontal="right" vertical="center" indent="2"/>
    </xf>
    <xf numFmtId="3" fontId="4" fillId="0" borderId="31" applyAlignment="1" pivotButton="0" quotePrefix="0" xfId="0">
      <alignment vertical="center"/>
    </xf>
    <xf numFmtId="0" fontId="4" fillId="3" borderId="0" applyAlignment="1" pivotButton="0" quotePrefix="0" xfId="0">
      <alignment horizontal="left" vertical="center" wrapText="1"/>
    </xf>
    <xf numFmtId="0" fontId="4" fillId="3" borderId="31" applyAlignment="1" pivotButton="0" quotePrefix="0" xfId="0">
      <alignment horizontal="left" vertical="center" indent="2"/>
    </xf>
    <xf numFmtId="0" fontId="15" fillId="4" borderId="0" pivotButton="0" quotePrefix="0" xfId="0"/>
    <xf numFmtId="0" fontId="15" fillId="0" borderId="0" applyAlignment="1" pivotButton="0" quotePrefix="0" xfId="0">
      <alignment horizontal="left" vertical="center" indent="1"/>
    </xf>
    <xf numFmtId="14" fontId="46" fillId="0" borderId="0" applyAlignment="1" pivotButton="0" quotePrefix="0" xfId="0">
      <alignment horizontal="center" vertical="center"/>
    </xf>
    <xf numFmtId="0" fontId="32" fillId="0" borderId="12" applyAlignment="1" pivotButton="0" quotePrefix="0" xfId="0">
      <alignment vertical="center"/>
    </xf>
    <xf numFmtId="0" fontId="32" fillId="0" borderId="12" applyAlignment="1" pivotButton="0" quotePrefix="0" xfId="0">
      <alignment horizontal="center" vertical="center"/>
    </xf>
    <xf numFmtId="9" fontId="32" fillId="0" borderId="0" applyAlignment="1" pivotButton="0" quotePrefix="0" xfId="0">
      <alignment horizontal="right" vertical="center"/>
    </xf>
    <xf numFmtId="0" fontId="32" fillId="0" borderId="12" applyAlignment="1" pivotButton="0" quotePrefix="0" xfId="0">
      <alignment horizontal="right" vertical="center"/>
    </xf>
    <xf numFmtId="0" fontId="32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3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4" fillId="0" borderId="9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88" fillId="0" borderId="0" applyAlignment="1" pivotButton="0" quotePrefix="0" xfId="0">
      <alignment horizontal="left" vertical="center" wrapText="1" indent="1"/>
    </xf>
    <xf numFmtId="14" fontId="88" fillId="0" borderId="0" applyAlignment="1" pivotButton="0" quotePrefix="0" xfId="0">
      <alignment horizontal="left" vertical="center" wrapText="1" indent="15"/>
    </xf>
    <xf numFmtId="0" fontId="31" fillId="0" borderId="0" applyAlignment="1" pivotButton="0" quotePrefix="0" xfId="0">
      <alignment horizontal="left" vertical="center" wrapText="1" indent="5"/>
    </xf>
    <xf numFmtId="14" fontId="0" fillId="0" borderId="17" applyAlignment="1" pivotButton="0" quotePrefix="0" xfId="0">
      <alignment horizontal="center"/>
    </xf>
    <xf numFmtId="0" fontId="0" fillId="0" borderId="31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43" fillId="4" borderId="0" applyAlignment="1" pivotButton="0" quotePrefix="0" xfId="0">
      <alignment horizontal="center"/>
    </xf>
    <xf numFmtId="0" fontId="37" fillId="0" borderId="0" pivotButton="0" quotePrefix="0" xfId="0"/>
    <xf numFmtId="0" fontId="37" fillId="0" borderId="0" applyAlignment="1" pivotButton="0" quotePrefix="0" xfId="0">
      <alignment horizontal="center"/>
    </xf>
    <xf numFmtId="14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 indent="5"/>
    </xf>
    <xf numFmtId="0" fontId="15" fillId="0" borderId="0" pivotButton="0" quotePrefix="0" xfId="0"/>
    <xf numFmtId="0" fontId="36" fillId="0" borderId="0" applyAlignment="1" pivotButton="0" quotePrefix="0" xfId="0">
      <alignment horizontal="justify" vertical="center" wrapText="1"/>
    </xf>
    <xf numFmtId="0" fontId="46" fillId="0" borderId="0" applyAlignment="1" pivotButton="0" quotePrefix="0" xfId="0">
      <alignment horizontal="left" vertical="center" wrapText="1"/>
    </xf>
    <xf numFmtId="14" fontId="47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8" fillId="0" borderId="0" applyAlignment="1" pivotButton="0" quotePrefix="0" xfId="0">
      <alignment horizontal="center"/>
    </xf>
    <xf numFmtId="14" fontId="47" fillId="9" borderId="0" applyAlignment="1" pivotButton="0" quotePrefix="0" xfId="0">
      <alignment horizontal="center" vertical="center" wrapText="1"/>
    </xf>
    <xf numFmtId="0" fontId="32" fillId="9" borderId="12" applyAlignment="1" pivotButton="0" quotePrefix="0" xfId="0">
      <alignment horizontal="justify" vertical="center" wrapText="1"/>
    </xf>
    <xf numFmtId="0" fontId="0" fillId="0" borderId="12" pivotButton="0" quotePrefix="0" xfId="0"/>
    <xf numFmtId="0" fontId="32" fillId="9" borderId="9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justify" vertical="center" wrapText="1"/>
    </xf>
    <xf numFmtId="0" fontId="6" fillId="0" borderId="0" applyAlignment="1" pivotButton="0" quotePrefix="0" xfId="0">
      <alignment horizontal="justify" vertical="center" wrapText="1"/>
    </xf>
    <xf numFmtId="0" fontId="27" fillId="0" borderId="17" applyAlignment="1" pivotButton="0" quotePrefix="0" xfId="0">
      <alignment horizontal="center" vertical="center" wrapText="1"/>
    </xf>
    <xf numFmtId="0" fontId="0" fillId="0" borderId="23" pivotButton="0" quotePrefix="0" xfId="0"/>
    <xf numFmtId="0" fontId="72" fillId="16" borderId="17" applyAlignment="1" pivotButton="0" quotePrefix="0" xfId="0">
      <alignment horizontal="center" vertical="center"/>
    </xf>
    <xf numFmtId="0" fontId="3" fillId="16" borderId="17" applyAlignment="1" pivotButton="0" quotePrefix="0" xfId="0">
      <alignment horizontal="center" vertical="center" wrapText="1"/>
    </xf>
    <xf numFmtId="0" fontId="72" fillId="16" borderId="17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left" vertical="center" wrapText="1" indent="4"/>
    </xf>
    <xf numFmtId="0" fontId="0" fillId="0" borderId="21" pivotButton="0" quotePrefix="0" xfId="0"/>
    <xf numFmtId="0" fontId="29" fillId="0" borderId="32" applyAlignment="1" pivotButton="0" quotePrefix="0" xfId="0">
      <alignment horizontal="left" vertical="center" wrapText="1"/>
    </xf>
    <xf numFmtId="0" fontId="0" fillId="0" borderId="19" pivotButton="0" quotePrefix="0" xfId="0"/>
    <xf numFmtId="0" fontId="87" fillId="0" borderId="32" applyAlignment="1" pivotButton="0" quotePrefix="0" xfId="0">
      <alignment horizontal="left" vertical="center" wrapText="1"/>
    </xf>
    <xf numFmtId="170" fontId="54" fillId="0" borderId="17" applyAlignment="1" pivotButton="0" quotePrefix="0" xfId="10">
      <alignment horizontal="center" wrapText="1"/>
    </xf>
    <xf numFmtId="170" fontId="58" fillId="0" borderId="0" applyAlignment="1" pivotButton="0" quotePrefix="0" xfId="10">
      <alignment horizontal="center" wrapText="1"/>
    </xf>
    <xf numFmtId="170" fontId="55" fillId="0" borderId="0" pivotButton="0" quotePrefix="0" xfId="10"/>
    <xf numFmtId="0" fontId="54" fillId="0" borderId="2" applyAlignment="1" pivotButton="0" quotePrefix="0" xfId="11">
      <alignment horizontal="center"/>
    </xf>
    <xf numFmtId="0" fontId="0" fillId="0" borderId="2" pivotButton="0" quotePrefix="0" xfId="0"/>
    <xf numFmtId="0" fontId="12" fillId="4" borderId="0" applyAlignment="1" pivotButton="0" quotePrefix="0" xfId="21">
      <alignment horizontal="center"/>
    </xf>
    <xf numFmtId="37" fontId="54" fillId="0" borderId="7" applyAlignment="1" pivotButton="0" quotePrefix="0" xfId="16">
      <alignment horizontal="center" vertical="center"/>
    </xf>
    <xf numFmtId="0" fontId="0" fillId="0" borderId="27" pivotButton="0" quotePrefix="0" xfId="0"/>
    <xf numFmtId="170" fontId="54" fillId="0" borderId="17" applyAlignment="1" pivotButton="0" quotePrefix="0" xfId="10">
      <alignment horizontal="center"/>
    </xf>
    <xf numFmtId="170" fontId="54" fillId="4" borderId="17" applyAlignment="1" pivotButton="0" quotePrefix="0" xfId="10">
      <alignment horizontal="center"/>
    </xf>
    <xf numFmtId="164" fontId="0" fillId="0" borderId="0" pivotButton="0" quotePrefix="0" xfId="2"/>
    <xf numFmtId="164" fontId="25" fillId="0" borderId="0" pivotButton="0" quotePrefix="0" xfId="2"/>
    <xf numFmtId="164" fontId="24" fillId="2" borderId="0" applyAlignment="1" pivotButton="0" quotePrefix="0" xfId="2">
      <alignment horizontal="center"/>
    </xf>
    <xf numFmtId="164" fontId="0" fillId="0" borderId="0" pivotButton="0" quotePrefix="0" xfId="0"/>
    <xf numFmtId="164" fontId="0" fillId="0" borderId="1" pivotButton="0" quotePrefix="0" xfId="2"/>
    <xf numFmtId="164" fontId="0" fillId="0" borderId="1" pivotButton="0" quotePrefix="0" xfId="0"/>
    <xf numFmtId="164" fontId="0" fillId="0" borderId="4" pivotButton="0" quotePrefix="0" xfId="2"/>
    <xf numFmtId="164" fontId="49" fillId="0" borderId="0" pivotButton="0" quotePrefix="0" xfId="2"/>
    <xf numFmtId="164" fontId="30" fillId="0" borderId="0" applyAlignment="1" pivotButton="0" quotePrefix="0" xfId="2">
      <alignment horizontal="center" vertical="center" wrapText="1"/>
    </xf>
    <xf numFmtId="165" fontId="6" fillId="3" borderId="0" applyAlignment="1" pivotButton="0" quotePrefix="0" xfId="1">
      <alignment vertical="center" wrapText="1"/>
    </xf>
    <xf numFmtId="165" fontId="6" fillId="3" borderId="0" applyAlignment="1" pivotButton="0" quotePrefix="0" xfId="1">
      <alignment horizontal="right" vertical="center" wrapText="1"/>
    </xf>
    <xf numFmtId="165" fontId="6" fillId="0" borderId="13" applyAlignment="1" pivotButton="0" quotePrefix="0" xfId="1">
      <alignment vertical="center" wrapText="1"/>
    </xf>
    <xf numFmtId="165" fontId="0" fillId="0" borderId="0" pivotButton="0" quotePrefix="0" xfId="1"/>
    <xf numFmtId="166" fontId="0" fillId="0" borderId="0" pivotButton="0" quotePrefix="0" xfId="2"/>
    <xf numFmtId="166" fontId="0" fillId="0" borderId="1" pivotButton="0" quotePrefix="0" xfId="2"/>
    <xf numFmtId="166" fontId="7" fillId="0" borderId="3" pivotButton="0" quotePrefix="0" xfId="2"/>
    <xf numFmtId="165" fontId="6" fillId="14" borderId="0" applyAlignment="1" pivotButton="0" quotePrefix="0" xfId="1">
      <alignment horizontal="right" vertical="center" wrapText="1"/>
    </xf>
    <xf numFmtId="166" fontId="29" fillId="9" borderId="12" applyAlignment="1" pivotButton="0" quotePrefix="0" xfId="0">
      <alignment horizontal="right" vertical="center" wrapText="1"/>
    </xf>
    <xf numFmtId="164" fontId="6" fillId="9" borderId="0" applyAlignment="1" pivotButton="0" quotePrefix="0" xfId="2">
      <alignment horizontal="right" vertical="center" wrapText="1"/>
    </xf>
    <xf numFmtId="166" fontId="6" fillId="19" borderId="0" applyAlignment="1" pivotButton="0" quotePrefix="0" xfId="0">
      <alignment horizontal="right" vertical="center" wrapText="1"/>
    </xf>
    <xf numFmtId="166" fontId="0" fillId="0" borderId="3" pivotButton="0" quotePrefix="0" xfId="2"/>
    <xf numFmtId="166" fontId="6" fillId="9" borderId="0" applyAlignment="1" pivotButton="0" quotePrefix="0" xfId="0">
      <alignment horizontal="right" vertical="center" wrapText="1"/>
    </xf>
    <xf numFmtId="166" fontId="0" fillId="4" borderId="0" pivotButton="0" quotePrefix="0" xfId="2"/>
    <xf numFmtId="166" fontId="0" fillId="0" borderId="0" pivotButton="0" quotePrefix="0" xfId="0"/>
    <xf numFmtId="166" fontId="6" fillId="9" borderId="12" applyAlignment="1" pivotButton="0" quotePrefix="0" xfId="0">
      <alignment horizontal="right" vertical="center" wrapText="1"/>
    </xf>
    <xf numFmtId="166" fontId="29" fillId="0" borderId="0" applyAlignment="1" pivotButton="0" quotePrefix="0" xfId="0">
      <alignment horizontal="right" vertical="center" wrapText="1"/>
    </xf>
    <xf numFmtId="166" fontId="29" fillId="19" borderId="0" applyAlignment="1" pivotButton="0" quotePrefix="0" xfId="0">
      <alignment horizontal="right" vertical="center" wrapText="1"/>
    </xf>
    <xf numFmtId="166" fontId="29" fillId="0" borderId="12" applyAlignment="1" pivotButton="0" quotePrefix="0" xfId="0">
      <alignment horizontal="right" vertical="center" wrapText="1"/>
    </xf>
    <xf numFmtId="166" fontId="29" fillId="19" borderId="12" applyAlignment="1" pivotButton="0" quotePrefix="0" xfId="0">
      <alignment horizontal="right" vertical="center" wrapText="1"/>
    </xf>
    <xf numFmtId="166" fontId="6" fillId="0" borderId="12" applyAlignment="1" pivotButton="0" quotePrefix="0" xfId="0">
      <alignment horizontal="right" vertical="center" wrapText="1"/>
    </xf>
    <xf numFmtId="168" fontId="6" fillId="0" borderId="0" applyAlignment="1" pivotButton="0" quotePrefix="0" xfId="1">
      <alignment horizontal="right" vertical="center" wrapText="1"/>
    </xf>
    <xf numFmtId="168" fontId="6" fillId="19" borderId="0" applyAlignment="1" pivotButton="0" quotePrefix="0" xfId="0">
      <alignment horizontal="right" vertical="center" wrapText="1"/>
    </xf>
    <xf numFmtId="168" fontId="0" fillId="19" borderId="0" pivotButton="0" quotePrefix="0" xfId="0"/>
    <xf numFmtId="168" fontId="6" fillId="0" borderId="12" applyAlignment="1" pivotButton="0" quotePrefix="0" xfId="0">
      <alignment horizontal="right" vertical="center" wrapText="1"/>
    </xf>
    <xf numFmtId="168" fontId="6" fillId="19" borderId="12" applyAlignment="1" pivotButton="0" quotePrefix="0" xfId="0">
      <alignment horizontal="right" vertical="center" wrapText="1"/>
    </xf>
    <xf numFmtId="168" fontId="0" fillId="0" borderId="0" pivotButton="0" quotePrefix="0" xfId="0"/>
    <xf numFmtId="166" fontId="0" fillId="0" borderId="0" pivotButton="0" quotePrefix="0" xfId="1"/>
    <xf numFmtId="168" fontId="0" fillId="0" borderId="0" pivotButton="0" quotePrefix="0" xfId="2"/>
    <xf numFmtId="166" fontId="0" fillId="0" borderId="3" pivotButton="0" quotePrefix="0" xfId="0"/>
    <xf numFmtId="168" fontId="0" fillId="0" borderId="1" pivotButton="0" quotePrefix="0" xfId="0"/>
    <xf numFmtId="166" fontId="0" fillId="0" borderId="4" pivotButton="0" quotePrefix="0" xfId="0"/>
    <xf numFmtId="166" fontId="38" fillId="4" borderId="30" applyAlignment="1" pivotButton="0" quotePrefix="0" xfId="0">
      <alignment vertical="center" wrapText="1"/>
    </xf>
    <xf numFmtId="166" fontId="23" fillId="4" borderId="29" pivotButton="0" quotePrefix="0" xfId="0"/>
    <xf numFmtId="166" fontId="23" fillId="4" borderId="0" pivotButton="0" quotePrefix="0" xfId="0"/>
    <xf numFmtId="168" fontId="74" fillId="9" borderId="30" applyAlignment="1" pivotButton="0" quotePrefix="0" xfId="1">
      <alignment vertical="center" wrapText="1"/>
    </xf>
    <xf numFmtId="165" fontId="38" fillId="0" borderId="0" applyAlignment="1" pivotButton="0" quotePrefix="0" xfId="1">
      <alignment horizontal="right" vertical="center" wrapText="1"/>
    </xf>
    <xf numFmtId="166" fontId="15" fillId="0" borderId="0" applyAlignment="1" pivotButton="0" quotePrefix="0" xfId="0">
      <alignment horizontal="right" vertical="center" wrapText="1"/>
    </xf>
    <xf numFmtId="166" fontId="0" fillId="4" borderId="29" pivotButton="0" quotePrefix="0" xfId="2"/>
    <xf numFmtId="168" fontId="74" fillId="4" borderId="29" applyAlignment="1" pivotButton="0" quotePrefix="0" xfId="1">
      <alignment vertical="center" wrapText="1"/>
    </xf>
    <xf numFmtId="168" fontId="74" fillId="4" borderId="0" applyAlignment="1" pivotButton="0" quotePrefix="0" xfId="1">
      <alignment vertical="center" wrapText="1"/>
    </xf>
    <xf numFmtId="166" fontId="15" fillId="0" borderId="1" applyAlignment="1" pivotButton="0" quotePrefix="0" xfId="0">
      <alignment horizontal="right" vertical="center" wrapText="1"/>
    </xf>
    <xf numFmtId="166" fontId="38" fillId="0" borderId="1" applyAlignment="1" pivotButton="0" quotePrefix="0" xfId="0">
      <alignment horizontal="right" vertical="center" wrapText="1"/>
    </xf>
    <xf numFmtId="166" fontId="38" fillId="4" borderId="1" applyAlignment="1" pivotButton="0" quotePrefix="0" xfId="0">
      <alignment horizontal="right" vertical="center" wrapText="1"/>
    </xf>
    <xf numFmtId="166" fontId="15" fillId="4" borderId="1" applyAlignment="1" pivotButton="0" quotePrefix="0" xfId="0">
      <alignment horizontal="right" vertical="center" wrapText="1"/>
    </xf>
    <xf numFmtId="166" fontId="16" fillId="0" borderId="3" applyAlignment="1" pivotButton="0" quotePrefix="0" xfId="0">
      <alignment horizontal="right" vertical="center" wrapText="1"/>
    </xf>
    <xf numFmtId="166" fontId="39" fillId="0" borderId="3" applyAlignment="1" pivotButton="0" quotePrefix="0" xfId="0">
      <alignment horizontal="right" vertical="center" wrapText="1"/>
    </xf>
    <xf numFmtId="166" fontId="16" fillId="4" borderId="3" applyAlignment="1" pivotButton="0" quotePrefix="0" xfId="0">
      <alignment horizontal="right" vertical="center" wrapText="1"/>
    </xf>
    <xf numFmtId="166" fontId="37" fillId="0" borderId="0" pivotButton="0" quotePrefix="0" xfId="0"/>
    <xf numFmtId="165" fontId="41" fillId="0" borderId="0" applyAlignment="1" pivotButton="0" quotePrefix="0" xfId="1">
      <alignment horizontal="right" vertical="center" wrapText="1"/>
    </xf>
    <xf numFmtId="167" fontId="37" fillId="0" borderId="0" pivotButton="0" quotePrefix="0" xfId="0"/>
    <xf numFmtId="168" fontId="74" fillId="4" borderId="30" applyAlignment="1" pivotButton="0" quotePrefix="0" xfId="1">
      <alignment vertical="center" wrapText="1"/>
    </xf>
    <xf numFmtId="166" fontId="0" fillId="4" borderId="26" pivotButton="0" quotePrefix="0" xfId="2"/>
    <xf numFmtId="166" fontId="0" fillId="4" borderId="1" pivotButton="0" quotePrefix="0" xfId="2"/>
    <xf numFmtId="166" fontId="38" fillId="4" borderId="27" applyAlignment="1" pivotButton="0" quotePrefix="0" xfId="0">
      <alignment vertical="center" wrapText="1"/>
    </xf>
    <xf numFmtId="168" fontId="23" fillId="4" borderId="26" pivotButton="0" quotePrefix="0" xfId="1"/>
    <xf numFmtId="168" fontId="23" fillId="4" borderId="1" pivotButton="0" quotePrefix="0" xfId="1"/>
    <xf numFmtId="168" fontId="23" fillId="4" borderId="27" pivotButton="0" quotePrefix="0" xfId="1"/>
    <xf numFmtId="166" fontId="38" fillId="4" borderId="0" applyAlignment="1" pivotButton="0" quotePrefix="0" xfId="0">
      <alignment vertical="center" wrapText="1"/>
    </xf>
    <xf numFmtId="166" fontId="38" fillId="4" borderId="3" applyAlignment="1" pivotButton="0" quotePrefix="0" xfId="0">
      <alignment horizontal="right" vertical="center" wrapText="1"/>
    </xf>
    <xf numFmtId="165" fontId="37" fillId="0" borderId="0" pivotButton="0" quotePrefix="0" xfId="1"/>
    <xf numFmtId="175" fontId="37" fillId="0" borderId="0" pivotButton="0" quotePrefix="0" xfId="0"/>
    <xf numFmtId="168" fontId="23" fillId="0" borderId="0" pivotButton="0" quotePrefix="0" xfId="1"/>
    <xf numFmtId="166" fontId="37" fillId="4" borderId="0" pivotButton="0" quotePrefix="0" xfId="0"/>
    <xf numFmtId="168" fontId="38" fillId="9" borderId="0" applyAlignment="1" pivotButton="0" quotePrefix="0" xfId="1">
      <alignment horizontal="right" vertical="center" wrapText="1"/>
    </xf>
    <xf numFmtId="166" fontId="76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0">
      <alignment horizontal="right" vertical="center" wrapText="1"/>
    </xf>
    <xf numFmtId="166" fontId="50" fillId="0" borderId="1" applyAlignment="1" pivotButton="0" quotePrefix="0" xfId="0">
      <alignment horizontal="right" vertical="center" wrapText="1"/>
    </xf>
    <xf numFmtId="166" fontId="76" fillId="0" borderId="4" applyAlignment="1" pivotButton="0" quotePrefix="0" xfId="1">
      <alignment horizontal="right" vertical="center" wrapText="1"/>
    </xf>
    <xf numFmtId="166" fontId="33" fillId="0" borderId="0" applyAlignment="1" pivotButton="0" quotePrefix="0" xfId="1">
      <alignment vertical="center" wrapText="1"/>
    </xf>
    <xf numFmtId="164" fontId="32" fillId="0" borderId="12" applyAlignment="1" pivotButton="0" quotePrefix="0" xfId="2">
      <alignment horizontal="right" vertical="center"/>
    </xf>
    <xf numFmtId="165" fontId="6" fillId="0" borderId="0" applyAlignment="1" pivotButton="0" quotePrefix="0" xfId="1">
      <alignment horizontal="right" vertical="center" wrapText="1"/>
    </xf>
    <xf numFmtId="166" fontId="29" fillId="0" borderId="13" applyAlignment="1" pivotButton="0" quotePrefix="0" xfId="0">
      <alignment vertical="center" wrapText="1"/>
    </xf>
    <xf numFmtId="164" fontId="1" fillId="0" borderId="0" pivotButton="0" quotePrefix="0" xfId="2"/>
    <xf numFmtId="164" fontId="1" fillId="0" borderId="31" pivotButton="0" quotePrefix="0" xfId="2"/>
    <xf numFmtId="166" fontId="47" fillId="0" borderId="0" applyAlignment="1" pivotButton="0" quotePrefix="0" xfId="0">
      <alignment horizontal="center" vertical="center" wrapText="1"/>
    </xf>
    <xf numFmtId="166" fontId="15" fillId="0" borderId="0" pivotButton="0" quotePrefix="0" xfId="2"/>
    <xf numFmtId="166" fontId="15" fillId="0" borderId="0" pivotButton="0" quotePrefix="0" xfId="0"/>
    <xf numFmtId="166" fontId="15" fillId="0" borderId="1" pivotButton="0" quotePrefix="0" xfId="2"/>
    <xf numFmtId="166" fontId="15" fillId="0" borderId="1" pivotButton="0" quotePrefix="0" xfId="0"/>
    <xf numFmtId="166" fontId="38" fillId="0" borderId="12" applyAlignment="1" pivotButton="0" quotePrefix="0" xfId="0">
      <alignment horizontal="right" vertical="center" wrapText="1"/>
    </xf>
    <xf numFmtId="166" fontId="36" fillId="0" borderId="0" applyAlignment="1" pivotButton="0" quotePrefix="0" xfId="0">
      <alignment horizontal="center" vertical="center" wrapText="1"/>
    </xf>
    <xf numFmtId="166" fontId="15" fillId="0" borderId="0" applyAlignment="1" pivotButton="0" quotePrefix="0" xfId="0">
      <alignment horizontal="right"/>
    </xf>
    <xf numFmtId="166" fontId="38" fillId="0" borderId="13" applyAlignment="1" pivotButton="0" quotePrefix="0" xfId="0">
      <alignment vertical="center" wrapText="1"/>
    </xf>
    <xf numFmtId="168" fontId="6" fillId="4" borderId="0" applyAlignment="1" pivotButton="0" quotePrefix="0" xfId="0">
      <alignment horizontal="right" vertical="center" wrapText="1"/>
    </xf>
    <xf numFmtId="165" fontId="6" fillId="4" borderId="0" applyAlignment="1" pivotButton="0" quotePrefix="0" xfId="1">
      <alignment horizontal="right" vertical="center" wrapText="1"/>
    </xf>
    <xf numFmtId="164" fontId="32" fillId="4" borderId="12" applyAlignment="1" pivotButton="0" quotePrefix="0" xfId="2">
      <alignment horizontal="right" vertical="center" wrapText="1"/>
    </xf>
    <xf numFmtId="164" fontId="6" fillId="4" borderId="0" applyAlignment="1" pivotButton="0" quotePrefix="0" xfId="2">
      <alignment horizontal="right" vertical="center" wrapText="1"/>
    </xf>
    <xf numFmtId="166" fontId="29" fillId="4" borderId="13" applyAlignment="1" pivotButton="0" quotePrefix="0" xfId="0">
      <alignment vertical="center" wrapText="1"/>
    </xf>
    <xf numFmtId="166" fontId="6" fillId="4" borderId="12" applyAlignment="1" pivotButton="0" quotePrefix="0" xfId="0">
      <alignment horizontal="right" vertical="center" wrapText="1"/>
    </xf>
    <xf numFmtId="166" fontId="29" fillId="4" borderId="12" applyAlignment="1" pivotButton="0" quotePrefix="0" xfId="0">
      <alignment horizontal="right" vertical="center" wrapText="1"/>
    </xf>
    <xf numFmtId="166" fontId="6" fillId="4" borderId="13" applyAlignment="1" pivotButton="0" quotePrefix="0" xfId="0">
      <alignment horizontal="right" vertical="center" wrapText="1"/>
    </xf>
    <xf numFmtId="165" fontId="5" fillId="4" borderId="0" pivotButton="0" quotePrefix="0" xfId="0"/>
    <xf numFmtId="165" fontId="6" fillId="4" borderId="0" applyAlignment="1" pivotButton="0" quotePrefix="0" xfId="1">
      <alignment horizontal="left" vertical="center" wrapText="1"/>
    </xf>
    <xf numFmtId="165" fontId="6" fillId="0" borderId="0" applyAlignment="1" pivotButton="0" quotePrefix="0" xfId="1">
      <alignment horizontal="left" vertical="center" wrapText="1"/>
    </xf>
    <xf numFmtId="164" fontId="6" fillId="3" borderId="0" applyAlignment="1" pivotButton="0" quotePrefix="0" xfId="2">
      <alignment horizontal="left" vertical="center" wrapText="1"/>
    </xf>
    <xf numFmtId="164" fontId="6" fillId="3" borderId="0" applyAlignment="1" pivotButton="0" quotePrefix="0" xfId="2">
      <alignment horizontal="right" vertical="center" wrapText="1"/>
    </xf>
    <xf numFmtId="164" fontId="6" fillId="3" borderId="1" applyAlignment="1" pivotButton="0" quotePrefix="0" xfId="2">
      <alignment horizontal="left" vertical="center" wrapText="1"/>
    </xf>
    <xf numFmtId="164" fontId="6" fillId="3" borderId="1" applyAlignment="1" pivotButton="0" quotePrefix="0" xfId="2">
      <alignment horizontal="right" vertical="center" wrapText="1"/>
    </xf>
    <xf numFmtId="165" fontId="6" fillId="0" borderId="1" applyAlignment="1" pivotButton="0" quotePrefix="0" xfId="1">
      <alignment horizontal="right" vertical="center" wrapText="1"/>
    </xf>
    <xf numFmtId="165" fontId="6" fillId="0" borderId="1" applyAlignment="1" pivotButton="0" quotePrefix="0" xfId="1">
      <alignment horizontal="left" vertical="center" wrapText="1"/>
    </xf>
    <xf numFmtId="165" fontId="6" fillId="0" borderId="12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6" fontId="6" fillId="4" borderId="0" applyAlignment="1" pivotButton="0" quotePrefix="0" xfId="0">
      <alignment horizontal="right" vertical="center" wrapText="1"/>
    </xf>
    <xf numFmtId="165" fontId="6" fillId="0" borderId="13" applyAlignment="1" pivotButton="0" quotePrefix="0" xfId="0">
      <alignment horizontal="left" vertical="center" wrapText="1"/>
    </xf>
    <xf numFmtId="165" fontId="2" fillId="0" borderId="0" pivotButton="0" quotePrefix="0" xfId="0"/>
    <xf numFmtId="166" fontId="0" fillId="4" borderId="0" pivotButton="0" quotePrefix="0" xfId="0"/>
    <xf numFmtId="166" fontId="6" fillId="4" borderId="1" applyAlignment="1" pivotButton="0" quotePrefix="0" xfId="0">
      <alignment horizontal="right" vertical="center" wrapText="1"/>
    </xf>
    <xf numFmtId="166" fontId="80" fillId="0" borderId="0" pivotButton="0" quotePrefix="0" xfId="0"/>
    <xf numFmtId="166" fontId="6" fillId="0" borderId="0" applyAlignment="1" pivotButton="0" quotePrefix="0" xfId="0">
      <alignment horizontal="right" vertical="center" wrapText="1"/>
    </xf>
    <xf numFmtId="166" fontId="32" fillId="4" borderId="0" applyAlignment="1" pivotButton="0" quotePrefix="0" xfId="0">
      <alignment horizontal="right" vertical="center" wrapText="1"/>
    </xf>
    <xf numFmtId="166" fontId="32" fillId="4" borderId="0" applyAlignment="1" pivotButton="0" quotePrefix="0" xfId="1">
      <alignment horizontal="right" vertical="center" wrapText="1"/>
    </xf>
    <xf numFmtId="166" fontId="32" fillId="9" borderId="0" applyAlignment="1" pivotButton="0" quotePrefix="0" xfId="1">
      <alignment horizontal="right" vertical="center" wrapText="1"/>
    </xf>
    <xf numFmtId="166" fontId="4" fillId="4" borderId="12" applyAlignment="1" pivotButton="0" quotePrefix="0" xfId="1">
      <alignment horizontal="right" vertical="center" wrapText="1"/>
    </xf>
    <xf numFmtId="166" fontId="4" fillId="9" borderId="0" applyAlignment="1" pivotButton="0" quotePrefix="0" xfId="1">
      <alignment horizontal="right" vertical="center" wrapText="1"/>
    </xf>
    <xf numFmtId="166" fontId="32" fillId="9" borderId="12" applyAlignment="1" pivotButton="0" quotePrefix="0" xfId="1">
      <alignment horizontal="right" vertical="center" wrapText="1"/>
    </xf>
    <xf numFmtId="166" fontId="5" fillId="0" borderId="0" pivotButton="0" quotePrefix="0" xfId="0"/>
    <xf numFmtId="166" fontId="32" fillId="4" borderId="1" applyAlignment="1" pivotButton="0" quotePrefix="0" xfId="0">
      <alignment horizontal="right" vertical="center" wrapText="1"/>
    </xf>
    <xf numFmtId="164" fontId="32" fillId="4" borderId="12" applyAlignment="1" pivotButton="0" quotePrefix="0" xfId="0">
      <alignment horizontal="right" vertical="center" wrapText="1"/>
    </xf>
    <xf numFmtId="166" fontId="32" fillId="4" borderId="12" applyAlignment="1" pivotButton="0" quotePrefix="0" xfId="0">
      <alignment horizontal="right" vertical="center" wrapText="1"/>
    </xf>
    <xf numFmtId="166" fontId="32" fillId="4" borderId="13" applyAlignment="1" pivotButton="0" quotePrefix="0" xfId="0">
      <alignment horizontal="right" vertical="center" wrapText="1"/>
    </xf>
    <xf numFmtId="166" fontId="32" fillId="9" borderId="0" applyAlignment="1" pivotButton="0" quotePrefix="0" xfId="0">
      <alignment horizontal="right" vertical="center" wrapText="1"/>
    </xf>
    <xf numFmtId="165" fontId="0" fillId="0" borderId="0" pivotButton="0" quotePrefix="0" xfId="0"/>
    <xf numFmtId="164" fontId="6" fillId="0" borderId="0" applyAlignment="1" pivotButton="0" quotePrefix="0" xfId="2">
      <alignment horizontal="right" vertical="center"/>
    </xf>
    <xf numFmtId="164" fontId="6" fillId="0" borderId="12" applyAlignment="1" pivotButton="0" quotePrefix="0" xfId="2">
      <alignment horizontal="right" vertical="center"/>
    </xf>
    <xf numFmtId="168" fontId="2" fillId="0" borderId="0" pivotButton="0" quotePrefix="0" xfId="0"/>
    <xf numFmtId="166" fontId="6" fillId="0" borderId="1" applyAlignment="1" pivotButton="0" quotePrefix="0" xfId="0">
      <alignment horizontal="right" vertical="center" wrapText="1"/>
    </xf>
    <xf numFmtId="165" fontId="48" fillId="0" borderId="3" applyAlignment="1" pivotButton="0" quotePrefix="0" xfId="1">
      <alignment horizontal="right" vertical="center" wrapText="1"/>
    </xf>
    <xf numFmtId="166" fontId="6" fillId="19" borderId="1" applyAlignment="1" pivotButton="0" quotePrefix="0" xfId="0">
      <alignment horizontal="right" vertical="center" wrapText="1"/>
    </xf>
    <xf numFmtId="165" fontId="6" fillId="9" borderId="12" applyAlignment="1" pivotButton="0" quotePrefix="0" xfId="1">
      <alignment horizontal="right" vertical="center" wrapText="1"/>
    </xf>
    <xf numFmtId="165" fontId="50" fillId="0" borderId="0" applyAlignment="1" pivotButton="0" quotePrefix="0" xfId="1">
      <alignment horizontal="right" vertical="center" wrapText="1"/>
    </xf>
    <xf numFmtId="166" fontId="50" fillId="0" borderId="0" applyAlignment="1" pivotButton="0" quotePrefix="0" xfId="1">
      <alignment horizontal="right" vertical="center" wrapText="1"/>
    </xf>
    <xf numFmtId="165" fontId="0" fillId="0" borderId="3" pivotButton="0" quotePrefix="0" xfId="0"/>
    <xf numFmtId="166" fontId="75" fillId="0" borderId="13" applyAlignment="1" pivotButton="0" quotePrefix="0" xfId="1">
      <alignment horizontal="right" vertical="center" wrapText="1"/>
    </xf>
    <xf numFmtId="165" fontId="75" fillId="0" borderId="13" applyAlignment="1" pivotButton="0" quotePrefix="0" xfId="1">
      <alignment horizontal="right" vertical="center" wrapText="1"/>
    </xf>
    <xf numFmtId="165" fontId="6" fillId="0" borderId="12" applyAlignment="1" pivotButton="0" quotePrefix="0" xfId="1">
      <alignment vertical="center" wrapText="1"/>
    </xf>
    <xf numFmtId="165" fontId="80" fillId="4" borderId="0" pivotButton="0" quotePrefix="0" xfId="0"/>
    <xf numFmtId="164" fontId="32" fillId="9" borderId="0" applyAlignment="1" pivotButton="0" quotePrefix="0" xfId="0">
      <alignment vertical="center" wrapText="1"/>
    </xf>
    <xf numFmtId="164" fontId="32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vertical="center" wrapText="1"/>
    </xf>
    <xf numFmtId="164" fontId="32" fillId="9" borderId="13" applyAlignment="1" pivotButton="0" quotePrefix="0" xfId="0">
      <alignment vertical="center" wrapText="1"/>
    </xf>
    <xf numFmtId="164" fontId="32" fillId="9" borderId="13" applyAlignment="1" pivotButton="0" quotePrefix="0" xfId="0">
      <alignment horizontal="right" vertical="center" wrapText="1"/>
    </xf>
    <xf numFmtId="164" fontId="32" fillId="0" borderId="4" applyAlignment="1" pivotButton="0" quotePrefix="0" xfId="0">
      <alignment horizontal="right" vertical="center"/>
    </xf>
    <xf numFmtId="164" fontId="4" fillId="9" borderId="0" applyAlignment="1" pivotButton="0" quotePrefix="0" xfId="0">
      <alignment horizontal="right" vertical="center" wrapText="1"/>
    </xf>
    <xf numFmtId="164" fontId="32" fillId="9" borderId="12" applyAlignment="1" pivotButton="0" quotePrefix="0" xfId="0">
      <alignment horizontal="right" vertical="center" wrapText="1"/>
    </xf>
    <xf numFmtId="164" fontId="4" fillId="9" borderId="12" applyAlignment="1" pivotButton="0" quotePrefix="0" xfId="0">
      <alignment horizontal="right" vertical="center" wrapText="1"/>
    </xf>
    <xf numFmtId="164" fontId="6" fillId="0" borderId="12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4" fontId="48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4" fontId="47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justify" vertical="center" wrapText="1"/>
    </xf>
    <xf numFmtId="164" fontId="4" fillId="0" borderId="0" applyAlignment="1" pivotButton="0" quotePrefix="0" xfId="0">
      <alignment horizontal="right" vertical="center" wrapText="1"/>
    </xf>
    <xf numFmtId="176" fontId="47" fillId="9" borderId="0" applyAlignment="1" pivotButton="0" quotePrefix="0" xfId="3">
      <alignment horizontal="right" vertical="center"/>
    </xf>
    <xf numFmtId="164" fontId="32" fillId="9" borderId="15" applyAlignment="1" pivotButton="0" quotePrefix="0" xfId="0">
      <alignment horizontal="right" vertical="center" wrapText="1"/>
    </xf>
    <xf numFmtId="164" fontId="32" fillId="9" borderId="0" applyAlignment="1" pivotButton="0" quotePrefix="0" xfId="0">
      <alignment horizontal="left" vertical="center"/>
    </xf>
    <xf numFmtId="165" fontId="6" fillId="0" borderId="16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right" vertical="center" wrapText="1"/>
    </xf>
    <xf numFmtId="168" fontId="6" fillId="0" borderId="0" applyAlignment="1" pivotButton="0" quotePrefix="0" xfId="2">
      <alignment horizontal="right" vertical="center" wrapText="1"/>
    </xf>
    <xf numFmtId="164" fontId="6" fillId="0" borderId="0" applyAlignment="1" pivotButton="0" quotePrefix="0" xfId="2">
      <alignment horizontal="right" vertical="center" wrapText="1"/>
    </xf>
    <xf numFmtId="166" fontId="6" fillId="0" borderId="0" applyAlignment="1" pivotButton="0" quotePrefix="0" xfId="0">
      <alignment vertical="center" wrapText="1"/>
    </xf>
    <xf numFmtId="166" fontId="6" fillId="0" borderId="12" applyAlignment="1" pivotButton="0" quotePrefix="0" xfId="0">
      <alignment vertical="center" wrapText="1"/>
    </xf>
    <xf numFmtId="168" fontId="29" fillId="0" borderId="13" applyAlignment="1" pivotButton="0" quotePrefix="0" xfId="0">
      <alignment vertical="center" wrapText="1"/>
    </xf>
    <xf numFmtId="168" fontId="6" fillId="0" borderId="1" applyAlignment="1" pivotButton="0" quotePrefix="0" xfId="2">
      <alignment horizontal="right" vertical="center" wrapText="1"/>
    </xf>
    <xf numFmtId="168" fontId="0" fillId="0" borderId="0" pivotButton="0" quotePrefix="0" xfId="1"/>
    <xf numFmtId="168" fontId="27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vertical="center" wrapText="1"/>
    </xf>
    <xf numFmtId="164" fontId="4" fillId="0" borderId="0" pivotButton="0" quotePrefix="0" xfId="2"/>
    <xf numFmtId="172" fontId="43" fillId="0" borderId="0" pivotButton="0" quotePrefix="0" xfId="15"/>
    <xf numFmtId="172" fontId="37" fillId="10" borderId="0" pivotButton="0" quotePrefix="0" xfId="15"/>
    <xf numFmtId="172" fontId="37" fillId="0" borderId="0" pivotButton="0" quotePrefix="0" xfId="15"/>
    <xf numFmtId="168" fontId="53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1">
      <alignment vertical="center" wrapText="1"/>
    </xf>
    <xf numFmtId="168" fontId="32" fillId="0" borderId="0" applyAlignment="1" pivotButton="0" quotePrefix="0" xfId="1">
      <alignment vertical="center" wrapText="1"/>
    </xf>
    <xf numFmtId="169" fontId="4" fillId="0" borderId="0" pivotButton="0" quotePrefix="0" xfId="2"/>
    <xf numFmtId="169" fontId="27" fillId="0" borderId="0" pivotButton="0" quotePrefix="0" xfId="2"/>
    <xf numFmtId="169" fontId="43" fillId="0" borderId="0" pivotButton="0" quotePrefix="0" xfId="15"/>
    <xf numFmtId="169" fontId="4" fillId="0" borderId="0" pivotButton="0" quotePrefix="0" xfId="0"/>
    <xf numFmtId="169" fontId="37" fillId="0" borderId="0" pivotButton="0" quotePrefix="0" xfId="15"/>
    <xf numFmtId="168" fontId="32" fillId="0" borderId="12" applyAlignment="1" pivotButton="0" quotePrefix="0" xfId="1">
      <alignment vertical="center" wrapText="1"/>
    </xf>
    <xf numFmtId="169" fontId="4" fillId="0" borderId="3" pivotButton="0" quotePrefix="0" xfId="2"/>
    <xf numFmtId="169" fontId="27" fillId="0" borderId="3" pivotButton="0" quotePrefix="0" xfId="2"/>
    <xf numFmtId="169" fontId="43" fillId="0" borderId="3" pivotButton="0" quotePrefix="0" xfId="15"/>
    <xf numFmtId="168" fontId="4" fillId="0" borderId="13" applyAlignment="1" pivotButton="0" quotePrefix="0" xfId="1">
      <alignment vertical="center" wrapText="1"/>
    </xf>
    <xf numFmtId="168" fontId="32" fillId="0" borderId="1" applyAlignment="1" pivotButton="0" quotePrefix="0" xfId="1">
      <alignment vertical="center" wrapText="1"/>
    </xf>
    <xf numFmtId="168" fontId="4" fillId="0" borderId="0" pivotButton="0" quotePrefix="0" xfId="0"/>
    <xf numFmtId="168" fontId="32" fillId="3" borderId="0" applyAlignment="1" pivotButton="0" quotePrefix="0" xfId="1">
      <alignment vertical="center" wrapText="1"/>
    </xf>
    <xf numFmtId="168" fontId="32" fillId="3" borderId="3" applyAlignment="1" pivotButton="0" quotePrefix="0" xfId="1">
      <alignment vertical="center" wrapText="1"/>
    </xf>
    <xf numFmtId="168" fontId="4" fillId="0" borderId="12" applyAlignment="1" pivotButton="0" quotePrefix="0" xfId="1">
      <alignment vertical="center" wrapText="1"/>
    </xf>
    <xf numFmtId="165" fontId="4" fillId="0" borderId="0" pivotButton="0" quotePrefix="0" xfId="1"/>
    <xf numFmtId="169" fontId="27" fillId="0" borderId="0" pivotButton="0" quotePrefix="0" xfId="0"/>
    <xf numFmtId="169" fontId="43" fillId="10" borderId="0" pivotButton="0" quotePrefix="0" xfId="0"/>
    <xf numFmtId="169" fontId="7" fillId="0" borderId="28" pivotButton="0" quotePrefix="0" xfId="0"/>
    <xf numFmtId="169" fontId="43" fillId="0" borderId="0" pivotButton="0" quotePrefix="0" xfId="0"/>
    <xf numFmtId="169" fontId="43" fillId="10" borderId="0" pivotButton="0" quotePrefix="0" xfId="15"/>
    <xf numFmtId="169" fontId="4" fillId="15" borderId="3" pivotButton="0" quotePrefix="0" xfId="0"/>
    <xf numFmtId="169" fontId="4" fillId="0" borderId="3" pivotButton="0" quotePrefix="0" xfId="0"/>
    <xf numFmtId="169" fontId="37" fillId="0" borderId="0" pivotButton="0" quotePrefix="0" xfId="0"/>
    <xf numFmtId="165" fontId="4" fillId="3" borderId="0" pivotButton="0" quotePrefix="0" xfId="1"/>
    <xf numFmtId="169" fontId="4" fillId="3" borderId="0" pivotButton="0" quotePrefix="0" xfId="0"/>
    <xf numFmtId="166" fontId="4" fillId="3" borderId="0" pivotButton="0" quotePrefix="0" xfId="0"/>
    <xf numFmtId="166" fontId="4" fillId="0" borderId="0" pivotButton="0" quotePrefix="0" xfId="0"/>
    <xf numFmtId="168" fontId="4" fillId="0" borderId="12" applyAlignment="1" pivotButton="0" quotePrefix="0" xfId="1">
      <alignment horizontal="right" vertical="center" wrapText="1"/>
    </xf>
    <xf numFmtId="166" fontId="4" fillId="0" borderId="3" pivotButton="0" quotePrefix="0" xfId="0"/>
    <xf numFmtId="168" fontId="4" fillId="0" borderId="14" applyAlignment="1" pivotButton="0" quotePrefix="0" xfId="1">
      <alignment horizontal="right" vertical="center" wrapText="1"/>
    </xf>
    <xf numFmtId="168" fontId="4" fillId="0" borderId="0" pivotButton="0" quotePrefix="0" xfId="1"/>
    <xf numFmtId="167" fontId="4" fillId="0" borderId="0" pivotButton="0" quotePrefix="0" xfId="1"/>
    <xf numFmtId="165" fontId="4" fillId="0" borderId="0" pivotButton="0" quotePrefix="0" xfId="0"/>
    <xf numFmtId="167" fontId="0" fillId="0" borderId="0" pivotButton="0" quotePrefix="0" xfId="0"/>
    <xf numFmtId="167" fontId="4" fillId="0" borderId="0" pivotButton="0" quotePrefix="0" xfId="0"/>
    <xf numFmtId="168" fontId="27" fillId="0" borderId="0" applyAlignment="1" pivotButton="0" quotePrefix="0" xfId="1">
      <alignment vertical="center" wrapText="1"/>
    </xf>
    <xf numFmtId="168" fontId="32" fillId="0" borderId="0" applyAlignment="1" pivotButton="0" quotePrefix="0" xfId="0">
      <alignment horizontal="right" vertical="center" wrapText="1"/>
    </xf>
    <xf numFmtId="168" fontId="32" fillId="3" borderId="12" applyAlignment="1" pivotButton="0" quotePrefix="0" xfId="0">
      <alignment horizontal="right" vertical="center" wrapText="1"/>
    </xf>
    <xf numFmtId="168" fontId="4" fillId="3" borderId="0" applyAlignment="1" pivotButton="0" quotePrefix="0" xfId="1">
      <alignment vertical="center" wrapText="1"/>
    </xf>
    <xf numFmtId="168" fontId="4" fillId="3" borderId="0" applyAlignment="1" pivotButton="0" quotePrefix="0" xfId="0">
      <alignment vertical="center" wrapText="1"/>
    </xf>
    <xf numFmtId="168" fontId="32" fillId="0" borderId="12" applyAlignment="1" pivotButton="0" quotePrefix="0" xfId="0">
      <alignment horizontal="right" vertical="center" wrapText="1"/>
    </xf>
    <xf numFmtId="168" fontId="32" fillId="0" borderId="4" applyAlignment="1" pivotButton="0" quotePrefix="0" xfId="0">
      <alignment horizontal="right" vertical="center" wrapText="1"/>
    </xf>
    <xf numFmtId="166" fontId="29" fillId="0" borderId="0" pivotButton="0" quotePrefix="0" xfId="1"/>
    <xf numFmtId="166" fontId="29" fillId="0" borderId="0" pivotButton="0" quotePrefix="0" xfId="0"/>
    <xf numFmtId="166" fontId="29" fillId="0" borderId="1" pivotButton="0" quotePrefix="0" xfId="0"/>
    <xf numFmtId="166" fontId="6" fillId="9" borderId="13" applyAlignment="1" pivotButton="0" quotePrefix="0" xfId="0">
      <alignment horizontal="right" vertical="center" wrapText="1"/>
    </xf>
    <xf numFmtId="164" fontId="6" fillId="0" borderId="22" applyAlignment="1" pivotButton="0" quotePrefix="0" xfId="0">
      <alignment horizontal="right" vertical="center" wrapText="1"/>
    </xf>
    <xf numFmtId="164" fontId="6" fillId="0" borderId="22" applyAlignment="1" pivotButton="0" quotePrefix="0" xfId="2">
      <alignment horizontal="right" vertical="center" wrapText="1"/>
    </xf>
    <xf numFmtId="164" fontId="6" fillId="0" borderId="22" applyAlignment="1" pivotButton="0" quotePrefix="0" xfId="2">
      <alignment horizontal="left" vertical="center" wrapText="1"/>
    </xf>
    <xf numFmtId="170" fontId="55" fillId="0" borderId="0" pivotButton="0" quotePrefix="0" xfId="10"/>
    <xf numFmtId="170" fontId="55" fillId="4" borderId="0" pivotButton="0" quotePrefix="0" xfId="10"/>
    <xf numFmtId="170" fontId="55" fillId="18" borderId="0" pivotButton="0" quotePrefix="0" xfId="10"/>
    <xf numFmtId="170" fontId="54" fillId="4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/>
    </xf>
    <xf numFmtId="170" fontId="54" fillId="0" borderId="17" applyAlignment="1" pivotButton="0" quotePrefix="0" xfId="10">
      <alignment horizontal="center" wrapText="1"/>
    </xf>
    <xf numFmtId="170" fontId="54" fillId="0" borderId="0" applyAlignment="1" pivotButton="0" quotePrefix="0" xfId="10">
      <alignment horizontal="center"/>
    </xf>
    <xf numFmtId="171" fontId="55" fillId="4" borderId="0" pivotButton="0" quotePrefix="0" xfId="10"/>
    <xf numFmtId="171" fontId="55" fillId="3" borderId="0" pivotButton="0" quotePrefix="0" xfId="10"/>
    <xf numFmtId="170" fontId="58" fillId="0" borderId="0" pivotButton="0" quotePrefix="0" xfId="10"/>
    <xf numFmtId="171" fontId="58" fillId="4" borderId="0" pivotButton="0" quotePrefix="0" xfId="10"/>
    <xf numFmtId="171" fontId="54" fillId="17" borderId="2" pivotButton="0" quotePrefix="0" xfId="10"/>
    <xf numFmtId="171" fontId="54" fillId="4" borderId="0" pivotButton="0" quotePrefix="0" xfId="10"/>
    <xf numFmtId="164" fontId="54" fillId="0" borderId="0" pivotButton="0" quotePrefix="0" xfId="2"/>
    <xf numFmtId="164" fontId="54" fillId="4" borderId="2" pivotButton="0" quotePrefix="0" xfId="2"/>
    <xf numFmtId="171" fontId="54" fillId="4" borderId="2" pivotButton="0" quotePrefix="0" xfId="10"/>
    <xf numFmtId="171" fontId="54" fillId="4" borderId="1" pivotButton="0" quotePrefix="0" xfId="10"/>
    <xf numFmtId="171" fontId="55" fillId="4" borderId="1" pivotButton="0" quotePrefix="0" xfId="10"/>
    <xf numFmtId="164" fontId="55" fillId="0" borderId="0" pivotButton="0" quotePrefix="0" xfId="2"/>
    <xf numFmtId="171" fontId="55" fillId="17" borderId="0" pivotButton="0" quotePrefix="0" xfId="10"/>
    <xf numFmtId="171" fontId="55" fillId="0" borderId="0" pivotButton="0" quotePrefix="0" xfId="10"/>
    <xf numFmtId="171" fontId="58" fillId="0" borderId="0" pivotButton="0" quotePrefix="0" xfId="10"/>
    <xf numFmtId="172" fontId="4" fillId="0" borderId="0" pivotButton="0" quotePrefix="0" xfId="15"/>
    <xf numFmtId="170" fontId="56" fillId="0" borderId="0" pivotButton="0" quotePrefix="0" xfId="10"/>
    <xf numFmtId="170" fontId="58" fillId="0" borderId="0" applyAlignment="1" pivotButton="0" quotePrefix="0" xfId="10">
      <alignment horizontal="center"/>
    </xf>
    <xf numFmtId="170" fontId="58" fillId="0" borderId="0" applyAlignment="1" pivotButton="0" quotePrefix="0" xfId="10">
      <alignment horizontal="center" wrapText="1"/>
    </xf>
    <xf numFmtId="170" fontId="55" fillId="3" borderId="0" pivotButton="0" quotePrefix="0" xfId="10"/>
    <xf numFmtId="173" fontId="55" fillId="0" borderId="0" pivotButton="0" quotePrefix="0" xfId="17"/>
    <xf numFmtId="171" fontId="55" fillId="0" borderId="0" pivotButton="0" quotePrefix="0" xfId="16"/>
    <xf numFmtId="174" fontId="55" fillId="4" borderId="0" pivotButton="0" quotePrefix="0" xfId="11"/>
    <xf numFmtId="174" fontId="55" fillId="0" borderId="0" pivotButton="0" quotePrefix="0" xfId="11"/>
    <xf numFmtId="174" fontId="55" fillId="0" borderId="0" pivotButton="0" quotePrefix="0" xfId="10"/>
    <xf numFmtId="164" fontId="55" fillId="4" borderId="0" pivotButton="0" quotePrefix="0" xfId="2"/>
    <xf numFmtId="170" fontId="55" fillId="0" borderId="0" applyAlignment="1" pivotButton="0" quotePrefix="0" xfId="10">
      <alignment horizontal="center"/>
    </xf>
    <xf numFmtId="174" fontId="55" fillId="14" borderId="0" pivotButton="0" quotePrefix="0" xfId="11"/>
    <xf numFmtId="165" fontId="55" fillId="3" borderId="0" pivotButton="0" quotePrefix="0" xfId="1"/>
    <xf numFmtId="170" fontId="54" fillId="0" borderId="0" pivotButton="0" quotePrefix="0" xfId="10"/>
    <xf numFmtId="170" fontId="54" fillId="18" borderId="0" pivotButton="0" quotePrefix="0" xfId="10"/>
    <xf numFmtId="170" fontId="54" fillId="4" borderId="0" pivotButton="0" quotePrefix="0" xfId="10"/>
    <xf numFmtId="170" fontId="55" fillId="0" borderId="2" pivotButton="0" quotePrefix="0" xfId="10"/>
    <xf numFmtId="171" fontId="67" fillId="0" borderId="0" pivotButton="0" quotePrefix="0" xfId="16"/>
    <xf numFmtId="170" fontId="67" fillId="0" borderId="0" pivotButton="0" quotePrefix="0" xfId="10"/>
    <xf numFmtId="171" fontId="55" fillId="4" borderId="0" pivotButton="0" quotePrefix="0" xfId="23"/>
    <xf numFmtId="174" fontId="55" fillId="0" borderId="2" pivotButton="0" quotePrefix="0" xfId="10"/>
    <xf numFmtId="171" fontId="55" fillId="0" borderId="24" pivotButton="0" quotePrefix="0" xfId="23"/>
    <xf numFmtId="174" fontId="55" fillId="0" borderId="26" pivotButton="0" quotePrefix="0" xfId="10"/>
    <xf numFmtId="174" fontId="55" fillId="3" borderId="0" pivotButton="0" quotePrefix="0" xfId="10"/>
    <xf numFmtId="171" fontId="55" fillId="0" borderId="0" pivotButton="0" quotePrefix="0" xfId="23"/>
    <xf numFmtId="170" fontId="58" fillId="0" borderId="0" pivotButton="0" quotePrefix="1" xfId="10"/>
    <xf numFmtId="170" fontId="55" fillId="0" borderId="0" pivotButton="0" quotePrefix="0" xfId="16"/>
    <xf numFmtId="170" fontId="55" fillId="0" borderId="1" pivotButton="0" quotePrefix="0" xfId="10"/>
    <xf numFmtId="170" fontId="55" fillId="0" borderId="1" pivotButton="0" quotePrefix="0" xfId="16"/>
    <xf numFmtId="164" fontId="15" fillId="0" borderId="0" pivotButton="0" quotePrefix="0" xfId="7"/>
    <xf numFmtId="164" fontId="16" fillId="8" borderId="5" pivotButton="0" quotePrefix="0" xfId="5"/>
    <xf numFmtId="164" fontId="16" fillId="8" borderId="7" pivotButton="0" quotePrefix="0" xfId="5"/>
    <xf numFmtId="164" fontId="15" fillId="9" borderId="0" pivotButton="0" quotePrefix="0" xfId="8"/>
    <xf numFmtId="164" fontId="15" fillId="0" borderId="0" pivotButton="0" quotePrefix="0" xfId="8"/>
    <xf numFmtId="164" fontId="16" fillId="0" borderId="0" pivotButton="0" quotePrefix="0" xfId="5"/>
    <xf numFmtId="164" fontId="15" fillId="10" borderId="0" pivotButton="0" quotePrefix="0" xfId="8"/>
    <xf numFmtId="164" fontId="13" fillId="0" borderId="0" pivotButton="0" quotePrefix="0" xfId="8"/>
    <xf numFmtId="164" fontId="15" fillId="9" borderId="0" pivotButton="0" quotePrefix="0" xfId="5"/>
    <xf numFmtId="164" fontId="16" fillId="0" borderId="0" pivotButton="0" quotePrefix="0" xfId="8"/>
    <xf numFmtId="164" fontId="8" fillId="0" borderId="0" pivotButton="0" quotePrefix="0" xfId="5"/>
    <xf numFmtId="164" fontId="16" fillId="8" borderId="5" pivotButton="0" quotePrefix="0" xfId="8"/>
    <xf numFmtId="164" fontId="16" fillId="8" borderId="7" pivotButton="0" quotePrefix="0" xfId="8"/>
    <xf numFmtId="164" fontId="16" fillId="11" borderId="7" pivotButton="0" quotePrefix="0" xfId="8"/>
    <xf numFmtId="164" fontId="16" fillId="0" borderId="1" pivotButton="0" quotePrefix="0" xfId="5"/>
    <xf numFmtId="164" fontId="20" fillId="12" borderId="0" applyAlignment="1" pivotButton="0" quotePrefix="0" xfId="2">
      <alignment horizontal="left" vertical="center" wrapText="1"/>
    </xf>
    <xf numFmtId="164" fontId="20" fillId="12" borderId="9" applyAlignment="1" pivotButton="0" quotePrefix="0" xfId="2">
      <alignment horizontal="left" vertical="center" wrapText="1"/>
    </xf>
    <xf numFmtId="164" fontId="20" fillId="12" borderId="0" applyAlignment="1" pivotButton="0" quotePrefix="0" xfId="0">
      <alignment horizontal="left" vertical="center" wrapText="1"/>
    </xf>
    <xf numFmtId="164" fontId="20" fillId="0" borderId="0" applyAlignment="1" pivotButton="0" quotePrefix="0" xfId="2">
      <alignment horizontal="left" vertical="center" wrapText="1"/>
    </xf>
    <xf numFmtId="164" fontId="20" fillId="13" borderId="0" applyAlignment="1" pivotButton="0" quotePrefix="0" xfId="2">
      <alignment horizontal="left" vertical="center" wrapText="1"/>
    </xf>
    <xf numFmtId="168" fontId="95" fillId="0" borderId="0" pivotButton="0" quotePrefix="0" xfId="0"/>
    <xf numFmtId="168" fontId="95" fillId="0" borderId="1" pivotButton="0" quotePrefix="0" xfId="0"/>
    <xf numFmtId="164" fontId="95" fillId="0" borderId="0" pivotButton="0" quotePrefix="0" xfId="0"/>
    <xf numFmtId="168" fontId="95" fillId="0" borderId="5" pivotButton="0" quotePrefix="0" xfId="0"/>
    <xf numFmtId="0" fontId="26" fillId="0" borderId="0" applyAlignment="1" pivotButton="0" quotePrefix="0" xfId="0">
      <alignment horizontal="left" vertical="center"/>
    </xf>
    <xf numFmtId="164" fontId="0" fillId="0" borderId="0" applyAlignment="1" pivotButton="0" quotePrefix="0" xfId="2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73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31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8" fillId="9" borderId="0" applyAlignment="1" pivotButton="0" quotePrefix="0" xfId="0">
      <alignment horizontal="left" vertical="center"/>
    </xf>
    <xf numFmtId="14" fontId="0" fillId="0" borderId="17" applyAlignment="1" pivotButton="0" quotePrefix="0" xfId="0">
      <alignment horizontal="left" vertical="center"/>
    </xf>
    <xf numFmtId="0" fontId="36" fillId="9" borderId="0" applyAlignment="1" pivotButton="0" quotePrefix="0" xfId="0">
      <alignment horizontal="left" vertical="center"/>
    </xf>
    <xf numFmtId="0" fontId="38" fillId="4" borderId="29" applyAlignment="1" pivotButton="0" quotePrefix="0" xfId="0">
      <alignment horizontal="left" vertical="center"/>
    </xf>
    <xf numFmtId="0" fontId="38" fillId="4" borderId="0" applyAlignment="1" pivotButton="0" quotePrefix="0" xfId="0">
      <alignment horizontal="left" vertical="center"/>
    </xf>
    <xf numFmtId="0" fontId="38" fillId="4" borderId="30" applyAlignment="1" pivotButton="0" quotePrefix="0" xfId="0">
      <alignment horizontal="left" vertical="center"/>
    </xf>
    <xf numFmtId="0" fontId="38" fillId="4" borderId="24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8" fillId="4" borderId="1" applyAlignment="1" pivotButton="0" quotePrefix="0" xfId="0">
      <alignment horizontal="left" vertical="center"/>
    </xf>
    <xf numFmtId="0" fontId="37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75" fillId="0" borderId="0" applyAlignment="1" pivotButton="0" quotePrefix="0" xfId="0">
      <alignment horizontal="left" vertical="center"/>
    </xf>
    <xf numFmtId="0" fontId="77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14" fontId="98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90" fillId="4" borderId="0" applyAlignment="1" pivotButton="0" quotePrefix="0" xfId="0">
      <alignment horizontal="left" vertical="center"/>
    </xf>
    <xf numFmtId="0" fontId="91" fillId="9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left" vertical="center"/>
    </xf>
    <xf numFmtId="0" fontId="81" fillId="0" borderId="0" applyAlignment="1" pivotButton="0" quotePrefix="0" xfId="0">
      <alignment horizontal="left" vertical="center"/>
    </xf>
    <xf numFmtId="0" fontId="86" fillId="0" borderId="0" applyAlignment="1" pivotButton="0" quotePrefix="0" xfId="0">
      <alignment horizontal="left" vertical="center"/>
    </xf>
    <xf numFmtId="0" fontId="32" fillId="9" borderId="1" applyAlignment="1" pivotButton="0" quotePrefix="0" xfId="0">
      <alignment horizontal="left" vertical="center"/>
    </xf>
    <xf numFmtId="0" fontId="32" fillId="9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 vertical="center"/>
    </xf>
    <xf numFmtId="14" fontId="32" fillId="4" borderId="0" applyAlignment="1" pivotButton="0" quotePrefix="0" xfId="0">
      <alignment horizontal="left" vertical="center"/>
    </xf>
    <xf numFmtId="0" fontId="32" fillId="9" borderId="12" applyAlignment="1" pivotButton="0" quotePrefix="0" xfId="0">
      <alignment horizontal="left" vertical="center"/>
    </xf>
    <xf numFmtId="0" fontId="81" fillId="4" borderId="0" applyAlignment="1" pivotButton="0" quotePrefix="0" xfId="0">
      <alignment horizontal="left" vertical="center"/>
    </xf>
    <xf numFmtId="0" fontId="79" fillId="9" borderId="0" applyAlignment="1" pivotButton="0" quotePrefix="0" xfId="0">
      <alignment horizontal="left" vertical="center"/>
    </xf>
    <xf numFmtId="0" fontId="50" fillId="9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14" fontId="23" fillId="0" borderId="0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81" fillId="0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84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14" fontId="31" fillId="9" borderId="0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 vertical="center"/>
    </xf>
    <xf numFmtId="14" fontId="46" fillId="0" borderId="0" applyAlignment="1" pivotButton="0" quotePrefix="0" xfId="0">
      <alignment horizontal="left" vertical="center"/>
    </xf>
    <xf numFmtId="0" fontId="32" fillId="0" borderId="12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8" fontId="27" fillId="0" borderId="0" applyAlignment="1" pivotButton="0" quotePrefix="0" xfId="1">
      <alignment horizontal="left" vertical="center"/>
    </xf>
    <xf numFmtId="168" fontId="53" fillId="0" borderId="0" applyAlignment="1" pivotButton="0" quotePrefix="0" xfId="1">
      <alignment horizontal="left" vertical="center"/>
    </xf>
    <xf numFmtId="0" fontId="5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37" fontId="54" fillId="17" borderId="0" applyAlignment="1" pivotButton="0" quotePrefix="0" xfId="9">
      <alignment horizontal="left" vertical="center"/>
    </xf>
    <xf numFmtId="0" fontId="54" fillId="17" borderId="0" applyAlignment="1" pivotButton="0" quotePrefix="0" xfId="9">
      <alignment horizontal="left" vertical="center"/>
    </xf>
    <xf numFmtId="37" fontId="56" fillId="17" borderId="0" applyAlignment="1" pivotButton="0" quotePrefix="0" xfId="9">
      <alignment horizontal="left" vertical="center"/>
    </xf>
    <xf numFmtId="37" fontId="54" fillId="3" borderId="0" applyAlignment="1" pivotButton="0" quotePrefix="0" xfId="10">
      <alignment horizontal="left" vertical="center"/>
    </xf>
    <xf numFmtId="37" fontId="55" fillId="0" borderId="0" applyAlignment="1" pivotButton="0" quotePrefix="0" xfId="10">
      <alignment horizontal="left" vertical="center"/>
    </xf>
    <xf numFmtId="0" fontId="54" fillId="0" borderId="0" applyAlignment="1" pivotButton="0" quotePrefix="0" xfId="11">
      <alignment horizontal="left" vertical="center"/>
    </xf>
    <xf numFmtId="37" fontId="55" fillId="4" borderId="0" applyAlignment="1" pivotButton="0" quotePrefix="0" xfId="10">
      <alignment horizontal="left" vertical="center"/>
    </xf>
    <xf numFmtId="170" fontId="55" fillId="4" borderId="0" applyAlignment="1" pivotButton="0" quotePrefix="0" xfId="10">
      <alignment horizontal="left" vertical="center"/>
    </xf>
    <xf numFmtId="37" fontId="55" fillId="17" borderId="0" applyAlignment="1" pivotButton="0" quotePrefix="0" xfId="10">
      <alignment horizontal="left" vertical="center"/>
    </xf>
    <xf numFmtId="37" fontId="54" fillId="0" borderId="0" applyAlignment="1" pivotButton="0" quotePrefix="0" xfId="10">
      <alignment horizontal="left" vertical="center"/>
    </xf>
    <xf numFmtId="0" fontId="55" fillId="0" borderId="0" applyAlignment="1" pivotButton="0" quotePrefix="0" xfId="11">
      <alignment horizontal="left" vertical="center"/>
    </xf>
    <xf numFmtId="0" fontId="55" fillId="4" borderId="0" applyAlignment="1" pivotButton="0" quotePrefix="0" xfId="11">
      <alignment horizontal="left" vertical="center"/>
    </xf>
    <xf numFmtId="0" fontId="55" fillId="14" borderId="0" applyAlignment="1" pivotButton="0" quotePrefix="0" xfId="11">
      <alignment horizontal="left" vertical="center"/>
    </xf>
    <xf numFmtId="37" fontId="58" fillId="0" borderId="0" applyAlignment="1" pivotButton="0" quotePrefix="0" xfId="10">
      <alignment horizontal="left" vertical="center"/>
    </xf>
    <xf numFmtId="37" fontId="58" fillId="0" borderId="1" applyAlignment="1" pivotButton="0" quotePrefix="0" xfId="10">
      <alignment horizontal="left" vertical="center"/>
    </xf>
    <xf numFmtId="37" fontId="55" fillId="0" borderId="0" applyAlignment="1" pivotButton="0" quotePrefix="0" xfId="16">
      <alignment horizontal="left" vertical="center"/>
    </xf>
    <xf numFmtId="37" fontId="54" fillId="0" borderId="0" applyAlignment="1" pivotButton="0" quotePrefix="0" xfId="16">
      <alignment horizontal="left" vertical="center"/>
    </xf>
    <xf numFmtId="37" fontId="65" fillId="0" borderId="0" applyAlignment="1" pivotButton="0" quotePrefix="0" xfId="16">
      <alignment horizontal="left" vertical="center"/>
    </xf>
    <xf numFmtId="49" fontId="56" fillId="0" borderId="0" applyAlignment="1" pivotButton="0" quotePrefix="0" xfId="20">
      <alignment horizontal="left" vertical="center"/>
    </xf>
    <xf numFmtId="0" fontId="62" fillId="4" borderId="0" applyAlignment="1" pivotButton="0" quotePrefix="0" xfId="18">
      <alignment horizontal="left" vertical="center"/>
    </xf>
    <xf numFmtId="0" fontId="55" fillId="4" borderId="0" applyAlignment="1" pivotButton="0" quotePrefix="0" xfId="21">
      <alignment horizontal="left" vertical="center"/>
    </xf>
    <xf numFmtId="37" fontId="54" fillId="0" borderId="0" applyAlignment="1" pivotButton="0" quotePrefix="0" xfId="22">
      <alignment horizontal="left" vertical="center"/>
    </xf>
    <xf numFmtId="37" fontId="55" fillId="0" borderId="2" applyAlignment="1" pivotButton="0" quotePrefix="0" xfId="22">
      <alignment horizontal="left" vertical="center"/>
    </xf>
    <xf numFmtId="37" fontId="58" fillId="0" borderId="0" applyAlignment="1" pivotButton="0" quotePrefix="1" xfId="16">
      <alignment horizontal="left" vertical="center"/>
    </xf>
    <xf numFmtId="37" fontId="55" fillId="0" borderId="0" applyAlignment="1" pivotButton="0" quotePrefix="0" xfId="22">
      <alignment horizontal="left" vertical="center"/>
    </xf>
    <xf numFmtId="170" fontId="58" fillId="0" borderId="0" applyAlignment="1" pivotButton="0" quotePrefix="1" xfId="10">
      <alignment horizontal="left" vertical="center"/>
    </xf>
    <xf numFmtId="170" fontId="55" fillId="0" borderId="0" applyAlignment="1" pivotButton="0" quotePrefix="0" xfId="10">
      <alignment horizontal="left" vertical="center"/>
    </xf>
    <xf numFmtId="0" fontId="12" fillId="4" borderId="0" applyAlignment="1" pivotButton="0" quotePrefix="0" xfId="21">
      <alignment horizontal="left" vertical="center"/>
    </xf>
    <xf numFmtId="0" fontId="9" fillId="6" borderId="0" applyAlignment="1" pivotButton="0" quotePrefix="0" xfId="4">
      <alignment horizontal="left" vertical="center"/>
    </xf>
    <xf numFmtId="0" fontId="11" fillId="7" borderId="0" applyAlignment="1" pivotButton="0" quotePrefix="0" xfId="4">
      <alignment horizontal="left" vertical="center"/>
    </xf>
    <xf numFmtId="0" fontId="10" fillId="7" borderId="0" applyAlignment="1" pivotButton="0" quotePrefix="0" xfId="4">
      <alignment horizontal="left" vertical="center"/>
    </xf>
    <xf numFmtId="0" fontId="14" fillId="7" borderId="0" applyAlignment="1" pivotButton="0" quotePrefix="0" xfId="5">
      <alignment horizontal="left" vertical="center"/>
    </xf>
    <xf numFmtId="0" fontId="15" fillId="0" borderId="0" applyAlignment="1" pivotButton="0" quotePrefix="0" xfId="5">
      <alignment horizontal="left" vertical="center"/>
    </xf>
    <xf numFmtId="0" fontId="16" fillId="8" borderId="6" applyAlignment="1" pivotButton="0" quotePrefix="0" xfId="5">
      <alignment horizontal="left" vertical="center"/>
    </xf>
    <xf numFmtId="0" fontId="15" fillId="4" borderId="0" applyAlignment="1" pivotButton="0" quotePrefix="0" xfId="5">
      <alignment horizontal="left" vertical="center"/>
    </xf>
    <xf numFmtId="0" fontId="16" fillId="0" borderId="0" applyAlignment="1" pivotButton="0" quotePrefix="0" xfId="5">
      <alignment horizontal="left" vertical="center"/>
    </xf>
    <xf numFmtId="0" fontId="16" fillId="4" borderId="1" applyAlignment="1" pivotButton="0" quotePrefix="0" xfId="5">
      <alignment horizontal="left" vertical="center"/>
    </xf>
    <xf numFmtId="0" fontId="93" fillId="0" borderId="0" applyAlignment="1" pivotButton="0" quotePrefix="0" xfId="0">
      <alignment horizontal="left" vertical="center"/>
    </xf>
    <xf numFmtId="0" fontId="94" fillId="0" borderId="0" applyAlignment="1" pivotButton="0" quotePrefix="0" xfId="0">
      <alignment horizontal="left" vertical="center"/>
    </xf>
    <xf numFmtId="0" fontId="95" fillId="0" borderId="5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96" fillId="0" borderId="0" applyAlignment="1" pivotButton="0" quotePrefix="0" xfId="0">
      <alignment horizontal="left" vertical="center"/>
    </xf>
    <xf numFmtId="0" fontId="95" fillId="4" borderId="0" applyAlignment="1" pivotButton="0" quotePrefix="0" xfId="0">
      <alignment horizontal="left" vertical="center"/>
    </xf>
  </cellXfs>
  <cellStyles count="28">
    <cellStyle name="Normal" xfId="0" builtinId="0"/>
    <cellStyle name="Millares" xfId="1" builtinId="3"/>
    <cellStyle name="Millares [0]" xfId="2" builtinId="6"/>
    <cellStyle name="Porcentaje" xfId="3" builtinId="5"/>
    <cellStyle name="Normal_Hoja2" xfId="4"/>
    <cellStyle name="Normal 4" xfId="5"/>
    <cellStyle name="Normal 2 3" xfId="6"/>
    <cellStyle name="Comma [0] 3" xfId="7"/>
    <cellStyle name="Millares [0]_Hoja2" xfId="8"/>
    <cellStyle name="Normal_2008_T.1-Patrimonio Difor" xfId="9"/>
    <cellStyle name="A3 297 x 420 mm" xfId="10"/>
    <cellStyle name="Normal_PT_Salmones_Provision_112003 2" xfId="11"/>
    <cellStyle name="Normal 7 4 3 2" xfId="12"/>
    <cellStyle name="Normal_Provisión de vacaciones" xfId="13"/>
    <cellStyle name="Porcentaje 10" xfId="14"/>
    <cellStyle name="Millares [0] 2 9" xfId="15"/>
    <cellStyle name="Comma_AF_CONTI_122003" xfId="16"/>
    <cellStyle name="Millares 38" xfId="17"/>
    <cellStyle name="Normal 133" xfId="18"/>
    <cellStyle name="Normal 269 5" xfId="19"/>
    <cellStyle name="Normal 262" xfId="20"/>
    <cellStyle name="Normal_Papeles de trabajo ESA" xfId="21"/>
    <cellStyle name="Normal_Archivo GAMx" xfId="22"/>
    <cellStyle name="Normal 5" xfId="23"/>
    <cellStyle name="Percent 2" xfId="24"/>
    <cellStyle name="Millares [0] 3" xfId="25"/>
    <cellStyle name="Millares [0] 4" xfId="26"/>
    <cellStyle name="Millares [0] 2" xf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omments/comment1.xml><?xml version="1.0" encoding="utf-8"?>
<comments xmlns="http://schemas.openxmlformats.org/spreadsheetml/2006/main">
  <authors>
    <author>Cristiàn Saavedra</author>
  </authors>
  <commentList>
    <comment ref="M36" authorId="0" shapeId="0">
      <text>
        <t xml:space="preserve">cartera de clientes
</t>
      </text>
    </comment>
  </commentList>
</comment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9"/>
  <sheetViews>
    <sheetView showGridLines="0" zoomScale="90" zoomScaleNormal="90" workbookViewId="0">
      <selection activeCell="I15" sqref="I15"/>
    </sheetView>
  </sheetViews>
  <sheetFormatPr baseColWidth="10" defaultRowHeight="14.4"/>
  <cols>
    <col width="39.109375" bestFit="1" customWidth="1" style="779" min="3" max="3"/>
    <col width="14.33203125" customWidth="1" style="830" min="4" max="4"/>
    <col width="16.44140625" bestFit="1" customWidth="1" style="830" min="5" max="5"/>
  </cols>
  <sheetData>
    <row r="1">
      <c r="B1" s="1140" t="inlineStr">
        <is>
          <t xml:space="preserve">Asiento Manual </t>
        </is>
      </c>
    </row>
    <row r="3">
      <c r="D3" s="1141" t="inlineStr">
        <is>
          <t xml:space="preserve">Debe </t>
        </is>
      </c>
      <c r="E3" s="1141" t="inlineStr">
        <is>
          <t xml:space="preserve">Haber </t>
        </is>
      </c>
    </row>
    <row r="4">
      <c r="B4" t="n">
        <v>1209805</v>
      </c>
      <c r="C4" s="1142" t="inlineStr">
        <is>
          <t>RECEPCIONES PENDIENTES DE FACTURAR CLP</t>
        </is>
      </c>
      <c r="D4" s="830" t="n">
        <v>213698853</v>
      </c>
    </row>
    <row r="5">
      <c r="B5" t="n">
        <v>1105105</v>
      </c>
      <c r="C5" s="1142" t="inlineStr">
        <is>
          <t>CUENTA POR COBRAR MERCANTIL</t>
        </is>
      </c>
      <c r="E5" s="830" t="n">
        <v>-213698853</v>
      </c>
    </row>
    <row r="6">
      <c r="B6" t="n">
        <v>3105605</v>
      </c>
      <c r="C6" s="1142" t="inlineStr">
        <is>
          <t xml:space="preserve">MATERIALES </t>
        </is>
      </c>
      <c r="E6" s="830" t="n">
        <v>-1020685</v>
      </c>
    </row>
    <row r="7">
      <c r="B7" t="n">
        <v>3105607</v>
      </c>
      <c r="C7" s="1142" t="inlineStr">
        <is>
          <t>INSUMOS</t>
        </is>
      </c>
      <c r="E7" s="830" t="n">
        <v>-98306</v>
      </c>
    </row>
    <row r="8">
      <c r="B8" t="n">
        <v>2102605</v>
      </c>
      <c r="C8" s="1142" t="inlineStr">
        <is>
          <t xml:space="preserve">PROVISIONES VARIAS </t>
        </is>
      </c>
      <c r="D8" s="830" t="n">
        <v>1118991</v>
      </c>
    </row>
    <row r="9">
      <c r="B9" s="88" t="n"/>
      <c r="C9" s="88" t="n"/>
      <c r="D9" s="831">
        <f>SUM(D4:D8)</f>
        <v/>
      </c>
      <c r="E9" s="831">
        <f>SUM(E4:E8)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zoomScale="80" zoomScaleNormal="80" workbookViewId="0">
      <selection activeCell="H19" sqref="H19"/>
    </sheetView>
  </sheetViews>
  <sheetFormatPr baseColWidth="10" defaultRowHeight="14.4"/>
  <cols>
    <col width="66" bestFit="1" customWidth="1" style="779" min="3" max="3"/>
    <col width="14.5546875" bestFit="1" customWidth="1" style="830" min="4" max="5"/>
    <col width="43.6640625" bestFit="1" customWidth="1" style="779" min="8" max="8"/>
    <col width="14.5546875" bestFit="1" customWidth="1" style="779" min="9" max="10"/>
  </cols>
  <sheetData>
    <row r="2">
      <c r="B2" s="1143" t="inlineStr">
        <is>
          <t>Cuenta</t>
        </is>
      </c>
      <c r="C2" s="1143" t="inlineStr">
        <is>
          <t>Nombre cuenta</t>
        </is>
      </c>
      <c r="D2" s="832" t="inlineStr">
        <is>
          <t>$</t>
        </is>
      </c>
      <c r="E2" s="832" t="inlineStr">
        <is>
          <t>$</t>
        </is>
      </c>
    </row>
    <row r="3">
      <c r="B3" s="786" t="n">
        <v>2103104</v>
      </c>
      <c r="C3" s="1142" t="inlineStr">
        <is>
          <t>CUENTAS POR PAGAR MERCANTIL</t>
        </is>
      </c>
      <c r="D3" s="830">
        <f>+E4+E5</f>
        <v/>
      </c>
      <c r="G3" t="n">
        <v>2103104</v>
      </c>
      <c r="H3" t="inlineStr">
        <is>
          <t>CUENTAS POR PAGAR MERCANTIL</t>
        </is>
      </c>
      <c r="I3" s="833">
        <f>+D3</f>
        <v/>
      </c>
      <c r="J3" s="833">
        <f>+E9</f>
        <v/>
      </c>
      <c r="K3" t="inlineStr">
        <is>
          <t>ok</t>
        </is>
      </c>
    </row>
    <row r="4">
      <c r="B4" s="786" t="n">
        <v>1106401</v>
      </c>
      <c r="C4" s="1142" t="inlineStr">
        <is>
          <t>MATERIALES NACIONALES</t>
        </is>
      </c>
      <c r="E4" s="830">
        <f>580263640</f>
        <v/>
      </c>
      <c r="G4" t="n">
        <v>1106401</v>
      </c>
      <c r="H4" t="inlineStr">
        <is>
          <t>MATERIALES NACIONALES</t>
        </is>
      </c>
      <c r="J4" s="833">
        <f>+E4</f>
        <v/>
      </c>
      <c r="K4" t="inlineStr">
        <is>
          <t>ok</t>
        </is>
      </c>
    </row>
    <row r="5">
      <c r="B5" s="786" t="n">
        <v>1106501</v>
      </c>
      <c r="C5" s="1142" t="inlineStr">
        <is>
          <t xml:space="preserve">MATERIALES IMPORTADOS 			</t>
        </is>
      </c>
      <c r="E5" s="830" t="n">
        <v>2906824652</v>
      </c>
      <c r="G5" t="n">
        <v>1106501</v>
      </c>
      <c r="H5" t="inlineStr">
        <is>
          <t xml:space="preserve">MATERIALES IMPORTADOS 			</t>
        </is>
      </c>
      <c r="J5" s="833">
        <f>+E5</f>
        <v/>
      </c>
      <c r="K5" t="inlineStr">
        <is>
          <t>ok</t>
        </is>
      </c>
    </row>
    <row r="6">
      <c r="B6" s="786" t="n"/>
      <c r="C6" s="1144" t="inlineStr">
        <is>
          <t>Gl: Ajuste mvtos junio y julio no rebajados en Pacífico al 31-07-2023</t>
        </is>
      </c>
      <c r="G6" t="n">
        <v>1209802</v>
      </c>
      <c r="H6" t="inlineStr">
        <is>
          <t>OBRAS EN CURSO</t>
        </is>
      </c>
      <c r="I6" s="833">
        <f>+D8</f>
        <v/>
      </c>
    </row>
    <row r="7">
      <c r="B7" s="786" t="n"/>
      <c r="G7" t="n">
        <v>9999999</v>
      </c>
      <c r="H7" t="inlineStr">
        <is>
          <t>CUENTA PUENTE CARGA INICIAL</t>
        </is>
      </c>
      <c r="I7" s="833">
        <f>+D13</f>
        <v/>
      </c>
    </row>
    <row r="8">
      <c r="B8" s="786" t="n">
        <v>1209802</v>
      </c>
      <c r="C8" s="1142" t="inlineStr">
        <is>
          <t>OBRAS EN CURSO</t>
        </is>
      </c>
      <c r="D8" s="830">
        <f>5773682019-2426080834</f>
        <v/>
      </c>
      <c r="G8" t="n">
        <v>1209805</v>
      </c>
      <c r="H8" t="inlineStr">
        <is>
          <t>RECEPCIONES PENDIENTES DE FACTUAR (MAGNUS)</t>
        </is>
      </c>
      <c r="J8" s="833">
        <f>+E14</f>
        <v/>
      </c>
      <c r="K8" t="inlineStr">
        <is>
          <t>ok</t>
        </is>
      </c>
    </row>
    <row r="9">
      <c r="B9" s="786" t="n">
        <v>2103104</v>
      </c>
      <c r="C9" s="1142" t="inlineStr">
        <is>
          <t>CUENTAS POR PAGAR MERCANTIL</t>
        </is>
      </c>
      <c r="E9" s="830">
        <f>+D8</f>
        <v/>
      </c>
      <c r="G9" t="n">
        <v>1209806</v>
      </c>
      <c r="H9" t="inlineStr">
        <is>
          <t>RECEPCIONES PENDIENTES DE FACTUAR USD</t>
        </is>
      </c>
      <c r="J9" s="833">
        <f>+E15</f>
        <v/>
      </c>
      <c r="K9" t="inlineStr">
        <is>
          <t>ok</t>
        </is>
      </c>
    </row>
    <row r="10">
      <c r="B10" s="786" t="n"/>
      <c r="C10" s="1144" t="inlineStr">
        <is>
          <t>Gl: Ajuste mvtos junio y julio de Obras en Curso no rebajadas en Pacífico al 31-07-2023</t>
        </is>
      </c>
      <c r="I10" s="833">
        <f>SUM(I3:I9)</f>
        <v/>
      </c>
      <c r="J10" s="833">
        <f>SUM(J3:J9)</f>
        <v/>
      </c>
    </row>
    <row r="11">
      <c r="B11" s="786" t="n"/>
    </row>
    <row r="12">
      <c r="B12" s="786" t="n"/>
    </row>
    <row r="13">
      <c r="B13" s="786" t="n">
        <v>9999999</v>
      </c>
      <c r="C13" s="1142" t="inlineStr">
        <is>
          <t>CUENTA PUENTE CARGA INICIAL</t>
        </is>
      </c>
      <c r="D13" s="830">
        <f>SUM(E14:E15)</f>
        <v/>
      </c>
    </row>
    <row r="14">
      <c r="B14" s="786" t="n">
        <v>1209805</v>
      </c>
      <c r="C14" s="1142" t="inlineStr">
        <is>
          <t>RECEPCIONES PENDIENTES DE FACTUAR (MAGNUS)</t>
        </is>
      </c>
      <c r="E14" s="830">
        <f>258003793+186</f>
        <v/>
      </c>
    </row>
    <row r="15">
      <c r="B15" s="786" t="n">
        <v>1209806</v>
      </c>
      <c r="C15" s="1142" t="inlineStr">
        <is>
          <t>RECEPCIONES PENDIENTES DE FACTUAR USD</t>
        </is>
      </c>
      <c r="E15" s="830" t="n">
        <v>415865077</v>
      </c>
    </row>
    <row r="16">
      <c r="B16" s="786" t="n"/>
      <c r="C16" s="1144" t="inlineStr">
        <is>
          <t>Gl. Asiento distribución cta carga inicial</t>
        </is>
      </c>
    </row>
    <row r="19">
      <c r="B19" t="n">
        <v>1209301</v>
      </c>
      <c r="C19" s="1142" t="inlineStr">
        <is>
          <t xml:space="preserve">REDES DE TRANSMISION			</t>
        </is>
      </c>
      <c r="D19" s="830" t="n">
        <v>1317465310.097351</v>
      </c>
    </row>
    <row r="20">
      <c r="B20" t="n">
        <v>1209302</v>
      </c>
      <c r="C20" s="1142" t="inlineStr">
        <is>
          <t xml:space="preserve">PLANTAS TRANSMISORAS			</t>
        </is>
      </c>
      <c r="D20" s="830" t="n">
        <v>1755237278.458099</v>
      </c>
    </row>
    <row r="21">
      <c r="B21" t="n">
        <v>1209303</v>
      </c>
      <c r="C21" s="1142" t="inlineStr">
        <is>
          <t xml:space="preserve">EQUIPOS PORTATILES			</t>
        </is>
      </c>
      <c r="D21" s="830" t="n">
        <v>44900475.2800045</v>
      </c>
    </row>
    <row r="22">
      <c r="B22" t="n">
        <v>1209304</v>
      </c>
      <c r="C22" s="1142" t="inlineStr">
        <is>
          <t>ENLACES</t>
        </is>
      </c>
      <c r="D22" s="830" t="n">
        <v>604261245.6797791</v>
      </c>
    </row>
    <row r="23">
      <c r="B23" t="n">
        <v>1209401</v>
      </c>
      <c r="C23" s="1142" t="inlineStr">
        <is>
          <t>MUEBLES Y UTILES</t>
        </is>
      </c>
      <c r="D23" s="830" t="n">
        <v>140782.4710139185</v>
      </c>
    </row>
    <row r="24">
      <c r="B24" t="n">
        <v>1209402</v>
      </c>
      <c r="C24" s="1142" t="inlineStr">
        <is>
          <t>EQUIPOS COMPUTACIONALES</t>
        </is>
      </c>
      <c r="D24" s="830" t="n">
        <v>2285745.326984107</v>
      </c>
    </row>
    <row r="25">
      <c r="B25" t="n">
        <v>1209501</v>
      </c>
      <c r="C25" s="1142" t="inlineStr">
        <is>
          <t>VEHICULOS</t>
        </is>
      </c>
      <c r="D25" s="830" t="n">
        <v>20120040.34064639</v>
      </c>
    </row>
    <row r="26">
      <c r="B26" t="n">
        <v>1209801</v>
      </c>
      <c r="C26" s="1142" t="inlineStr">
        <is>
          <t>OTROS ACTIVOS FIJOS</t>
        </is>
      </c>
      <c r="D26" s="830" t="n">
        <v>12485150.99999994</v>
      </c>
    </row>
    <row r="27">
      <c r="B27" s="786" t="n">
        <v>2103104</v>
      </c>
      <c r="C27" s="1142" t="inlineStr">
        <is>
          <t>CUENTAS POR PAGAR MERCANTIL</t>
        </is>
      </c>
      <c r="E27" s="830">
        <f>SUM(D19:D26)</f>
        <v/>
      </c>
    </row>
    <row r="28">
      <c r="C28" s="1144" t="inlineStr">
        <is>
          <t xml:space="preserve">Gl: </t>
        </is>
      </c>
      <c r="D28" s="830">
        <f>SUM(D3:D27)</f>
        <v/>
      </c>
      <c r="E28" s="830">
        <f>SUM(E3:E27)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H38"/>
  <sheetViews>
    <sheetView showGridLines="0" zoomScale="80" zoomScaleNormal="80" workbookViewId="0">
      <selection activeCell="J20" sqref="J20"/>
    </sheetView>
  </sheetViews>
  <sheetFormatPr baseColWidth="10" defaultRowHeight="14.4"/>
  <cols>
    <col width="27.6640625" customWidth="1" style="779" min="1" max="1"/>
    <col width="18.88671875" customWidth="1" style="779" min="2" max="2"/>
    <col width="17.88671875" customWidth="1" style="779" min="3" max="3"/>
    <col width="15.88671875" bestFit="1" customWidth="1" style="779" min="4" max="4"/>
    <col width="17.77734375" bestFit="1" customWidth="1" style="779" min="5" max="5"/>
    <col width="14.21875" bestFit="1" customWidth="1" style="779" min="6" max="6"/>
    <col width="12.5546875" bestFit="1" customWidth="1" style="779" min="7" max="7"/>
    <col width="14.5546875" bestFit="1" customWidth="1" style="779" min="8" max="8"/>
  </cols>
  <sheetData>
    <row r="3">
      <c r="B3" s="778" t="n"/>
      <c r="C3" s="778" t="n"/>
      <c r="D3" s="778" t="n"/>
      <c r="F3" s="778" t="n"/>
    </row>
    <row r="4">
      <c r="B4" s="677" t="inlineStr">
        <is>
          <t>31-06-2026</t>
        </is>
      </c>
      <c r="C4" s="1145" t="n">
        <v>46022</v>
      </c>
      <c r="D4" s="778" t="n"/>
      <c r="F4" s="778" t="n"/>
    </row>
    <row r="5">
      <c r="A5" s="1142" t="inlineStr">
        <is>
          <t>Detalle</t>
        </is>
      </c>
      <c r="B5" s="778" t="inlineStr">
        <is>
          <t>M$</t>
        </is>
      </c>
      <c r="C5" s="778" t="inlineStr">
        <is>
          <t>M$</t>
        </is>
      </c>
      <c r="D5" s="778" t="n"/>
      <c r="F5" s="778" t="n"/>
    </row>
    <row r="6" ht="24" customHeight="1" s="779">
      <c r="A6" s="1142" t="inlineStr">
        <is>
          <t>Efectivo en caja</t>
        </is>
      </c>
      <c r="B6" s="830" t="n"/>
      <c r="C6" s="833" t="n"/>
    </row>
    <row r="7">
      <c r="A7" s="1142" t="inlineStr">
        <is>
          <t>Fondo fijo</t>
        </is>
      </c>
      <c r="B7" s="830" t="n"/>
      <c r="C7" s="833" t="n"/>
    </row>
    <row r="8" ht="15.75" customHeight="1" s="779">
      <c r="A8" s="1142" t="inlineStr">
        <is>
          <t>Efectivo en bancos</t>
        </is>
      </c>
      <c r="B8" s="830" t="n"/>
      <c r="C8" s="833" t="n"/>
    </row>
    <row r="9" ht="15.75" customHeight="1" s="779">
      <c r="A9" s="1142" t="inlineStr">
        <is>
          <t>Deposito a plazo</t>
        </is>
      </c>
      <c r="B9" s="830" t="n"/>
      <c r="C9" s="833" t="n"/>
    </row>
    <row r="10">
      <c r="A10" s="1142" t="inlineStr">
        <is>
          <t>Fondos mutuos</t>
        </is>
      </c>
      <c r="B10" s="834" t="n"/>
      <c r="C10" s="835" t="n"/>
    </row>
    <row r="11" ht="15" customHeight="1" s="779" thickBot="1">
      <c r="A11" s="1142" t="inlineStr">
        <is>
          <t>Total</t>
        </is>
      </c>
      <c r="B11" s="836">
        <f>SUM(B6:B10)</f>
        <v/>
      </c>
      <c r="C11" s="836">
        <f>SUM(C6:C10)</f>
        <v/>
      </c>
    </row>
    <row r="12" ht="15" customHeight="1" s="779" thickTop="1">
      <c r="B12" s="830" t="n"/>
    </row>
    <row r="13">
      <c r="A13" s="1142" t="inlineStr">
        <is>
          <t>Composicion de monedas</t>
        </is>
      </c>
      <c r="B13" s="677" t="inlineStr">
        <is>
          <t>31-06-2026</t>
        </is>
      </c>
      <c r="C13" s="1145" t="n">
        <v>46022</v>
      </c>
    </row>
    <row r="14" customFormat="1" s="830">
      <c r="A14" s="837" t="n"/>
      <c r="B14" s="838" t="inlineStr">
        <is>
          <t>M$</t>
        </is>
      </c>
      <c r="C14" s="838" t="inlineStr">
        <is>
          <t>M$</t>
        </is>
      </c>
    </row>
    <row r="15">
      <c r="A15" s="1146" t="inlineStr">
        <is>
          <t>Detalle</t>
        </is>
      </c>
      <c r="B15" s="94" t="n"/>
      <c r="C15" s="94" t="n"/>
    </row>
    <row r="16">
      <c r="A16" s="1147" t="inlineStr">
        <is>
          <t>Dólares estadounidenses</t>
        </is>
      </c>
      <c r="B16" s="98" t="n"/>
    </row>
    <row r="17">
      <c r="A17" s="1147" t="inlineStr">
        <is>
          <t>Pesos chilenos</t>
        </is>
      </c>
      <c r="B17" s="98" t="n"/>
    </row>
    <row r="18">
      <c r="A18" s="1147" t="inlineStr">
        <is>
          <t>Euros</t>
        </is>
      </c>
      <c r="B18" s="834" t="n"/>
      <c r="C18" s="834" t="n"/>
    </row>
    <row r="19" ht="15" customHeight="1" s="779" thickBot="1">
      <c r="A19" s="1147" t="inlineStr">
        <is>
          <t>Total</t>
        </is>
      </c>
      <c r="B19" s="836">
        <f>SUM(B16:B18)</f>
        <v/>
      </c>
      <c r="C19" s="836">
        <f>SUM(C16:C18)</f>
        <v/>
      </c>
    </row>
    <row r="20" ht="15" customHeight="1" s="779" thickTop="1"/>
    <row r="25">
      <c r="A25" s="1148" t="inlineStr">
        <is>
          <t>DETALLE DE FONDOS MUTUOS</t>
        </is>
      </c>
    </row>
    <row r="27"/>
    <row r="28">
      <c r="A28" s="647" t="n"/>
    </row>
    <row r="29" ht="14.4" customHeight="1" s="779">
      <c r="A29" s="676" t="inlineStr">
        <is>
          <t>Detalle</t>
        </is>
      </c>
      <c r="B29" s="676" t="inlineStr">
        <is>
          <t>Banco</t>
        </is>
      </c>
      <c r="C29" s="1149" t="inlineStr">
        <is>
          <t>Moneda</t>
        </is>
      </c>
      <c r="D29" s="1145" t="inlineStr">
        <is>
          <t>Fecha  Actual</t>
        </is>
      </c>
      <c r="E29" s="1145" t="inlineStr">
        <is>
          <t>Fecha  Comparativa</t>
        </is>
      </c>
    </row>
    <row r="30">
      <c r="D30" s="95" t="inlineStr">
        <is>
          <t>M$</t>
        </is>
      </c>
      <c r="E30" s="95" t="inlineStr">
        <is>
          <t>M$</t>
        </is>
      </c>
    </row>
    <row r="31">
      <c r="A31" s="578" t="inlineStr">
        <is>
          <t>Fondos mutuos</t>
        </is>
      </c>
      <c r="B31" s="806" t="n"/>
      <c r="D31" s="839" t="n"/>
      <c r="E31" s="840" t="n"/>
    </row>
    <row r="32">
      <c r="A32" s="578" t="inlineStr">
        <is>
          <t>Fondos mutuos</t>
        </is>
      </c>
      <c r="B32" s="806" t="n"/>
      <c r="D32" s="840" t="n"/>
      <c r="E32" s="839" t="n"/>
    </row>
    <row r="33">
      <c r="A33" s="578" t="inlineStr">
        <is>
          <t>Fondos mutuos</t>
        </is>
      </c>
      <c r="B33" s="806" t="n"/>
      <c r="D33" s="839" t="n"/>
      <c r="E33" s="839" t="n"/>
    </row>
    <row r="34">
      <c r="A34" s="578" t="inlineStr">
        <is>
          <t>Fondos mutuos</t>
        </is>
      </c>
      <c r="B34" s="806" t="n"/>
      <c r="D34" s="839" t="n"/>
      <c r="E34" s="839" t="n"/>
    </row>
    <row r="35">
      <c r="A35" s="578" t="inlineStr">
        <is>
          <t>Fondos mutuos</t>
        </is>
      </c>
      <c r="B35" s="806" t="n"/>
      <c r="D35" s="839" t="n"/>
      <c r="E35" s="839" t="n"/>
    </row>
    <row r="36" ht="15" customHeight="1" s="779" thickBot="1">
      <c r="A36" s="578" t="inlineStr">
        <is>
          <t>Fondos mutuos</t>
        </is>
      </c>
      <c r="B36" s="806" t="n"/>
      <c r="D36" s="839" t="n"/>
      <c r="E36" s="839" t="n"/>
    </row>
    <row r="37" ht="15" customHeight="1" s="779" thickBot="1">
      <c r="A37" s="578" t="inlineStr">
        <is>
          <t>Total</t>
        </is>
      </c>
      <c r="B37" s="103" t="n"/>
      <c r="D37" s="841">
        <f>SUM(D31:D36)</f>
        <v/>
      </c>
      <c r="E37" s="841">
        <f>SUM(E31:E36)</f>
        <v/>
      </c>
    </row>
    <row r="38">
      <c r="D38" s="842" t="n"/>
    </row>
  </sheetData>
  <mergeCells count="6">
    <mergeCell ref="F27"/>
    <mergeCell ref="H27"/>
    <mergeCell ref="D3"/>
    <mergeCell ref="C3"/>
    <mergeCell ref="F3"/>
    <mergeCell ref="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3:C10"/>
  <sheetViews>
    <sheetView showGridLines="0" workbookViewId="0">
      <selection activeCell="B6" sqref="B6:C6"/>
    </sheetView>
  </sheetViews>
  <sheetFormatPr baseColWidth="10" defaultRowHeight="14.4"/>
  <cols>
    <col width="38.5546875" customWidth="1" style="779" min="1" max="1"/>
    <col width="11.77734375" bestFit="1" customWidth="1" style="779" min="2" max="2"/>
    <col width="17.21875" bestFit="1" customWidth="1" style="779" min="3" max="3"/>
  </cols>
  <sheetData>
    <row r="3">
      <c r="A3" s="781" t="n"/>
      <c r="C3" s="669" t="n"/>
    </row>
    <row r="4">
      <c r="A4" s="780" t="n"/>
      <c r="C4" s="144" t="n"/>
    </row>
    <row r="5">
      <c r="A5" s="670" t="n"/>
      <c r="B5" s="671" t="n"/>
      <c r="C5" s="671" t="n"/>
    </row>
    <row r="6">
      <c r="A6" s="670" t="n"/>
      <c r="B6" s="677" t="inlineStr">
        <is>
          <t>31-06-2026</t>
        </is>
      </c>
      <c r="C6" s="1145" t="n">
        <v>46022</v>
      </c>
    </row>
    <row r="7">
      <c r="B7" s="144" t="inlineStr">
        <is>
          <t>M$</t>
        </is>
      </c>
      <c r="C7" s="144" t="inlineStr">
        <is>
          <t>M$</t>
        </is>
      </c>
    </row>
    <row r="8">
      <c r="A8" s="1150" t="inlineStr">
        <is>
          <t>Detalle</t>
        </is>
      </c>
    </row>
    <row r="9" ht="15" customHeight="1" s="779" thickBot="1">
      <c r="A9" s="670" t="inlineStr">
        <is>
          <t xml:space="preserve">Garantías recibidas </t>
        </is>
      </c>
      <c r="B9" s="671" t="n"/>
      <c r="C9" s="671" t="n"/>
    </row>
    <row r="10" ht="15" customHeight="1" s="779" thickBot="1">
      <c r="A10" s="670" t="inlineStr">
        <is>
          <t>Total</t>
        </is>
      </c>
      <c r="B10" s="672" t="n"/>
      <c r="C10" s="672" t="n"/>
    </row>
  </sheetData>
  <mergeCells count="2">
    <mergeCell ref="A4:B4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D45"/>
  <sheetViews>
    <sheetView showGridLines="0" topLeftCell="A10" zoomScale="90" zoomScaleNormal="90" workbookViewId="0">
      <selection activeCell="C20" sqref="C20:D20"/>
    </sheetView>
  </sheetViews>
  <sheetFormatPr baseColWidth="10" defaultRowHeight="14.4"/>
  <cols>
    <col width="38.109375" customWidth="1" style="779" min="2" max="2"/>
    <col outlineLevel="1" width="14.33203125" customWidth="1" style="779" min="3" max="3"/>
    <col outlineLevel="1" width="18.109375" bestFit="1" customWidth="1" style="779" min="4" max="4"/>
    <col width="14" customWidth="1" style="779" min="5" max="5"/>
    <col width="15.77734375" bestFit="1" customWidth="1" style="779" min="6" max="6"/>
    <col width="9.44140625" bestFit="1" customWidth="1" style="779" min="7" max="7"/>
  </cols>
  <sheetData>
    <row r="2">
      <c r="C2" s="778" t="n"/>
      <c r="D2" s="778" t="n"/>
    </row>
    <row r="3">
      <c r="C3" s="677" t="inlineStr">
        <is>
          <t>31-06-2026</t>
        </is>
      </c>
      <c r="D3" s="1145" t="n">
        <v>46022</v>
      </c>
    </row>
    <row r="4">
      <c r="B4" s="1144" t="inlineStr">
        <is>
          <t>Detalle</t>
        </is>
      </c>
      <c r="C4" s="778" t="inlineStr">
        <is>
          <t>M$</t>
        </is>
      </c>
      <c r="D4" s="778" t="inlineStr">
        <is>
          <t>M$</t>
        </is>
      </c>
    </row>
    <row r="6">
      <c r="B6" s="1142" t="inlineStr">
        <is>
          <t>Deudores por ventas</t>
        </is>
      </c>
      <c r="C6" s="843" t="n"/>
      <c r="D6" s="843" t="n"/>
    </row>
    <row r="7">
      <c r="B7" s="1142" t="inlineStr">
        <is>
          <t>Estimación de incobrables</t>
        </is>
      </c>
      <c r="C7" s="844" t="n"/>
      <c r="D7" s="844" t="n"/>
    </row>
    <row r="8">
      <c r="B8" s="1142" t="inlineStr">
        <is>
          <t>Sub total cuentas por cobrar, neto</t>
        </is>
      </c>
      <c r="C8" s="843">
        <f>SUM(C6:C7)</f>
        <v/>
      </c>
      <c r="D8" s="843">
        <f>SUM(D6:D7)</f>
        <v/>
      </c>
    </row>
    <row r="9" ht="11.25" customHeight="1" s="779">
      <c r="C9" s="843" t="n"/>
      <c r="D9" s="843" t="n"/>
    </row>
    <row r="10">
      <c r="B10" s="1142" t="inlineStr">
        <is>
          <t>Recaudaciones por cobrar</t>
        </is>
      </c>
      <c r="C10" s="843" t="n"/>
      <c r="D10" s="843" t="n"/>
    </row>
    <row r="11">
      <c r="B11" s="1142" t="inlineStr">
        <is>
          <t>Documentos por cobrar</t>
        </is>
      </c>
      <c r="C11" s="843" t="n"/>
      <c r="D11" s="843" t="n"/>
    </row>
    <row r="12">
      <c r="B12" s="1142" t="inlineStr">
        <is>
          <t>Saldos con personal</t>
        </is>
      </c>
      <c r="C12" s="843" t="n"/>
      <c r="D12" s="843" t="n"/>
    </row>
    <row r="13">
      <c r="B13" s="1142" t="inlineStr">
        <is>
          <t>Anticipos proveedores y otros</t>
        </is>
      </c>
      <c r="C13" s="843" t="n"/>
      <c r="D13" s="843" t="n"/>
    </row>
    <row r="14">
      <c r="B14" s="1142" t="inlineStr">
        <is>
          <t>Deudores varios</t>
        </is>
      </c>
      <c r="C14" s="843" t="n"/>
      <c r="D14" s="843" t="n"/>
    </row>
    <row r="15" ht="15" customHeight="1" s="779" thickBot="1">
      <c r="B15" s="1144" t="inlineStr">
        <is>
          <t>Total</t>
        </is>
      </c>
      <c r="C15" s="845">
        <f>SUM(C8:C14)</f>
        <v/>
      </c>
      <c r="D15" s="845">
        <f>SUM(D8:D14)</f>
        <v/>
      </c>
    </row>
    <row r="16" ht="15" customHeight="1" s="779" thickTop="1"/>
    <row r="19">
      <c r="B19" s="114" t="n"/>
      <c r="C19" s="675" t="n"/>
      <c r="D19" s="675" t="n"/>
    </row>
    <row r="20" ht="23.25" customHeight="1" s="779">
      <c r="B20" s="1151" t="inlineStr">
        <is>
          <t xml:space="preserve">Cuentas comerciales netas vencidas según plazo </t>
        </is>
      </c>
      <c r="C20" s="677" t="inlineStr">
        <is>
          <t>31-06-2026</t>
        </is>
      </c>
      <c r="D20" s="1145" t="n">
        <v>46022</v>
      </c>
    </row>
    <row r="21">
      <c r="B21" s="115" t="n"/>
      <c r="C21" s="674" t="inlineStr">
        <is>
          <t>M$</t>
        </is>
      </c>
      <c r="D21" s="674" t="inlineStr">
        <is>
          <t>M$</t>
        </is>
      </c>
    </row>
    <row r="22">
      <c r="B22" s="117" t="n"/>
      <c r="C22" s="814" t="n"/>
      <c r="D22" s="814" t="n"/>
    </row>
    <row r="23">
      <c r="B23" s="117" t="n"/>
      <c r="C23" s="814" t="n"/>
      <c r="D23" s="814" t="n"/>
    </row>
    <row r="24">
      <c r="B24" s="1152" t="inlineStr">
        <is>
          <t>No vencido</t>
        </is>
      </c>
      <c r="C24" s="846" t="n"/>
      <c r="D24" s="125" t="n"/>
    </row>
    <row r="25">
      <c r="B25" s="1152" t="inlineStr">
        <is>
          <t>De 0 a 30 días</t>
        </is>
      </c>
      <c r="C25" s="846" t="n"/>
      <c r="D25" s="125" t="n"/>
    </row>
    <row r="26">
      <c r="B26" s="1152" t="inlineStr">
        <is>
          <t>De 31 a 60 días</t>
        </is>
      </c>
      <c r="C26" s="846" t="n"/>
      <c r="D26" s="125" t="n"/>
    </row>
    <row r="27">
      <c r="B27" s="1152" t="inlineStr">
        <is>
          <t>De 61 a 90 días</t>
        </is>
      </c>
      <c r="C27" s="846" t="n"/>
      <c r="D27" s="125" t="n"/>
    </row>
    <row r="28">
      <c r="B28" s="1152" t="inlineStr">
        <is>
          <t>De 91 a 120 días</t>
        </is>
      </c>
      <c r="C28" s="846" t="n"/>
      <c r="D28" s="125" t="n"/>
    </row>
    <row r="29">
      <c r="B29" s="1152" t="inlineStr">
        <is>
          <t>De 121 a 180 días</t>
        </is>
      </c>
      <c r="C29" s="846" t="n"/>
      <c r="D29" s="125" t="n"/>
    </row>
    <row r="30" ht="15" customHeight="1" s="779" thickBot="1">
      <c r="B30" s="1152" t="inlineStr">
        <is>
          <t>Mayor a 180 días</t>
        </is>
      </c>
      <c r="C30" s="126" t="n"/>
      <c r="D30" s="126" t="n"/>
    </row>
    <row r="31" ht="15" customHeight="1" s="779" thickBot="1">
      <c r="B31" s="1152" t="inlineStr">
        <is>
          <t xml:space="preserve">Total </t>
        </is>
      </c>
      <c r="C31" s="120">
        <f>SUM(C24:C30)</f>
        <v/>
      </c>
      <c r="D31" s="120">
        <f>SUM(D24:D30)</f>
        <v/>
      </c>
    </row>
    <row r="35">
      <c r="B35" s="1153" t="inlineStr">
        <is>
          <t>MOVIMIENTO DE INCOBRABLES</t>
        </is>
      </c>
    </row>
    <row r="37">
      <c r="C37" s="677" t="inlineStr">
        <is>
          <t>31-06-2026</t>
        </is>
      </c>
      <c r="D37" s="1145" t="n">
        <v>46022</v>
      </c>
    </row>
    <row r="38">
      <c r="B38" s="117" t="n"/>
      <c r="C38" s="674" t="inlineStr">
        <is>
          <t>M$</t>
        </is>
      </c>
      <c r="D38" s="674" t="inlineStr">
        <is>
          <t>M$</t>
        </is>
      </c>
    </row>
    <row r="39">
      <c r="B39" s="1151" t="inlineStr">
        <is>
          <t>Movimientos</t>
        </is>
      </c>
      <c r="C39" s="814" t="inlineStr">
        <is>
          <t>M$</t>
        </is>
      </c>
      <c r="D39" s="814" t="inlineStr">
        <is>
          <t>M$</t>
        </is>
      </c>
    </row>
    <row r="40">
      <c r="B40" s="117" t="n"/>
      <c r="C40" s="117" t="n"/>
      <c r="D40" s="117" t="n"/>
    </row>
    <row r="41">
      <c r="B41" s="1152" t="inlineStr">
        <is>
          <t>Saldo inicial</t>
        </is>
      </c>
      <c r="C41" s="122">
        <f>+D45</f>
        <v/>
      </c>
      <c r="D41" s="122" t="n"/>
    </row>
    <row r="42">
      <c r="B42" s="1154" t="inlineStr">
        <is>
          <t>Pérdida reconocida por deterioro</t>
        </is>
      </c>
      <c r="C42" s="122" t="n"/>
      <c r="D42" s="122" t="n"/>
    </row>
    <row r="43">
      <c r="B43" s="1154" t="inlineStr">
        <is>
          <t>Reverso de deterioro (1)</t>
        </is>
      </c>
      <c r="C43" s="122" t="n"/>
      <c r="D43" s="122" t="n"/>
    </row>
    <row r="44">
      <c r="B44" s="1154" t="inlineStr">
        <is>
          <t>Castigos (1)</t>
        </is>
      </c>
      <c r="C44" s="679" t="n"/>
      <c r="D44" s="679" t="n"/>
    </row>
    <row r="45" ht="15" customHeight="1" s="779" thickBot="1">
      <c r="B45" s="1152" t="inlineStr">
        <is>
          <t xml:space="preserve">Saldo final  </t>
        </is>
      </c>
      <c r="C45" s="847">
        <f>SUM(C41:C44)</f>
        <v/>
      </c>
      <c r="D45" s="84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G60"/>
  <sheetViews>
    <sheetView showGridLines="0" zoomScale="90" zoomScaleNormal="90" workbookViewId="0">
      <selection activeCell="I65" sqref="I65"/>
    </sheetView>
  </sheetViews>
  <sheetFormatPr baseColWidth="10" defaultRowHeight="14.4"/>
  <cols>
    <col width="5.44140625" customWidth="1" style="779" min="1" max="1"/>
    <col width="40.21875" customWidth="1" style="779" min="2" max="2"/>
    <col outlineLevel="1" width="14.33203125" customWidth="1" style="779" min="3" max="3"/>
    <col outlineLevel="1" width="18.109375" bestFit="1" customWidth="1" style="779" min="4" max="4"/>
    <col width="17.109375" bestFit="1" customWidth="1" style="779" min="5" max="5"/>
    <col width="11.88671875" bestFit="1" customWidth="1" style="779" min="6" max="6"/>
    <col width="16" bestFit="1" customWidth="1" style="779" min="7" max="7"/>
  </cols>
  <sheetData>
    <row r="1">
      <c r="C1" s="81" t="n"/>
      <c r="D1" s="81" t="n"/>
      <c r="E1" s="81" t="n"/>
      <c r="G1" s="81" t="n"/>
    </row>
    <row r="2">
      <c r="B2" s="1144" t="inlineStr">
        <is>
          <t>La composición de este rubro es la siguiente:</t>
        </is>
      </c>
    </row>
    <row r="3">
      <c r="C3" s="677" t="inlineStr">
        <is>
          <t>31-06-2026</t>
        </is>
      </c>
      <c r="D3" s="1145" t="n">
        <v>46022</v>
      </c>
      <c r="E3" s="160" t="n"/>
      <c r="G3" s="160" t="n"/>
    </row>
    <row r="4">
      <c r="B4" s="1142" t="inlineStr">
        <is>
          <t>Detalle</t>
        </is>
      </c>
      <c r="C4" s="786" t="inlineStr">
        <is>
          <t>M$</t>
        </is>
      </c>
      <c r="D4" s="786" t="inlineStr">
        <is>
          <t>M$</t>
        </is>
      </c>
    </row>
    <row r="6">
      <c r="B6" s="1142" t="inlineStr">
        <is>
          <t>Bodega central (*)</t>
        </is>
      </c>
      <c r="C6" s="848" t="n"/>
      <c r="D6" s="849" t="n"/>
      <c r="E6" s="848" t="n"/>
      <c r="G6" s="848" t="n"/>
    </row>
    <row r="7">
      <c r="B7" s="1142" t="inlineStr">
        <is>
          <t>Otras bodegas (**)</t>
        </is>
      </c>
      <c r="C7" s="848" t="n"/>
      <c r="D7" s="849" t="n"/>
      <c r="E7" s="848" t="n"/>
      <c r="G7" s="848" t="n"/>
    </row>
    <row r="8">
      <c r="B8" s="1142" t="inlineStr">
        <is>
          <t>Bodega tecnica</t>
        </is>
      </c>
      <c r="C8" s="848" t="n"/>
      <c r="D8" s="849" t="n"/>
      <c r="E8" s="848" t="n"/>
      <c r="G8" s="848" t="n"/>
    </row>
    <row r="9">
      <c r="B9" s="1142" t="inlineStr">
        <is>
          <t>Bodega en transito</t>
        </is>
      </c>
      <c r="C9" s="848" t="n"/>
      <c r="D9" s="849" t="n"/>
      <c r="E9" s="848" t="n"/>
      <c r="G9" s="848" t="n"/>
    </row>
    <row r="10">
      <c r="B10" s="1142" t="inlineStr">
        <is>
          <t>Bodega de contratistas</t>
        </is>
      </c>
      <c r="C10" s="848" t="n"/>
      <c r="D10" s="849" t="n"/>
      <c r="E10" s="848" t="n"/>
      <c r="G10" s="848" t="n"/>
    </row>
    <row r="11">
      <c r="B11" s="1142" t="inlineStr">
        <is>
          <t>Bodega de operaciones</t>
        </is>
      </c>
      <c r="C11" s="848" t="n"/>
      <c r="D11" s="849" t="n"/>
      <c r="E11" s="848" t="n"/>
      <c r="G11" s="848" t="n"/>
    </row>
    <row r="12">
      <c r="B12" s="1142" t="inlineStr">
        <is>
          <t>Deterioro por obsolescencia de materiales</t>
        </is>
      </c>
      <c r="C12" s="848" t="n"/>
      <c r="D12" s="849" t="n"/>
      <c r="E12" s="848" t="n"/>
      <c r="G12" s="848" t="n"/>
    </row>
    <row r="13" ht="15" customHeight="1" s="779" thickBot="1">
      <c r="B13" s="1142" t="inlineStr">
        <is>
          <t>Total</t>
        </is>
      </c>
      <c r="C13" s="850">
        <f>SUM(C6:C12)</f>
        <v/>
      </c>
      <c r="D13" s="850">
        <f>SUM(D6:D12)</f>
        <v/>
      </c>
      <c r="E13" s="843" t="n"/>
      <c r="G13" s="830" t="n"/>
    </row>
    <row r="14" ht="15" customHeight="1" s="779" thickTop="1">
      <c r="C14" s="128" t="n"/>
    </row>
    <row r="15">
      <c r="C15" s="833" t="n"/>
    </row>
    <row r="18">
      <c r="B18" s="1144" t="inlineStr">
        <is>
          <t>El movimiento de la provisión de obsolescencia al cierre de cada ejercicio es el siguiente:</t>
        </is>
      </c>
    </row>
    <row r="20">
      <c r="B20" s="129" t="n"/>
      <c r="C20" s="81" t="n"/>
      <c r="D20" s="81" t="n"/>
    </row>
    <row r="21">
      <c r="B21" s="117" t="n"/>
      <c r="C21" s="677" t="inlineStr">
        <is>
          <t>31-06-2026</t>
        </is>
      </c>
      <c r="D21" s="1145" t="n">
        <v>46022</v>
      </c>
    </row>
    <row r="22">
      <c r="B22" s="130" t="n"/>
      <c r="C22" s="814" t="inlineStr">
        <is>
          <t xml:space="preserve">     M$</t>
        </is>
      </c>
      <c r="D22" s="814" t="inlineStr">
        <is>
          <t>M$</t>
        </is>
      </c>
    </row>
    <row r="23">
      <c r="B23" s="1152" t="inlineStr">
        <is>
          <t>Saldo inicial</t>
        </is>
      </c>
      <c r="C23" s="851" t="n"/>
      <c r="D23" s="852" t="n"/>
    </row>
    <row r="24">
      <c r="B24" s="1152" t="inlineStr">
        <is>
          <t>Disminución por obsolescencia</t>
        </is>
      </c>
      <c r="C24" s="851" t="n"/>
      <c r="D24" s="852" t="n"/>
    </row>
    <row r="25">
      <c r="B25" s="1152" t="inlineStr">
        <is>
          <t>Utilización por castigo</t>
        </is>
      </c>
      <c r="C25" s="851" t="n"/>
      <c r="D25" s="853" t="n"/>
    </row>
    <row r="26" ht="15" customHeight="1" s="779" thickBot="1">
      <c r="B26" s="1152" t="inlineStr">
        <is>
          <t>Aumento por obsolescencia</t>
        </is>
      </c>
      <c r="C26" s="854" t="n"/>
      <c r="D26" s="801" t="n"/>
    </row>
    <row r="27" ht="15" customHeight="1" s="779" thickBot="1">
      <c r="B27" s="1152" t="inlineStr">
        <is>
          <t>Saldo final</t>
        </is>
      </c>
      <c r="C27" s="854">
        <f>SUM(C23:C26)</f>
        <v/>
      </c>
      <c r="D27" s="854">
        <f>SUM(D23:D26)</f>
        <v/>
      </c>
    </row>
    <row r="28">
      <c r="B28" s="129" t="n"/>
    </row>
    <row r="29">
      <c r="B29" s="1144" t="inlineStr">
        <is>
          <t xml:space="preserve"> Los movimientos de los inventarios son los siguientes:</t>
        </is>
      </c>
    </row>
    <row r="30">
      <c r="B30" s="81" t="n"/>
    </row>
    <row r="31">
      <c r="B31" s="81" t="n"/>
      <c r="C31" s="81" t="n"/>
      <c r="D31" s="81" t="n"/>
    </row>
    <row r="32">
      <c r="B32" s="117" t="n"/>
      <c r="C32" s="677" t="inlineStr">
        <is>
          <t>31-06-2026</t>
        </is>
      </c>
      <c r="D32" s="1145" t="n">
        <v>46022</v>
      </c>
    </row>
    <row r="33">
      <c r="B33" s="1151" t="inlineStr">
        <is>
          <t>Movimiento</t>
        </is>
      </c>
      <c r="C33" s="94" t="inlineStr">
        <is>
          <t>M$</t>
        </is>
      </c>
      <c r="D33" s="94" t="inlineStr">
        <is>
          <t>M$</t>
        </is>
      </c>
    </row>
    <row r="34">
      <c r="B34" s="117" t="n"/>
      <c r="C34" s="806" t="n"/>
      <c r="D34" s="101" t="n"/>
    </row>
    <row r="35">
      <c r="B35" s="1152" t="inlineStr">
        <is>
          <t>Saldo inicial</t>
        </is>
      </c>
      <c r="C35" s="855" t="n"/>
      <c r="D35" s="855" t="n"/>
    </row>
    <row r="36">
      <c r="B36" s="1152" t="inlineStr">
        <is>
          <t>Compras</t>
        </is>
      </c>
      <c r="C36" s="855" t="n"/>
      <c r="D36" s="856" t="n"/>
    </row>
    <row r="37">
      <c r="B37" s="1152" t="inlineStr">
        <is>
          <t xml:space="preserve">Traspaso a PPE </t>
        </is>
      </c>
      <c r="C37" s="855" t="n"/>
      <c r="D37" s="856" t="n"/>
    </row>
    <row r="38">
      <c r="B38" s="1152" t="inlineStr">
        <is>
          <t>Consumos (1)</t>
        </is>
      </c>
      <c r="C38" s="855" t="n"/>
      <c r="D38" s="856" t="n"/>
    </row>
    <row r="39">
      <c r="B39" s="1152" t="inlineStr">
        <is>
          <t>Provisión de  obsolescencia</t>
        </is>
      </c>
      <c r="C39" s="855" t="n"/>
      <c r="D39" s="856" t="n"/>
    </row>
    <row r="40">
      <c r="B40" s="1152" t="inlineStr">
        <is>
          <t>Otros movimientos</t>
        </is>
      </c>
      <c r="C40" s="855" t="n"/>
      <c r="D40" s="856" t="n"/>
    </row>
    <row r="41" ht="15" customHeight="1" s="779" thickBot="1">
      <c r="B41" s="1152" t="inlineStr">
        <is>
          <t>Traspasos</t>
        </is>
      </c>
      <c r="C41" s="857" t="n"/>
      <c r="D41" s="858" t="n"/>
    </row>
    <row r="42" ht="15" customHeight="1" s="779" thickBot="1">
      <c r="B42" s="1152" t="inlineStr">
        <is>
          <t>Total</t>
        </is>
      </c>
      <c r="C42" s="859">
        <f>SUM(C36:C41)</f>
        <v/>
      </c>
      <c r="D42" s="859">
        <f>SUM(D36:D41)</f>
        <v/>
      </c>
    </row>
    <row r="43">
      <c r="B43" s="140" t="n"/>
    </row>
    <row r="44">
      <c r="B44" s="806" t="n"/>
      <c r="C44" s="853" t="n"/>
      <c r="D44" s="853" t="n"/>
    </row>
    <row r="45">
      <c r="B45" s="129" t="n"/>
    </row>
    <row r="46">
      <c r="B46" s="1144" t="inlineStr">
        <is>
          <t>Durante el ejercicio 2025 y 2024, se efectuaron traspasos desde inventarios a propiedades, planta y equipo, por los siguientes conceptos:</t>
        </is>
      </c>
    </row>
    <row r="47">
      <c r="B47" s="81" t="n"/>
    </row>
    <row r="48">
      <c r="B48" s="129" t="n"/>
      <c r="C48" s="81" t="n"/>
      <c r="D48" s="81" t="n"/>
    </row>
    <row r="49">
      <c r="B49" s="782" t="inlineStr">
        <is>
          <t>Concepto</t>
        </is>
      </c>
      <c r="C49" s="677" t="inlineStr">
        <is>
          <t>31-06-2026</t>
        </is>
      </c>
      <c r="D49" s="1145" t="n">
        <v>46022</v>
      </c>
    </row>
    <row r="50">
      <c r="C50" s="95" t="inlineStr">
        <is>
          <t>M$</t>
        </is>
      </c>
      <c r="D50" s="95" t="inlineStr">
        <is>
          <t>M$</t>
        </is>
      </c>
    </row>
    <row r="51">
      <c r="B51" s="578" t="inlineStr">
        <is>
          <t>Licencias</t>
        </is>
      </c>
      <c r="C51" s="860" t="n"/>
      <c r="D51" s="861" t="n"/>
    </row>
    <row r="52">
      <c r="B52" s="578" t="inlineStr">
        <is>
          <t>Equipos computacionales</t>
        </is>
      </c>
      <c r="C52" s="860" t="n"/>
      <c r="D52" s="861" t="n"/>
    </row>
    <row r="53">
      <c r="B53" s="578" t="inlineStr">
        <is>
          <t>Equipos portatiles</t>
        </is>
      </c>
      <c r="C53" s="860" t="n"/>
      <c r="D53" s="861" t="n"/>
    </row>
    <row r="54">
      <c r="B54" s="578" t="inlineStr">
        <is>
          <t>Muebles y utiles</t>
        </is>
      </c>
      <c r="C54" s="860" t="n"/>
      <c r="D54" s="861" t="n"/>
    </row>
    <row r="55">
      <c r="B55" s="578" t="inlineStr">
        <is>
          <t>Obras en curso</t>
        </is>
      </c>
      <c r="C55" s="860" t="n"/>
      <c r="D55" s="861" t="n"/>
    </row>
    <row r="56">
      <c r="B56" s="578" t="inlineStr">
        <is>
          <t>Otros activos</t>
        </is>
      </c>
      <c r="C56" s="860" t="n"/>
      <c r="D56" s="861" t="n"/>
    </row>
    <row r="57">
      <c r="B57" s="578" t="inlineStr">
        <is>
          <t>Materiales domiciliarios</t>
        </is>
      </c>
      <c r="C57" s="860" t="n"/>
      <c r="D57" s="862" t="n"/>
    </row>
    <row r="58">
      <c r="B58" s="578" t="inlineStr">
        <is>
          <t>Vehiculos</t>
        </is>
      </c>
      <c r="C58" s="860" t="n"/>
      <c r="D58" s="861" t="n"/>
    </row>
    <row r="59" ht="15" customHeight="1" s="779" thickBot="1">
      <c r="B59" s="578" t="inlineStr">
        <is>
          <t>Equipos Seriados</t>
        </is>
      </c>
      <c r="C59" s="863" t="n"/>
      <c r="D59" s="864" t="n"/>
    </row>
    <row r="60" ht="15" customHeight="1" s="779" thickBot="1">
      <c r="B60" s="578" t="inlineStr">
        <is>
          <t>Total</t>
        </is>
      </c>
      <c r="C60" s="863">
        <f>SUM(C51:C59)</f>
        <v/>
      </c>
      <c r="D60" s="863">
        <f>SUM(D51:D59)</f>
        <v/>
      </c>
    </row>
  </sheetData>
  <mergeCells count="1">
    <mergeCell ref="B49:B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2:O49"/>
  <sheetViews>
    <sheetView showGridLines="0" topLeftCell="A25" zoomScale="70" zoomScaleNormal="70" workbookViewId="0">
      <selection activeCell="D37" sqref="D37"/>
    </sheetView>
  </sheetViews>
  <sheetFormatPr baseColWidth="10" defaultRowHeight="14.4"/>
  <cols>
    <col width="40.109375" customWidth="1" style="779" min="3" max="3"/>
    <col outlineLevel="1" width="13.5546875" customWidth="1" style="779" min="4" max="4"/>
    <col outlineLevel="1" width="15.6640625" customWidth="1" style="779" min="5" max="5"/>
    <col outlineLevel="1" width="12.33203125" customWidth="1" style="779" min="6" max="6"/>
    <col outlineLevel="1" width="11.5546875" customWidth="1" style="779" min="7" max="7"/>
    <col outlineLevel="1" width="15.44140625" customWidth="1" style="779" min="8" max="8"/>
    <col outlineLevel="1" width="11.5546875" customWidth="1" style="779" min="9" max="9"/>
    <col width="5.21875" customWidth="1" style="779" min="10" max="10"/>
    <col width="13" customWidth="1" style="779" min="11" max="11"/>
    <col width="13.33203125" bestFit="1" customWidth="1" style="779" min="12" max="12"/>
    <col width="14.5546875" customWidth="1" style="779" min="13" max="13"/>
    <col width="16.77734375" customWidth="1" style="779" min="14" max="14"/>
    <col width="12.33203125" bestFit="1" customWidth="1" style="779" min="15" max="15"/>
  </cols>
  <sheetData>
    <row r="2">
      <c r="C2" s="1144" t="inlineStr">
        <is>
          <t>a)La composición de los Activos intangibles distintos de la plusvalía es la siguiente:</t>
        </is>
      </c>
    </row>
    <row r="3">
      <c r="C3" s="81" t="n"/>
    </row>
    <row r="4">
      <c r="D4" s="787" t="inlineStr">
        <is>
          <t>31-06-2026</t>
        </is>
      </c>
      <c r="E4" s="784" t="n"/>
      <c r="F4" s="785" t="n"/>
      <c r="K4" s="786" t="n"/>
    </row>
    <row r="5">
      <c r="D5" s="156" t="n"/>
      <c r="E5" s="156" t="n"/>
      <c r="F5" s="156" t="n"/>
      <c r="K5" s="786" t="n"/>
      <c r="L5" s="786" t="n"/>
      <c r="M5" s="786" t="n"/>
    </row>
    <row r="6" ht="28.8" customHeight="1" s="779">
      <c r="C6" s="1149" t="inlineStr">
        <is>
          <t>Detalle</t>
        </is>
      </c>
      <c r="D6" s="1149" t="inlineStr">
        <is>
          <t>Bruto</t>
        </is>
      </c>
      <c r="E6" s="1149" t="inlineStr">
        <is>
          <t>Amortización Acumulada</t>
        </is>
      </c>
      <c r="F6" s="797" t="inlineStr">
        <is>
          <t>Neto</t>
        </is>
      </c>
      <c r="L6" s="179" t="n"/>
    </row>
    <row r="7">
      <c r="D7" t="inlineStr">
        <is>
          <t>M$</t>
        </is>
      </c>
      <c r="E7" t="inlineStr">
        <is>
          <t>M$</t>
        </is>
      </c>
      <c r="F7" t="inlineStr">
        <is>
          <t>M$</t>
        </is>
      </c>
    </row>
    <row r="8">
      <c r="C8" s="1142" t="inlineStr">
        <is>
          <t>Concesiones</t>
        </is>
      </c>
      <c r="D8" s="865" t="n"/>
      <c r="E8" s="865" t="n"/>
      <c r="F8" s="865">
        <f>+D8+E8</f>
        <v/>
      </c>
      <c r="K8" s="866" t="n"/>
      <c r="L8" s="866" t="n"/>
      <c r="M8" s="866" t="n"/>
    </row>
    <row r="9">
      <c r="C9" s="1142" t="inlineStr">
        <is>
          <t xml:space="preserve">Licencias </t>
        </is>
      </c>
      <c r="D9" s="865" t="n"/>
      <c r="E9" s="865" t="n"/>
      <c r="F9" s="865">
        <f>+D9+E9</f>
        <v/>
      </c>
      <c r="K9" s="866" t="n"/>
      <c r="L9" s="866" t="n"/>
      <c r="M9" s="866" t="n"/>
    </row>
    <row r="10">
      <c r="C10" s="1142" t="inlineStr">
        <is>
          <t>Marca</t>
        </is>
      </c>
      <c r="D10" s="867" t="n"/>
      <c r="E10" s="867" t="n"/>
      <c r="F10" s="865">
        <f>+D10+E10</f>
        <v/>
      </c>
      <c r="K10" s="866" t="n"/>
      <c r="L10" s="866" t="n"/>
      <c r="M10" s="866" t="n"/>
    </row>
    <row r="11">
      <c r="C11" s="1142" t="inlineStr">
        <is>
          <t>Cartera de clientes</t>
        </is>
      </c>
      <c r="D11" s="867" t="n"/>
      <c r="E11" s="867" t="n"/>
      <c r="F11" s="865">
        <f>SUM(D11:E11)</f>
        <v/>
      </c>
      <c r="K11" s="866" t="n"/>
      <c r="L11" s="866" t="n"/>
      <c r="M11" s="866" t="n"/>
    </row>
    <row r="12" ht="15" customHeight="1" s="779" thickBot="1">
      <c r="C12" s="1142" t="inlineStr">
        <is>
          <t>Total</t>
        </is>
      </c>
      <c r="D12" s="868">
        <f>SUM(D8:D11)</f>
        <v/>
      </c>
      <c r="E12" s="868">
        <f>SUM(E8:E11)</f>
        <v/>
      </c>
      <c r="F12" s="868">
        <f>SUM(F8:F11)</f>
        <v/>
      </c>
      <c r="K12" s="866" t="n"/>
      <c r="L12" s="866" t="n"/>
      <c r="M12" s="866" t="n"/>
    </row>
    <row r="13" ht="15" customHeight="1" s="779" thickTop="1"/>
    <row r="14">
      <c r="C14" s="84" t="n"/>
      <c r="F14" s="843" t="n"/>
      <c r="I14" s="843" t="n"/>
      <c r="M14" s="843" t="n"/>
    </row>
    <row r="15">
      <c r="C15" s="84" t="n"/>
      <c r="F15" s="843" t="n"/>
      <c r="I15" s="843" t="n"/>
      <c r="M15" s="843" t="n"/>
    </row>
    <row r="16">
      <c r="C16" s="84" t="n"/>
      <c r="D16" s="1155" t="n">
        <v>46022</v>
      </c>
      <c r="E16" s="784" t="n"/>
      <c r="F16" s="785" t="n"/>
      <c r="I16" s="843" t="n"/>
      <c r="M16" s="843" t="n"/>
    </row>
    <row r="17">
      <c r="C17" s="84" t="n"/>
      <c r="D17" s="786" t="n"/>
      <c r="E17" s="786" t="n"/>
      <c r="F17" s="786" t="n"/>
      <c r="I17" s="843" t="n"/>
      <c r="M17" s="843" t="n"/>
    </row>
    <row r="18" ht="28.8" customHeight="1" s="779">
      <c r="C18" s="1149" t="inlineStr">
        <is>
          <t xml:space="preserve">Detalle </t>
        </is>
      </c>
      <c r="D18" s="1149" t="inlineStr">
        <is>
          <t>Bruto</t>
        </is>
      </c>
      <c r="E18" s="1149" t="inlineStr">
        <is>
          <t>Amortización Acumulada</t>
        </is>
      </c>
      <c r="F18" s="797" t="inlineStr">
        <is>
          <t>Neto</t>
        </is>
      </c>
      <c r="I18" s="843" t="n"/>
      <c r="M18" s="843" t="n"/>
    </row>
    <row r="19">
      <c r="D19" t="inlineStr">
        <is>
          <t>M$</t>
        </is>
      </c>
      <c r="E19" t="inlineStr">
        <is>
          <t>M$</t>
        </is>
      </c>
      <c r="F19" t="inlineStr">
        <is>
          <t>M$</t>
        </is>
      </c>
      <c r="I19" s="843" t="n"/>
      <c r="M19" s="843" t="n"/>
    </row>
    <row r="20">
      <c r="C20" s="1142" t="inlineStr">
        <is>
          <t>Concesiones</t>
        </is>
      </c>
      <c r="D20" s="865" t="n"/>
      <c r="E20" s="865" t="n"/>
      <c r="F20" s="865">
        <f>SUM(D20:E20)</f>
        <v/>
      </c>
      <c r="I20" s="843" t="n"/>
      <c r="M20" s="843" t="n"/>
    </row>
    <row r="21">
      <c r="C21" s="1142" t="inlineStr">
        <is>
          <t xml:space="preserve">Licencias </t>
        </is>
      </c>
      <c r="D21" s="865" t="n"/>
      <c r="E21" s="865" t="n"/>
      <c r="F21" s="865">
        <f>+D21+E21</f>
        <v/>
      </c>
      <c r="I21" s="843" t="n"/>
      <c r="M21" s="843" t="n"/>
    </row>
    <row r="22">
      <c r="C22" s="1142" t="inlineStr">
        <is>
          <t>Marca</t>
        </is>
      </c>
      <c r="D22" s="867" t="n"/>
      <c r="E22" s="867" t="n"/>
      <c r="F22" s="865">
        <f>+D22+E22</f>
        <v/>
      </c>
      <c r="I22" s="843" t="n"/>
      <c r="M22" s="843" t="n"/>
    </row>
    <row r="23">
      <c r="C23" s="1142" t="inlineStr">
        <is>
          <t>Cartera de clientes</t>
        </is>
      </c>
      <c r="D23" s="867" t="n"/>
      <c r="E23" s="867" t="n"/>
      <c r="F23" s="865">
        <f>SUM(D23:E23)</f>
        <v/>
      </c>
      <c r="I23" s="843" t="n"/>
      <c r="M23" s="843" t="n"/>
    </row>
    <row r="24" ht="15" customHeight="1" s="779" thickBot="1">
      <c r="C24" s="1142" t="inlineStr">
        <is>
          <t>Total</t>
        </is>
      </c>
      <c r="D24" s="868">
        <f>SUM(D20:D23)</f>
        <v/>
      </c>
      <c r="E24" s="868">
        <f>SUM(E20:E23)</f>
        <v/>
      </c>
      <c r="F24" s="868">
        <f>SUM(F20:F23)</f>
        <v/>
      </c>
      <c r="I24" s="843" t="n"/>
      <c r="M24" s="843" t="n"/>
    </row>
    <row r="25" ht="15" customHeight="1" s="779" thickTop="1">
      <c r="C25" s="84" t="n"/>
      <c r="I25" s="843" t="n"/>
      <c r="M25" s="843" t="n"/>
    </row>
    <row r="26">
      <c r="C26" s="84" t="n"/>
      <c r="I26" s="843" t="n"/>
      <c r="M26" s="843" t="n"/>
    </row>
    <row r="27">
      <c r="C27" s="84" t="n"/>
      <c r="I27" s="843" t="n"/>
      <c r="M27" s="843" t="n"/>
    </row>
    <row r="28">
      <c r="C28" s="84" t="n"/>
      <c r="I28" s="843" t="n"/>
      <c r="M28" s="843" t="n"/>
    </row>
    <row r="29">
      <c r="C29" s="84" t="n"/>
    </row>
    <row r="30">
      <c r="C30" s="1144" t="inlineStr">
        <is>
          <t xml:space="preserve">b)Los cambios en activos intangibles por clases es el siguiente: </t>
        </is>
      </c>
      <c r="E30" s="81" t="n"/>
      <c r="K30" s="786" t="n"/>
    </row>
    <row r="31">
      <c r="C31" s="81" t="n"/>
      <c r="E31" s="81" t="n"/>
      <c r="K31" s="786" t="n"/>
    </row>
    <row r="32">
      <c r="D32" s="787" t="inlineStr">
        <is>
          <t>31-06-2026</t>
        </is>
      </c>
      <c r="E32" s="784" t="n"/>
      <c r="F32" s="785" t="n"/>
    </row>
    <row r="33" ht="28.8" customHeight="1" s="779">
      <c r="D33" s="1149" t="inlineStr">
        <is>
          <t>Concesiones</t>
        </is>
      </c>
      <c r="E33" s="1149" t="inlineStr">
        <is>
          <t>Licencias</t>
        </is>
      </c>
      <c r="F33" s="797" t="inlineStr">
        <is>
          <t>Marcas</t>
        </is>
      </c>
      <c r="G33" s="153" t="inlineStr">
        <is>
          <t>Cartera de clientes</t>
        </is>
      </c>
      <c r="H33" s="153" t="inlineStr">
        <is>
          <t>Total activos intangibles</t>
        </is>
      </c>
      <c r="M33" s="179" t="n"/>
      <c r="N33" s="179" t="n"/>
      <c r="O33" s="179" t="n"/>
    </row>
    <row r="34">
      <c r="D34" t="inlineStr">
        <is>
          <t>M$</t>
        </is>
      </c>
      <c r="E34" t="inlineStr">
        <is>
          <t>M$</t>
        </is>
      </c>
      <c r="H34" t="inlineStr">
        <is>
          <t>M$</t>
        </is>
      </c>
    </row>
    <row r="36">
      <c r="C36" s="1142" t="inlineStr">
        <is>
          <t>Valores netos al inicio del periodo</t>
        </is>
      </c>
      <c r="D36" s="843">
        <f>+D49</f>
        <v/>
      </c>
      <c r="E36" s="843">
        <f>+E49</f>
        <v/>
      </c>
      <c r="F36" s="843">
        <f>+F49</f>
        <v/>
      </c>
      <c r="G36" s="843">
        <f>+G49</f>
        <v/>
      </c>
      <c r="H36" s="843">
        <f>SUM(D36:G36)</f>
        <v/>
      </c>
      <c r="K36" s="843" t="n"/>
      <c r="L36" s="843" t="n"/>
      <c r="M36" s="843" t="n"/>
      <c r="N36" s="843" t="n"/>
      <c r="O36" s="843" t="n"/>
    </row>
    <row r="37">
      <c r="C37" s="1142" t="inlineStr">
        <is>
          <t xml:space="preserve">   Adiciones</t>
        </is>
      </c>
      <c r="D37" s="843">
        <f>+D9-D20</f>
        <v/>
      </c>
      <c r="E37" s="843">
        <f>+D9-D21</f>
        <v/>
      </c>
      <c r="F37" s="865">
        <f>+D10-D22</f>
        <v/>
      </c>
      <c r="G37" s="865">
        <f>+D11-D23</f>
        <v/>
      </c>
      <c r="H37" s="843">
        <f>SUM(D37:G37)</f>
        <v/>
      </c>
      <c r="K37" s="843" t="n"/>
      <c r="L37" s="843" t="n"/>
      <c r="M37" s="843" t="n"/>
      <c r="O37" s="843" t="n"/>
    </row>
    <row r="38">
      <c r="C38" s="1142" t="inlineStr">
        <is>
          <t xml:space="preserve">   Amortización</t>
        </is>
      </c>
      <c r="D38" s="844">
        <f>+E8-E20</f>
        <v/>
      </c>
      <c r="E38" s="844">
        <f>+E9-E21</f>
        <v/>
      </c>
      <c r="F38" s="869">
        <f>+E10-E22</f>
        <v/>
      </c>
      <c r="G38" s="869">
        <f>+E11-E23</f>
        <v/>
      </c>
      <c r="H38" s="844">
        <f>SUM(D38:G38)</f>
        <v/>
      </c>
      <c r="K38" s="853" t="n"/>
      <c r="L38" s="853" t="n"/>
      <c r="M38" s="853" t="n"/>
      <c r="N38" s="853" t="n"/>
      <c r="O38" s="843" t="n"/>
    </row>
    <row r="39" ht="15" customHeight="1" s="779" thickBot="1">
      <c r="C39" s="1142" t="inlineStr">
        <is>
          <t>Valores netos al final del periodo</t>
        </is>
      </c>
      <c r="D39" s="870">
        <f>SUM(D36:D38)</f>
        <v/>
      </c>
      <c r="E39" s="870">
        <f>SUM(E36:E38)</f>
        <v/>
      </c>
      <c r="F39" s="870">
        <f>SUM(F36:F38)</f>
        <v/>
      </c>
      <c r="G39" s="870">
        <f>SUM(G36:G38)</f>
        <v/>
      </c>
      <c r="H39" s="870">
        <f>SUM(H36:H38)</f>
        <v/>
      </c>
      <c r="K39" s="853" t="n"/>
      <c r="L39" s="853" t="n"/>
      <c r="M39" s="853" t="n"/>
      <c r="N39" s="853" t="n"/>
      <c r="O39" s="853" t="n"/>
    </row>
    <row r="40" ht="15" customHeight="1" s="779" thickTop="1">
      <c r="C40" s="84" t="n"/>
      <c r="D40" s="843" t="n"/>
      <c r="H40" s="843" t="n"/>
      <c r="L40" s="843" t="n"/>
      <c r="O40" s="843" t="n"/>
    </row>
    <row r="41">
      <c r="C41" s="84" t="n"/>
      <c r="K41" s="853" t="n"/>
      <c r="L41" s="853" t="n"/>
      <c r="M41" s="853" t="n"/>
      <c r="O41" s="843" t="n"/>
    </row>
    <row r="42">
      <c r="D42" s="1155" t="n">
        <v>46022</v>
      </c>
      <c r="E42" s="784" t="n"/>
      <c r="F42" s="785" t="n"/>
      <c r="K42" s="853" t="n"/>
      <c r="L42" s="853" t="n"/>
      <c r="M42" s="853" t="n"/>
      <c r="O42" s="843" t="n"/>
    </row>
    <row r="43" ht="28.8" customHeight="1" s="779">
      <c r="D43" s="1149" t="inlineStr">
        <is>
          <t>Concesiones</t>
        </is>
      </c>
      <c r="E43" s="1149" t="inlineStr">
        <is>
          <t>Licencias</t>
        </is>
      </c>
      <c r="F43" s="797" t="inlineStr">
        <is>
          <t>Marcas</t>
        </is>
      </c>
      <c r="G43" s="153" t="inlineStr">
        <is>
          <t>Cartera de clientes</t>
        </is>
      </c>
      <c r="H43" s="153" t="inlineStr">
        <is>
          <t>Total activos intangibles</t>
        </is>
      </c>
      <c r="K43" s="853" t="n"/>
      <c r="L43" s="853" t="n"/>
      <c r="M43" s="853" t="n"/>
      <c r="O43" s="843" t="n"/>
    </row>
    <row r="44">
      <c r="D44" t="inlineStr">
        <is>
          <t>M$</t>
        </is>
      </c>
      <c r="E44" t="inlineStr">
        <is>
          <t>M$</t>
        </is>
      </c>
      <c r="H44" t="inlineStr">
        <is>
          <t>M$</t>
        </is>
      </c>
    </row>
    <row r="46">
      <c r="C46" s="1142" t="inlineStr">
        <is>
          <t>Valores netos al inicio del periodo</t>
        </is>
      </c>
      <c r="D46" s="843" t="n"/>
      <c r="E46" s="843" t="n"/>
      <c r="H46" s="843">
        <f>SUM(D46:G46)</f>
        <v/>
      </c>
    </row>
    <row r="47">
      <c r="C47" s="1142" t="inlineStr">
        <is>
          <t xml:space="preserve">   Adiciones</t>
        </is>
      </c>
      <c r="D47" s="843" t="n"/>
      <c r="E47" s="843" t="n"/>
      <c r="H47" s="843">
        <f>SUM(D47:G47)</f>
        <v/>
      </c>
    </row>
    <row r="48">
      <c r="C48" s="1142" t="inlineStr">
        <is>
          <t xml:space="preserve">   Amortización</t>
        </is>
      </c>
      <c r="D48" s="844" t="n"/>
      <c r="E48" s="844" t="n"/>
      <c r="F48" s="797" t="n"/>
      <c r="G48" s="797" t="n"/>
      <c r="H48" s="844">
        <f>SUM(D48:G48)</f>
        <v/>
      </c>
    </row>
    <row r="49" ht="15" customHeight="1" s="779" thickBot="1">
      <c r="C49" s="1142" t="inlineStr">
        <is>
          <t>Valores netos al final del periodo</t>
        </is>
      </c>
      <c r="D49" s="870">
        <f>SUM(D46:D48)</f>
        <v/>
      </c>
      <c r="E49" s="870">
        <f>SUM(E46:E48)</f>
        <v/>
      </c>
      <c r="F49" s="870">
        <f>SUM(F46:F48)</f>
        <v/>
      </c>
      <c r="G49" s="870">
        <f>SUM(G46:G48)</f>
        <v/>
      </c>
      <c r="H49" s="870">
        <f>SUM(H46:H48)</f>
        <v/>
      </c>
    </row>
    <row r="50" ht="15" customHeight="1" s="779" thickTop="1"/>
  </sheetData>
  <mergeCells count="6">
    <mergeCell ref="D42:F42"/>
    <mergeCell ref="K4:M4"/>
    <mergeCell ref="K30:M30"/>
    <mergeCell ref="D32:F32"/>
    <mergeCell ref="D4:F4"/>
    <mergeCell ref="D16:F16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Y29"/>
  <sheetViews>
    <sheetView showGridLines="0" topLeftCell="H10" zoomScale="90" zoomScaleNormal="90" workbookViewId="0">
      <selection activeCell="K29" sqref="K29"/>
    </sheetView>
  </sheetViews>
  <sheetFormatPr baseColWidth="10" defaultColWidth="11.44140625" defaultRowHeight="13.8"/>
  <cols>
    <col width="34.33203125" customWidth="1" style="789" min="1" max="1"/>
    <col width="33.109375" customWidth="1" style="789" min="2" max="2"/>
    <col hidden="1" width="13.44140625" customWidth="1" style="789" min="3" max="3"/>
    <col hidden="1" width="21.44140625" customWidth="1" style="789" min="4" max="4"/>
    <col width="15" customWidth="1" style="789" min="5" max="5"/>
    <col width="5.109375" customWidth="1" style="789" min="6" max="6"/>
    <col width="18.5546875" bestFit="1" customWidth="1" style="789" min="7" max="7"/>
    <col width="12.77734375" customWidth="1" style="789" min="8" max="8"/>
    <col width="18" bestFit="1" customWidth="1" style="789" min="9" max="9"/>
    <col width="11.44140625" customWidth="1" style="789" min="10" max="10"/>
    <col width="25.5546875" customWidth="1" style="789" min="11" max="11"/>
    <col width="14.88671875" customWidth="1" style="789" min="12" max="12"/>
    <col width="13.5546875" bestFit="1" customWidth="1" style="789" min="13" max="13"/>
    <col width="14.77734375" bestFit="1" customWidth="1" style="789" min="14" max="14"/>
    <col width="13.77734375" bestFit="1" customWidth="1" style="789" min="15" max="15"/>
    <col width="12" bestFit="1" customWidth="1" style="789" min="16" max="16"/>
    <col width="12.77734375" bestFit="1" customWidth="1" style="789" min="17" max="17"/>
    <col width="12" bestFit="1" customWidth="1" style="789" min="18" max="18"/>
    <col width="15.109375" bestFit="1" customWidth="1" style="789" min="19" max="19"/>
    <col width="12.77734375" bestFit="1" customWidth="1" style="789" min="20" max="20"/>
    <col width="14.5546875" bestFit="1" customWidth="1" style="789" min="21" max="21"/>
    <col width="12" bestFit="1" customWidth="1" style="789" min="22" max="23"/>
    <col width="13.77734375" bestFit="1" customWidth="1" style="789" min="24" max="24"/>
    <col width="14.77734375" bestFit="1" customWidth="1" style="789" min="25" max="25"/>
    <col width="11.6640625" customWidth="1" style="789" min="26" max="26"/>
    <col width="11.44140625" customWidth="1" style="789" min="27" max="28"/>
    <col width="11.44140625" customWidth="1" style="789" min="29" max="16384"/>
  </cols>
  <sheetData>
    <row r="1">
      <c r="G1" s="496" t="n"/>
      <c r="H1" s="496" t="n"/>
      <c r="I1" s="496" t="n"/>
    </row>
    <row r="2">
      <c r="B2" s="515" t="n"/>
      <c r="C2" s="560" t="n"/>
      <c r="D2" s="559" t="inlineStr">
        <is>
          <t>30.06.2026</t>
        </is>
      </c>
      <c r="E2" s="561" t="n"/>
      <c r="G2" s="543" t="n"/>
      <c r="H2" s="491" t="inlineStr">
        <is>
          <t>31,12,2025</t>
        </is>
      </c>
      <c r="I2" s="544" t="n"/>
      <c r="K2" s="789" t="n">
        <v>2026</v>
      </c>
    </row>
    <row r="3">
      <c r="B3" s="516" t="n"/>
      <c r="C3" s="554" t="n"/>
      <c r="D3" s="489" t="n"/>
      <c r="E3" s="555" t="n"/>
      <c r="G3" s="543" t="n"/>
      <c r="I3" s="544" t="n"/>
      <c r="K3" s="143" t="n"/>
      <c r="L3" s="144" t="n"/>
      <c r="M3" s="144" t="inlineStr">
        <is>
          <t xml:space="preserve"> Edificios y</t>
        </is>
      </c>
      <c r="N3" s="144" t="inlineStr">
        <is>
          <t xml:space="preserve"> Redes de</t>
        </is>
      </c>
      <c r="O3" s="144" t="inlineStr">
        <is>
          <t xml:space="preserve"> Plantas</t>
        </is>
      </c>
      <c r="P3" s="144" t="inlineStr">
        <is>
          <t xml:space="preserve"> Equipos</t>
        </is>
      </c>
      <c r="Q3" s="144" t="inlineStr">
        <is>
          <t xml:space="preserve"> Equipo</t>
        </is>
      </c>
      <c r="R3" s="144" t="inlineStr">
        <is>
          <t xml:space="preserve"> Vehículos</t>
        </is>
      </c>
      <c r="S3" s="144" t="inlineStr">
        <is>
          <t xml:space="preserve"> Equipos</t>
        </is>
      </c>
      <c r="T3" s="144" t="inlineStr">
        <is>
          <t xml:space="preserve"> Muebles</t>
        </is>
      </c>
      <c r="U3" s="144" t="inlineStr">
        <is>
          <t xml:space="preserve"> Instalación</t>
        </is>
      </c>
      <c r="V3" s="144" t="inlineStr">
        <is>
          <t xml:space="preserve"> Otros</t>
        </is>
      </c>
      <c r="W3" s="144" t="inlineStr">
        <is>
          <t xml:space="preserve"> Activos</t>
        </is>
      </c>
      <c r="X3" s="144" t="inlineStr">
        <is>
          <t xml:space="preserve"> Obras</t>
        </is>
      </c>
    </row>
    <row r="4" ht="25.5" customHeight="1" s="779">
      <c r="B4" s="1156" t="inlineStr">
        <is>
          <t>Concepto</t>
        </is>
      </c>
      <c r="C4" s="1157" t="inlineStr">
        <is>
          <t>Activo fijo bruto</t>
        </is>
      </c>
      <c r="D4" s="1158" t="inlineStr">
        <is>
          <t>Depreciación acumulada</t>
        </is>
      </c>
      <c r="E4" s="1159" t="inlineStr">
        <is>
          <t>Activo fijo neto</t>
        </is>
      </c>
      <c r="G4" s="545" t="inlineStr">
        <is>
          <t>Activo fijo bruto</t>
        </is>
      </c>
      <c r="H4" s="459" t="inlineStr">
        <is>
          <t>Depreciación acumulada</t>
        </is>
      </c>
      <c r="I4" s="546" t="inlineStr">
        <is>
          <t>Activo fijo neto</t>
        </is>
      </c>
      <c r="K4" s="143" t="n"/>
      <c r="L4" s="144" t="inlineStr">
        <is>
          <t>Terrenos</t>
        </is>
      </c>
      <c r="M4" s="144" t="inlineStr">
        <is>
          <t>Construcciones</t>
        </is>
      </c>
      <c r="N4" s="144" t="inlineStr">
        <is>
          <t>Transmisión</t>
        </is>
      </c>
      <c r="O4" s="144" t="inlineStr">
        <is>
          <t>Transmisoras</t>
        </is>
      </c>
      <c r="P4" s="144" t="inlineStr">
        <is>
          <t>Computación</t>
        </is>
      </c>
      <c r="Q4" s="144" t="inlineStr">
        <is>
          <t>Portátil</t>
        </is>
      </c>
      <c r="R4" s="144" t="inlineStr">
        <is>
          <t xml:space="preserve">M$ </t>
        </is>
      </c>
      <c r="S4" s="144" t="inlineStr">
        <is>
          <t>Seriados</t>
        </is>
      </c>
      <c r="T4" s="144" t="inlineStr">
        <is>
          <t>y Útiles</t>
        </is>
      </c>
      <c r="U4" s="144" t="inlineStr">
        <is>
          <t>Domiciliaria</t>
        </is>
      </c>
      <c r="V4" s="144" t="inlineStr">
        <is>
          <t>Activos</t>
        </is>
      </c>
      <c r="W4" s="144" t="inlineStr">
        <is>
          <t>en Leasing</t>
        </is>
      </c>
      <c r="X4" s="144" t="inlineStr">
        <is>
          <t>en Curso</t>
        </is>
      </c>
      <c r="Y4" s="144" t="inlineStr">
        <is>
          <t xml:space="preserve"> Total</t>
        </is>
      </c>
    </row>
    <row r="5">
      <c r="B5" s="516" t="n"/>
      <c r="C5" s="554" t="inlineStr">
        <is>
          <t>M$</t>
        </is>
      </c>
      <c r="D5" s="484" t="inlineStr">
        <is>
          <t>M$</t>
        </is>
      </c>
      <c r="E5" s="556" t="inlineStr">
        <is>
          <t>M$</t>
        </is>
      </c>
      <c r="G5" s="545" t="inlineStr">
        <is>
          <t>M$</t>
        </is>
      </c>
      <c r="H5" s="142" t="inlineStr">
        <is>
          <t>M$</t>
        </is>
      </c>
      <c r="I5" s="547" t="inlineStr">
        <is>
          <t>M$</t>
        </is>
      </c>
      <c r="K5" s="143" t="n"/>
      <c r="L5" s="804" t="inlineStr">
        <is>
          <t xml:space="preserve">M$ </t>
        </is>
      </c>
      <c r="M5" s="804" t="inlineStr">
        <is>
          <t xml:space="preserve">M$ </t>
        </is>
      </c>
      <c r="N5" s="804" t="inlineStr">
        <is>
          <t xml:space="preserve">M$ </t>
        </is>
      </c>
      <c r="O5" s="804" t="inlineStr">
        <is>
          <t xml:space="preserve">M$ </t>
        </is>
      </c>
      <c r="P5" s="804" t="inlineStr">
        <is>
          <t xml:space="preserve">M$ </t>
        </is>
      </c>
      <c r="Q5" s="804" t="inlineStr">
        <is>
          <t xml:space="preserve">M$ </t>
        </is>
      </c>
      <c r="R5" s="562" t="n"/>
      <c r="S5" s="804" t="inlineStr">
        <is>
          <t xml:space="preserve">M$ </t>
        </is>
      </c>
      <c r="T5" s="804" t="inlineStr">
        <is>
          <t xml:space="preserve">M$ </t>
        </is>
      </c>
      <c r="U5" s="804" t="inlineStr">
        <is>
          <t xml:space="preserve">M$ </t>
        </is>
      </c>
      <c r="V5" s="804" t="inlineStr">
        <is>
          <t xml:space="preserve">M$ </t>
        </is>
      </c>
      <c r="W5" s="804" t="inlineStr">
        <is>
          <t xml:space="preserve">M$ </t>
        </is>
      </c>
      <c r="X5" s="804" t="inlineStr">
        <is>
          <t xml:space="preserve">M$ </t>
        </is>
      </c>
      <c r="Y5" s="804" t="inlineStr">
        <is>
          <t xml:space="preserve">M$ </t>
        </is>
      </c>
    </row>
    <row r="6">
      <c r="B6" s="516" t="n"/>
      <c r="C6" s="557" t="n"/>
      <c r="D6" s="493" t="n"/>
      <c r="E6" s="558" t="n"/>
      <c r="G6" s="680" t="n"/>
      <c r="H6" s="681" t="n"/>
      <c r="I6" s="682" t="n"/>
      <c r="K6" s="143" t="n"/>
      <c r="L6" s="144" t="n"/>
      <c r="M6" s="144" t="n"/>
      <c r="N6" s="144" t="n"/>
      <c r="O6" s="144" t="n"/>
      <c r="P6" s="144" t="n"/>
      <c r="Q6" s="144" t="n"/>
      <c r="R6" s="146" t="n"/>
      <c r="S6" s="144" t="n"/>
      <c r="T6" s="144" t="n"/>
      <c r="U6" s="144" t="n"/>
      <c r="V6" s="144" t="n"/>
      <c r="W6" s="144" t="n"/>
      <c r="X6" s="144" t="n"/>
      <c r="Y6" s="144" t="n"/>
    </row>
    <row r="7">
      <c r="B7" s="1160" t="inlineStr">
        <is>
          <t>Terrenos</t>
        </is>
      </c>
      <c r="C7" s="533" t="n"/>
      <c r="D7" s="530" t="n"/>
      <c r="E7" s="871">
        <f>SUM(C7:D7)</f>
        <v/>
      </c>
      <c r="F7" s="486" t="n"/>
      <c r="G7" s="872" t="n"/>
      <c r="H7" s="873" t="n"/>
      <c r="I7" s="874">
        <f>SUM(G7:H7)</f>
        <v/>
      </c>
      <c r="K7" s="518" t="inlineStr">
        <is>
          <t>Saldo inicial al 01/01/2026</t>
        </is>
      </c>
      <c r="L7" s="875">
        <f>+I7</f>
        <v/>
      </c>
      <c r="M7" s="875">
        <f>+I8</f>
        <v/>
      </c>
      <c r="N7" s="875">
        <f>+I9</f>
        <v/>
      </c>
      <c r="O7" s="875">
        <f>+I10</f>
        <v/>
      </c>
      <c r="P7" s="875">
        <f>+I12</f>
        <v/>
      </c>
      <c r="Q7" s="875">
        <f>+I11</f>
        <v/>
      </c>
      <c r="R7" s="875">
        <f>+I14</f>
        <v/>
      </c>
      <c r="S7" s="875">
        <f>+I13</f>
        <v/>
      </c>
      <c r="T7" s="875">
        <f>+E15</f>
        <v/>
      </c>
      <c r="U7" s="875">
        <f>+E19</f>
        <v/>
      </c>
      <c r="V7" s="875">
        <f>+E16</f>
        <v/>
      </c>
      <c r="W7" s="875">
        <f>+E17</f>
        <v/>
      </c>
      <c r="X7" s="875">
        <f>+E18</f>
        <v/>
      </c>
      <c r="Y7" s="876">
        <f>SUM(L7:X7)</f>
        <v/>
      </c>
    </row>
    <row r="8" ht="20.1" customHeight="1" s="779">
      <c r="A8" s="520" t="n"/>
      <c r="B8" s="531" t="inlineStr">
        <is>
          <t>Edificios y construcciones</t>
        </is>
      </c>
      <c r="C8" s="877" t="n"/>
      <c r="D8" s="852" t="n"/>
      <c r="E8" s="871">
        <f>SUM(C8:D8)</f>
        <v/>
      </c>
      <c r="F8" s="486" t="n"/>
      <c r="G8" s="878" t="n"/>
      <c r="H8" s="879" t="n"/>
      <c r="I8" s="874">
        <f>SUM(G8:H8)</f>
        <v/>
      </c>
      <c r="K8" s="143" t="inlineStr">
        <is>
          <t>Adiciones</t>
        </is>
      </c>
      <c r="L8" s="876" t="n">
        <v>0</v>
      </c>
      <c r="M8" s="876" t="n">
        <v>0</v>
      </c>
      <c r="N8" s="876" t="n">
        <v>0</v>
      </c>
      <c r="O8" s="876" t="n">
        <v>0</v>
      </c>
      <c r="P8" s="876" t="n">
        <v>0</v>
      </c>
      <c r="Q8" s="876" t="n">
        <v>0</v>
      </c>
      <c r="R8" s="876" t="n">
        <v>0</v>
      </c>
      <c r="S8" s="876" t="n">
        <v>0</v>
      </c>
      <c r="T8" s="876" t="n">
        <v>0</v>
      </c>
      <c r="U8" s="876" t="n">
        <v>0</v>
      </c>
      <c r="V8" s="876" t="n">
        <v>0</v>
      </c>
      <c r="W8" s="876" t="n">
        <v>0</v>
      </c>
      <c r="X8" s="876" t="n">
        <v>0</v>
      </c>
      <c r="Y8" s="876">
        <f>SUM(L8:X8)</f>
        <v/>
      </c>
    </row>
    <row r="9" ht="20.1" customHeight="1" s="779">
      <c r="A9" s="520" t="n"/>
      <c r="B9" s="531" t="inlineStr">
        <is>
          <t>Redes de transmisión</t>
        </is>
      </c>
      <c r="C9" s="877" t="n"/>
      <c r="D9" s="852" t="n"/>
      <c r="E9" s="871">
        <f>SUM(C9:D9)</f>
        <v/>
      </c>
      <c r="F9" s="486" t="n"/>
      <c r="G9" s="878" t="n"/>
      <c r="H9" s="879" t="n"/>
      <c r="I9" s="874">
        <f>SUM(G9:H9)</f>
        <v/>
      </c>
      <c r="K9" s="789" t="inlineStr">
        <is>
          <t>Desapropiaciones</t>
        </is>
      </c>
      <c r="L9" s="876" t="n">
        <v>0</v>
      </c>
      <c r="M9" s="876" t="n">
        <v>0</v>
      </c>
      <c r="N9" s="876" t="n">
        <v>0</v>
      </c>
      <c r="O9" s="876" t="n">
        <v>0</v>
      </c>
      <c r="P9" s="876" t="n">
        <v>0</v>
      </c>
      <c r="Q9" s="876" t="n">
        <v>0</v>
      </c>
      <c r="R9" s="876" t="n">
        <v>0</v>
      </c>
      <c r="S9" s="876" t="n">
        <v>0</v>
      </c>
      <c r="T9" s="876" t="n">
        <v>0</v>
      </c>
      <c r="U9" s="876" t="n">
        <v>0</v>
      </c>
      <c r="V9" s="876" t="n">
        <v>0</v>
      </c>
      <c r="W9" s="876" t="n">
        <v>0</v>
      </c>
      <c r="X9" s="876" t="n">
        <v>0</v>
      </c>
      <c r="Y9" s="876">
        <f>SUM(L9:X9)</f>
        <v/>
      </c>
    </row>
    <row r="10" ht="20.1" customHeight="1" s="779">
      <c r="A10" s="520" t="n"/>
      <c r="B10" s="531" t="inlineStr">
        <is>
          <t>Plantas transmisoras</t>
        </is>
      </c>
      <c r="C10" s="877" t="n"/>
      <c r="D10" s="852" t="n"/>
      <c r="E10" s="871">
        <f>SUM(C10:D10)</f>
        <v/>
      </c>
      <c r="F10" s="486" t="n"/>
      <c r="G10" s="878" t="n"/>
      <c r="H10" s="879" t="n"/>
      <c r="I10" s="874">
        <f>SUM(G10:H10)</f>
        <v/>
      </c>
      <c r="K10" s="143" t="inlineStr">
        <is>
          <t>Gasto por depreciación</t>
        </is>
      </c>
      <c r="L10" s="876" t="n">
        <v>0</v>
      </c>
      <c r="M10" s="876" t="n">
        <v>0</v>
      </c>
      <c r="N10" s="876" t="n">
        <v>0</v>
      </c>
      <c r="O10" s="876" t="n">
        <v>0</v>
      </c>
      <c r="P10" s="876" t="n">
        <v>0</v>
      </c>
      <c r="Q10" s="876" t="n">
        <v>0</v>
      </c>
      <c r="R10" s="876" t="n">
        <v>0</v>
      </c>
      <c r="S10" s="876" t="n">
        <v>0</v>
      </c>
      <c r="T10" s="876" t="n">
        <v>0</v>
      </c>
      <c r="U10" s="876" t="n">
        <v>0</v>
      </c>
      <c r="V10" s="876" t="n">
        <v>0</v>
      </c>
      <c r="W10" s="876" t="n">
        <v>0</v>
      </c>
      <c r="X10" s="876" t="n">
        <v>0</v>
      </c>
      <c r="Y10" s="876">
        <f>SUM(L10:X10)</f>
        <v/>
      </c>
    </row>
    <row r="11" ht="20.1" customHeight="1" s="779">
      <c r="A11" s="520" t="n"/>
      <c r="B11" s="531" t="inlineStr">
        <is>
          <t>Equipos portátiles</t>
        </is>
      </c>
      <c r="C11" s="877" t="n"/>
      <c r="D11" s="852" t="n"/>
      <c r="E11" s="871">
        <f>SUM(C11:D11)</f>
        <v/>
      </c>
      <c r="F11" s="486" t="n"/>
      <c r="G11" s="878" t="n"/>
      <c r="H11" s="879" t="n"/>
      <c r="I11" s="874">
        <f>SUM(G11:H11)</f>
        <v/>
      </c>
      <c r="K11" s="143" t="inlineStr">
        <is>
          <t>Deterioro</t>
        </is>
      </c>
      <c r="L11" s="876" t="n">
        <v>0</v>
      </c>
      <c r="M11" s="876" t="n">
        <v>0</v>
      </c>
      <c r="N11" s="876" t="n">
        <v>0</v>
      </c>
      <c r="O11" s="876" t="n">
        <v>0</v>
      </c>
      <c r="P11" s="876" t="n">
        <v>0</v>
      </c>
      <c r="Q11" s="876" t="n">
        <v>0</v>
      </c>
      <c r="R11" s="876" t="n">
        <v>0</v>
      </c>
      <c r="S11" s="876" t="n">
        <v>0</v>
      </c>
      <c r="T11" s="876" t="n">
        <v>0</v>
      </c>
      <c r="U11" s="876" t="n">
        <v>0</v>
      </c>
      <c r="V11" s="876" t="n">
        <v>0</v>
      </c>
      <c r="W11" s="876" t="n">
        <v>0</v>
      </c>
      <c r="X11" s="876" t="n">
        <v>0</v>
      </c>
      <c r="Y11" s="876">
        <f>SUM(L11:X11)</f>
        <v/>
      </c>
    </row>
    <row r="12" ht="20.1" customHeight="1" s="779">
      <c r="A12" s="520" t="n"/>
      <c r="B12" s="531" t="inlineStr">
        <is>
          <t>Equipos de computación</t>
        </is>
      </c>
      <c r="C12" s="877" t="n"/>
      <c r="D12" s="852" t="n"/>
      <c r="E12" s="871">
        <f>SUM(C12:D12)</f>
        <v/>
      </c>
      <c r="F12" s="486" t="n"/>
      <c r="G12" s="878" t="n"/>
      <c r="H12" s="879" t="n"/>
      <c r="I12" s="874">
        <f>SUM(G12:H12)</f>
        <v/>
      </c>
      <c r="K12" s="143" t="inlineStr">
        <is>
          <t>Transferencias</t>
        </is>
      </c>
      <c r="L12" s="880" t="n"/>
      <c r="M12" s="880" t="n"/>
      <c r="N12" s="881" t="n"/>
      <c r="O12" s="881" t="n"/>
      <c r="P12" s="881" t="n"/>
      <c r="Q12" s="882" t="n"/>
      <c r="R12" s="882" t="n"/>
      <c r="S12" s="882" t="n"/>
      <c r="T12" s="882" t="n">
        <v>0</v>
      </c>
      <c r="U12" s="883" t="n"/>
      <c r="V12" s="881" t="n"/>
      <c r="W12" s="881" t="n"/>
      <c r="X12" s="880" t="n"/>
      <c r="Y12" s="876">
        <f>SUM(L12:X12)</f>
        <v/>
      </c>
    </row>
    <row r="13" ht="20.1" customHeight="1" s="779" thickBot="1">
      <c r="A13" s="520" t="n"/>
      <c r="B13" s="531" t="inlineStr">
        <is>
          <t>Equipos seriados</t>
        </is>
      </c>
      <c r="C13" s="877" t="n"/>
      <c r="D13" s="852" t="n"/>
      <c r="E13" s="871">
        <f>SUM(C13:D13)</f>
        <v/>
      </c>
      <c r="F13" s="486" t="n"/>
      <c r="G13" s="878" t="n"/>
      <c r="H13" s="879" t="n"/>
      <c r="I13" s="874">
        <f>SUM(G13:H13)</f>
        <v/>
      </c>
      <c r="K13" s="518" t="inlineStr">
        <is>
          <t>Saldo final al 31/12/2026</t>
        </is>
      </c>
      <c r="L13" s="884">
        <f>+E7</f>
        <v/>
      </c>
      <c r="M13" s="884">
        <f>+E8</f>
        <v/>
      </c>
      <c r="N13" s="885">
        <f>+E9</f>
        <v/>
      </c>
      <c r="O13" s="884">
        <f>+E10</f>
        <v/>
      </c>
      <c r="P13" s="884">
        <f>+E12</f>
        <v/>
      </c>
      <c r="Q13" s="886">
        <f>+E11</f>
        <v/>
      </c>
      <c r="R13" s="886">
        <f>+E14</f>
        <v/>
      </c>
      <c r="S13" s="886">
        <f>+E13</f>
        <v/>
      </c>
      <c r="T13" s="886">
        <f>+E15</f>
        <v/>
      </c>
      <c r="U13" s="886">
        <f>+E19</f>
        <v/>
      </c>
      <c r="V13" s="884">
        <f>+E16</f>
        <v/>
      </c>
      <c r="W13" s="884">
        <f>+E17</f>
        <v/>
      </c>
      <c r="X13" s="884">
        <f>+E18</f>
        <v/>
      </c>
      <c r="Y13" s="884">
        <f>SUM(L13:X13)</f>
        <v/>
      </c>
    </row>
    <row r="14" ht="20.1" customHeight="1" s="779" thickTop="1">
      <c r="A14" s="520" t="n"/>
      <c r="B14" s="531" t="inlineStr">
        <is>
          <t>Vehículos</t>
        </is>
      </c>
      <c r="C14" s="877" t="n"/>
      <c r="D14" s="852" t="n"/>
      <c r="E14" s="871">
        <f>SUM(C14:D14)</f>
        <v/>
      </c>
      <c r="F14" s="486" t="n"/>
      <c r="G14" s="878" t="n"/>
      <c r="H14" s="879" t="n"/>
      <c r="I14" s="874">
        <f>SUM(G14:H14)</f>
        <v/>
      </c>
      <c r="M14" s="523" t="n"/>
      <c r="N14" s="524" t="n"/>
      <c r="O14" s="523" t="n"/>
      <c r="P14" s="523" t="n"/>
      <c r="Q14" s="523" t="n"/>
      <c r="R14" s="523" t="n"/>
      <c r="S14" s="523" t="n"/>
      <c r="T14" s="523" t="n"/>
      <c r="U14" s="523" t="n"/>
      <c r="V14" s="523" t="n"/>
      <c r="W14" s="523" t="n"/>
      <c r="X14" s="523" t="n"/>
      <c r="Y14" s="523" t="n"/>
    </row>
    <row r="15" ht="20.1" customHeight="1" s="779">
      <c r="A15" s="520" t="n"/>
      <c r="B15" s="531" t="inlineStr">
        <is>
          <t>Muebles y útiles</t>
        </is>
      </c>
      <c r="C15" s="877" t="n"/>
      <c r="D15" s="852" t="n"/>
      <c r="E15" s="871">
        <f>SUM(C15:D15)</f>
        <v/>
      </c>
      <c r="F15" s="486" t="n"/>
      <c r="G15" s="878" t="n"/>
      <c r="H15" s="879" t="n"/>
      <c r="I15" s="874">
        <f>SUM(G15:H15)</f>
        <v/>
      </c>
      <c r="M15" s="525" t="n"/>
      <c r="N15" s="525" t="n"/>
      <c r="O15" s="525" t="n"/>
      <c r="P15" s="525" t="n"/>
      <c r="Q15" s="525" t="n"/>
      <c r="R15" s="525" t="n"/>
      <c r="S15" s="525" t="n"/>
      <c r="T15" s="525" t="n"/>
      <c r="U15" s="525" t="n"/>
      <c r="V15" s="525" t="n"/>
      <c r="W15" s="525" t="n"/>
      <c r="X15" s="525" t="n"/>
      <c r="Y15" s="887" t="n"/>
    </row>
    <row r="16" ht="20.1" customHeight="1" s="779">
      <c r="A16" s="520" t="n"/>
      <c r="B16" s="531" t="inlineStr">
        <is>
          <t>Otros activos</t>
        </is>
      </c>
      <c r="C16" s="877" t="n"/>
      <c r="D16" s="852" t="n"/>
      <c r="E16" s="871">
        <f>SUM(C16:D16)</f>
        <v/>
      </c>
      <c r="F16" s="486" t="n"/>
      <c r="G16" s="878" t="n"/>
      <c r="H16" s="879" t="n"/>
      <c r="I16" s="874">
        <f>SUM(G16:H16)</f>
        <v/>
      </c>
      <c r="K16" s="790" t="n"/>
      <c r="L16" s="790" t="n"/>
      <c r="M16" s="888" t="n"/>
    </row>
    <row r="17" ht="20.1" customHeight="1" s="779">
      <c r="A17" s="520" t="n"/>
      <c r="B17" s="531" t="inlineStr">
        <is>
          <t>Activos en leasing</t>
        </is>
      </c>
      <c r="C17" s="877" t="n"/>
      <c r="D17" s="852" t="n"/>
      <c r="E17" s="871">
        <f>SUM(C17:D17)</f>
        <v/>
      </c>
      <c r="F17" s="486" t="n"/>
      <c r="G17" s="878" t="n"/>
      <c r="H17" s="879" t="n"/>
      <c r="I17" s="874">
        <f>SUM(G17:H17)</f>
        <v/>
      </c>
      <c r="K17" s="789" t="n">
        <v>2025</v>
      </c>
      <c r="M17" s="889" t="n"/>
    </row>
    <row r="18" ht="20.1" customHeight="1" s="779">
      <c r="A18" s="520" t="n"/>
      <c r="B18" s="531" t="inlineStr">
        <is>
          <t>Obras en curso</t>
        </is>
      </c>
      <c r="C18" s="877" t="n"/>
      <c r="D18" s="852" t="n"/>
      <c r="E18" s="871">
        <f>SUM(C18:D18)</f>
        <v/>
      </c>
      <c r="F18" s="486" t="n"/>
      <c r="G18" s="878" t="n"/>
      <c r="H18" s="879" t="n"/>
      <c r="I18" s="874">
        <f>SUM(G18:H18)</f>
        <v/>
      </c>
      <c r="K18" s="143" t="n"/>
      <c r="L18" s="144" t="n"/>
      <c r="M18" s="144" t="inlineStr">
        <is>
          <t xml:space="preserve"> Edificios y</t>
        </is>
      </c>
      <c r="N18" s="144" t="inlineStr">
        <is>
          <t xml:space="preserve"> Redes de</t>
        </is>
      </c>
      <c r="O18" s="144" t="inlineStr">
        <is>
          <t xml:space="preserve"> Plantas</t>
        </is>
      </c>
      <c r="P18" s="144" t="inlineStr">
        <is>
          <t xml:space="preserve"> Equipos</t>
        </is>
      </c>
      <c r="Q18" s="144" t="inlineStr">
        <is>
          <t xml:space="preserve"> Equipo</t>
        </is>
      </c>
      <c r="R18" s="144" t="inlineStr">
        <is>
          <t xml:space="preserve"> Vehículos</t>
        </is>
      </c>
      <c r="S18" s="144" t="inlineStr">
        <is>
          <t xml:space="preserve"> Equipos</t>
        </is>
      </c>
      <c r="T18" s="144" t="inlineStr">
        <is>
          <t xml:space="preserve"> Muebles</t>
        </is>
      </c>
      <c r="U18" s="144" t="inlineStr">
        <is>
          <t xml:space="preserve"> Instalación</t>
        </is>
      </c>
      <c r="V18" s="144" t="inlineStr">
        <is>
          <t xml:space="preserve"> Otros</t>
        </is>
      </c>
      <c r="W18" s="144" t="inlineStr">
        <is>
          <t xml:space="preserve"> Activos</t>
        </is>
      </c>
      <c r="X18" s="144" t="inlineStr">
        <is>
          <t xml:space="preserve"> Obras</t>
        </is>
      </c>
    </row>
    <row r="19" ht="20.1" customHeight="1" s="779">
      <c r="A19" s="520" t="n"/>
      <c r="B19" s="531" t="inlineStr">
        <is>
          <t>Instalaciones domiciliarias</t>
        </is>
      </c>
      <c r="C19" s="877" t="n"/>
      <c r="D19" s="852" t="n"/>
      <c r="E19" s="871">
        <f>SUM(C19:D19)</f>
        <v/>
      </c>
      <c r="F19" s="486" t="n"/>
      <c r="G19" s="878" t="n"/>
      <c r="H19" s="879" t="n"/>
      <c r="I19" s="874">
        <f>SUM(G19:H19)</f>
        <v/>
      </c>
      <c r="K19" s="143" t="n"/>
      <c r="L19" s="144" t="inlineStr">
        <is>
          <t>Terrenos</t>
        </is>
      </c>
      <c r="M19" s="144" t="inlineStr">
        <is>
          <t>Construcciones</t>
        </is>
      </c>
      <c r="N19" s="144" t="inlineStr">
        <is>
          <t>Transmisión</t>
        </is>
      </c>
      <c r="O19" s="144" t="inlineStr">
        <is>
          <t>Transmisoras</t>
        </is>
      </c>
      <c r="P19" s="144" t="inlineStr">
        <is>
          <t>Computación</t>
        </is>
      </c>
      <c r="Q19" s="144" t="inlineStr">
        <is>
          <t>Portátil</t>
        </is>
      </c>
      <c r="R19" s="144" t="inlineStr">
        <is>
          <t xml:space="preserve">M$ </t>
        </is>
      </c>
      <c r="S19" s="144" t="inlineStr">
        <is>
          <t>Seriados</t>
        </is>
      </c>
      <c r="T19" s="144" t="inlineStr">
        <is>
          <t>y Útiles</t>
        </is>
      </c>
      <c r="U19" s="144" t="inlineStr">
        <is>
          <t>Domiciliaria</t>
        </is>
      </c>
      <c r="V19" s="144" t="inlineStr">
        <is>
          <t>Activos</t>
        </is>
      </c>
      <c r="W19" s="144" t="inlineStr">
        <is>
          <t>en Leasing</t>
        </is>
      </c>
      <c r="X19" s="144" t="inlineStr">
        <is>
          <t>en Curso</t>
        </is>
      </c>
      <c r="Y19" s="144" t="inlineStr">
        <is>
          <t xml:space="preserve"> Total</t>
        </is>
      </c>
    </row>
    <row r="20" ht="20.1" customFormat="1" customHeight="1" s="486">
      <c r="A20" s="537" t="n"/>
      <c r="B20" s="531" t="inlineStr">
        <is>
          <t>Deterioro PPE</t>
        </is>
      </c>
      <c r="C20" s="877" t="n"/>
      <c r="D20" s="852" t="n"/>
      <c r="E20" s="871">
        <f>SUM(C20:D20)</f>
        <v/>
      </c>
      <c r="G20" s="878" t="n"/>
      <c r="H20" s="879" t="n"/>
      <c r="I20" s="874">
        <f>SUM(G20:H20)</f>
        <v/>
      </c>
      <c r="K20" s="143" t="n"/>
      <c r="L20" s="804" t="inlineStr">
        <is>
          <t xml:space="preserve">M$ </t>
        </is>
      </c>
      <c r="M20" s="804" t="inlineStr">
        <is>
          <t xml:space="preserve">M$ </t>
        </is>
      </c>
      <c r="N20" s="804" t="inlineStr">
        <is>
          <t xml:space="preserve">M$ </t>
        </is>
      </c>
      <c r="O20" s="804" t="inlineStr">
        <is>
          <t xml:space="preserve">M$ </t>
        </is>
      </c>
      <c r="P20" s="804" t="inlineStr">
        <is>
          <t xml:space="preserve">M$ </t>
        </is>
      </c>
      <c r="Q20" s="804" t="inlineStr">
        <is>
          <t xml:space="preserve">M$ </t>
        </is>
      </c>
      <c r="R20" s="562" t="n"/>
      <c r="S20" s="804" t="inlineStr">
        <is>
          <t xml:space="preserve">M$ </t>
        </is>
      </c>
      <c r="T20" s="804" t="inlineStr">
        <is>
          <t xml:space="preserve">M$ </t>
        </is>
      </c>
      <c r="U20" s="804" t="inlineStr">
        <is>
          <t xml:space="preserve">M$ </t>
        </is>
      </c>
      <c r="V20" s="804" t="inlineStr">
        <is>
          <t xml:space="preserve">M$ </t>
        </is>
      </c>
      <c r="W20" s="804" t="inlineStr">
        <is>
          <t xml:space="preserve">M$ </t>
        </is>
      </c>
      <c r="X20" s="804" t="inlineStr">
        <is>
          <t xml:space="preserve">M$ </t>
        </is>
      </c>
      <c r="Y20" s="804" t="inlineStr">
        <is>
          <t xml:space="preserve">M$ </t>
        </is>
      </c>
    </row>
    <row r="21" ht="20.1" customFormat="1" customHeight="1" s="486">
      <c r="B21" s="531" t="inlineStr">
        <is>
          <t>Asignacion de compra</t>
        </is>
      </c>
      <c r="C21" s="877" t="n"/>
      <c r="D21" s="852" t="n"/>
      <c r="E21" s="871">
        <f>SUM(C21:D21)</f>
        <v/>
      </c>
      <c r="G21" s="878" t="n">
        <v>0</v>
      </c>
      <c r="H21" s="879" t="n">
        <v>0</v>
      </c>
      <c r="I21" s="890" t="n">
        <v>0</v>
      </c>
      <c r="K21" s="143" t="n"/>
      <c r="L21" s="144" t="n"/>
      <c r="M21" s="144" t="n"/>
      <c r="N21" s="144" t="n"/>
      <c r="O21" s="144" t="n"/>
      <c r="P21" s="144" t="n"/>
      <c r="Q21" s="144" t="n"/>
      <c r="R21" s="146" t="n"/>
      <c r="S21" s="144" t="n"/>
      <c r="T21" s="144" t="n"/>
      <c r="U21" s="144" t="n"/>
      <c r="V21" s="144" t="n"/>
      <c r="W21" s="144" t="n"/>
      <c r="X21" s="144" t="n"/>
      <c r="Y21" s="144" t="n"/>
    </row>
    <row r="22" ht="20.1" customFormat="1" customHeight="1" s="486">
      <c r="B22" s="538" t="inlineStr">
        <is>
          <t>Amortizacion PPA</t>
        </is>
      </c>
      <c r="C22" s="891" t="n"/>
      <c r="D22" s="892" t="n"/>
      <c r="E22" s="893">
        <f>SUM(C22:D22)</f>
        <v/>
      </c>
      <c r="G22" s="894" t="n"/>
      <c r="H22" s="895" t="n"/>
      <c r="I22" s="896" t="n"/>
      <c r="K22" s="518" t="inlineStr">
        <is>
          <t>Saldo inicial al 01/01/2025</t>
        </is>
      </c>
      <c r="L22" s="875">
        <f>+I22</f>
        <v/>
      </c>
      <c r="M22" s="875">
        <f>+I23</f>
        <v/>
      </c>
      <c r="N22" s="875">
        <f>+I24</f>
        <v/>
      </c>
      <c r="O22" s="875">
        <f>+I25</f>
        <v/>
      </c>
      <c r="P22" s="875">
        <f>+I27</f>
        <v/>
      </c>
      <c r="Q22" s="875">
        <f>+I26</f>
        <v/>
      </c>
      <c r="R22" s="875">
        <f>+I29</f>
        <v/>
      </c>
      <c r="S22" s="875">
        <f>+I28</f>
        <v/>
      </c>
      <c r="T22" s="875">
        <f>+E30</f>
        <v/>
      </c>
      <c r="U22" s="875">
        <f>+E34</f>
        <v/>
      </c>
      <c r="V22" s="875">
        <f>+E31</f>
        <v/>
      </c>
      <c r="W22" s="875">
        <f>+E32</f>
        <v/>
      </c>
      <c r="X22" s="875">
        <f>+E33</f>
        <v/>
      </c>
      <c r="Y22" s="876">
        <f>SUM(L22:X22)</f>
        <v/>
      </c>
    </row>
    <row r="23" ht="20.1" customFormat="1" customHeight="1" s="486">
      <c r="B23" s="487" t="n"/>
      <c r="C23" s="852" t="n"/>
      <c r="D23" s="852" t="n"/>
      <c r="E23" s="897" t="n"/>
      <c r="K23" s="143" t="inlineStr">
        <is>
          <t>Adiciones</t>
        </is>
      </c>
      <c r="L23" s="876" t="n">
        <v>0</v>
      </c>
      <c r="M23" s="876" t="n">
        <v>0</v>
      </c>
      <c r="N23" s="876" t="n">
        <v>0</v>
      </c>
      <c r="O23" s="876" t="n">
        <v>0</v>
      </c>
      <c r="P23" s="876" t="n">
        <v>0</v>
      </c>
      <c r="Q23" s="876" t="n">
        <v>0</v>
      </c>
      <c r="R23" s="876" t="n">
        <v>0</v>
      </c>
      <c r="S23" s="876" t="n">
        <v>0</v>
      </c>
      <c r="T23" s="876" t="n">
        <v>0</v>
      </c>
      <c r="U23" s="876" t="n">
        <v>0</v>
      </c>
      <c r="V23" s="876" t="n">
        <v>0</v>
      </c>
      <c r="W23" s="876" t="n">
        <v>0</v>
      </c>
      <c r="X23" s="876" t="n">
        <v>0</v>
      </c>
      <c r="Y23" s="876">
        <f>SUM(L23:X23)</f>
        <v/>
      </c>
    </row>
    <row r="24" ht="20.1" customFormat="1" customHeight="1" s="486" thickBot="1">
      <c r="B24" s="487" t="inlineStr">
        <is>
          <t>Totales</t>
        </is>
      </c>
      <c r="C24" s="898">
        <f>SUM(C8:C22)</f>
        <v/>
      </c>
      <c r="D24" s="898">
        <f>SUM(D8:D22)</f>
        <v/>
      </c>
      <c r="E24" s="898">
        <f>SUM(E8:E22)</f>
        <v/>
      </c>
      <c r="G24" s="898">
        <f>SUM(G8:G22)</f>
        <v/>
      </c>
      <c r="H24" s="898">
        <f>SUM(H8:H22)</f>
        <v/>
      </c>
      <c r="I24" s="898">
        <f>SUM(I8:I22)</f>
        <v/>
      </c>
      <c r="K24" s="789" t="inlineStr">
        <is>
          <t>Desapropiaciones</t>
        </is>
      </c>
      <c r="L24" s="876" t="n">
        <v>0</v>
      </c>
      <c r="M24" s="876" t="n">
        <v>0</v>
      </c>
      <c r="N24" s="876" t="n">
        <v>0</v>
      </c>
      <c r="O24" s="876" t="n">
        <v>0</v>
      </c>
      <c r="P24" s="876" t="n">
        <v>0</v>
      </c>
      <c r="Q24" s="876" t="n">
        <v>0</v>
      </c>
      <c r="R24" s="876" t="n">
        <v>0</v>
      </c>
      <c r="S24" s="876" t="n">
        <v>0</v>
      </c>
      <c r="T24" s="876" t="n">
        <v>0</v>
      </c>
      <c r="U24" s="876" t="n">
        <v>0</v>
      </c>
      <c r="V24" s="876" t="n">
        <v>0</v>
      </c>
      <c r="W24" s="876" t="n">
        <v>0</v>
      </c>
      <c r="X24" s="876" t="n">
        <v>0</v>
      </c>
      <c r="Y24" s="876">
        <f>SUM(L24:X24)</f>
        <v/>
      </c>
    </row>
    <row r="25" ht="20.1" customFormat="1" customHeight="1" s="486" thickTop="1">
      <c r="K25" s="143" t="inlineStr">
        <is>
          <t>Gasto por depreciación</t>
        </is>
      </c>
      <c r="L25" s="876" t="n">
        <v>0</v>
      </c>
      <c r="M25" s="876" t="n">
        <v>0</v>
      </c>
      <c r="N25" s="876" t="n">
        <v>0</v>
      </c>
      <c r="O25" s="876" t="n">
        <v>0</v>
      </c>
      <c r="P25" s="876" t="n">
        <v>0</v>
      </c>
      <c r="Q25" s="876" t="n">
        <v>0</v>
      </c>
      <c r="R25" s="876" t="n">
        <v>0</v>
      </c>
      <c r="S25" s="876" t="n">
        <v>0</v>
      </c>
      <c r="T25" s="876" t="n">
        <v>0</v>
      </c>
      <c r="U25" s="876" t="n">
        <v>0</v>
      </c>
      <c r="V25" s="876" t="n">
        <v>0</v>
      </c>
      <c r="W25" s="876" t="n">
        <v>0</v>
      </c>
      <c r="X25" s="876" t="n">
        <v>0</v>
      </c>
      <c r="Y25" s="876">
        <f>SUM(L25:X25)</f>
        <v/>
      </c>
    </row>
    <row r="26" ht="13.2" customFormat="1" customHeight="1" s="486">
      <c r="K26" s="143" t="inlineStr">
        <is>
          <t>Deterioro</t>
        </is>
      </c>
      <c r="L26" s="876" t="n">
        <v>0</v>
      </c>
      <c r="M26" s="876" t="n">
        <v>0</v>
      </c>
      <c r="N26" s="876" t="n">
        <v>0</v>
      </c>
      <c r="O26" s="876" t="n">
        <v>0</v>
      </c>
      <c r="P26" s="876" t="n">
        <v>0</v>
      </c>
      <c r="Q26" s="876" t="n">
        <v>0</v>
      </c>
      <c r="R26" s="876" t="n">
        <v>0</v>
      </c>
      <c r="S26" s="876" t="n">
        <v>0</v>
      </c>
      <c r="T26" s="876" t="n">
        <v>0</v>
      </c>
      <c r="U26" s="876" t="n">
        <v>0</v>
      </c>
      <c r="V26" s="876" t="n">
        <v>0</v>
      </c>
      <c r="W26" s="876" t="n">
        <v>0</v>
      </c>
      <c r="X26" s="876" t="n">
        <v>0</v>
      </c>
      <c r="Y26" s="876">
        <f>SUM(L26:X26)</f>
        <v/>
      </c>
    </row>
    <row r="27">
      <c r="K27" s="143" t="inlineStr">
        <is>
          <t>Transferencias</t>
        </is>
      </c>
      <c r="L27" s="880" t="n"/>
      <c r="M27" s="880" t="n"/>
      <c r="N27" s="881" t="n"/>
      <c r="O27" s="881" t="n"/>
      <c r="P27" s="881" t="n"/>
      <c r="Q27" s="882" t="n"/>
      <c r="R27" s="882" t="n"/>
      <c r="S27" s="882" t="n"/>
      <c r="T27" s="882" t="n">
        <v>0</v>
      </c>
      <c r="U27" s="883" t="n"/>
      <c r="V27" s="881" t="n"/>
      <c r="W27" s="881" t="n"/>
      <c r="X27" s="880" t="n"/>
      <c r="Y27" s="876">
        <f>SUM(L27:X27)</f>
        <v/>
      </c>
    </row>
    <row r="28" ht="14.4" customHeight="1" s="779" thickBot="1">
      <c r="G28" s="899" t="n"/>
      <c r="K28" s="518" t="inlineStr">
        <is>
          <t>Saldo final al 31/12/2025</t>
        </is>
      </c>
      <c r="L28" s="884">
        <f>+E22</f>
        <v/>
      </c>
      <c r="M28" s="884">
        <f>+E23</f>
        <v/>
      </c>
      <c r="N28" s="885">
        <f>+E24</f>
        <v/>
      </c>
      <c r="O28" s="884">
        <f>+E25</f>
        <v/>
      </c>
      <c r="P28" s="884">
        <f>+E27</f>
        <v/>
      </c>
      <c r="Q28" s="886">
        <f>+E26</f>
        <v/>
      </c>
      <c r="R28" s="886">
        <f>+E29</f>
        <v/>
      </c>
      <c r="S28" s="886">
        <f>+E28</f>
        <v/>
      </c>
      <c r="T28" s="886">
        <f>+E30</f>
        <v/>
      </c>
      <c r="U28" s="886">
        <f>+E34</f>
        <v/>
      </c>
      <c r="V28" s="884">
        <f>+E31</f>
        <v/>
      </c>
      <c r="W28" s="884">
        <f>+E32</f>
        <v/>
      </c>
      <c r="X28" s="884">
        <f>+E33</f>
        <v/>
      </c>
      <c r="Y28" s="884">
        <f>SUM(L28:X28)</f>
        <v/>
      </c>
    </row>
    <row r="29" ht="14.4" customHeight="1" s="779" thickTop="1">
      <c r="G29" s="899" t="n"/>
      <c r="I29" s="900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2:AN45"/>
  <sheetViews>
    <sheetView showGridLines="0" topLeftCell="K1" zoomScale="50" zoomScaleNormal="50" workbookViewId="0">
      <selection activeCell="V31" sqref="V31"/>
    </sheetView>
  </sheetViews>
  <sheetFormatPr baseColWidth="10" defaultColWidth="11.44140625" defaultRowHeight="13.8"/>
  <cols>
    <col width="11.44140625" customWidth="1" style="789" min="1" max="1"/>
    <col width="33.109375" customWidth="1" style="789" min="2" max="2"/>
    <col width="13.44140625" customWidth="1" style="789" min="3" max="4"/>
    <col width="12.33203125" customWidth="1" style="789" min="5" max="5"/>
    <col width="4.6640625" customWidth="1" style="789" min="6" max="6"/>
    <col width="3.33203125" customWidth="1" style="789" min="7" max="7"/>
    <col width="13.44140625" customWidth="1" style="789" min="8" max="8"/>
    <col width="16" customWidth="1" style="789" min="9" max="9"/>
    <col width="12.77734375" customWidth="1" style="789" min="10" max="10"/>
    <col width="5.109375" customWidth="1" style="789" min="11" max="11"/>
    <col width="18.5546875" bestFit="1" customWidth="1" style="789" min="12" max="12"/>
    <col width="12.77734375" customWidth="1" style="789" min="13" max="13"/>
    <col width="18" bestFit="1" customWidth="1" style="789" min="14" max="14"/>
    <col width="11.44140625" customWidth="1" style="789" min="15" max="15"/>
    <col width="25.5546875" customWidth="1" style="789" min="16" max="16"/>
    <col width="14.88671875" customWidth="1" style="789" min="17" max="17"/>
    <col width="13.5546875" bestFit="1" customWidth="1" style="789" min="18" max="18"/>
    <col width="14.77734375" bestFit="1" customWidth="1" style="789" min="19" max="19"/>
    <col width="13.77734375" bestFit="1" customWidth="1" style="789" min="20" max="20"/>
    <col width="12" bestFit="1" customWidth="1" style="789" min="21" max="21"/>
    <col width="12.77734375" bestFit="1" customWidth="1" style="789" min="22" max="22"/>
    <col width="12" bestFit="1" customWidth="1" style="789" min="23" max="23"/>
    <col width="15.109375" bestFit="1" customWidth="1" style="789" min="24" max="24"/>
    <col width="12.77734375" bestFit="1" customWidth="1" style="789" min="25" max="25"/>
    <col width="14.5546875" bestFit="1" customWidth="1" style="789" min="26" max="26"/>
    <col width="13.77734375" bestFit="1" customWidth="1" style="789" min="27" max="27"/>
    <col width="12" bestFit="1" customWidth="1" style="789" min="28" max="29"/>
    <col width="13.77734375" bestFit="1" customWidth="1" style="789" min="30" max="30"/>
    <col width="13.77734375" customWidth="1" style="789" min="31" max="31"/>
    <col width="14.77734375" bestFit="1" customWidth="1" style="789" min="32" max="32"/>
    <col width="12.44140625" bestFit="1" customWidth="1" style="789" min="33" max="33"/>
    <col width="12" bestFit="1" customWidth="1" style="789" min="34" max="34"/>
    <col width="11.44140625" customWidth="1" style="789" min="35" max="40"/>
    <col width="11.6640625" bestFit="1" customWidth="1" style="789" min="41" max="41"/>
    <col width="11.6640625" customWidth="1" style="789" min="42" max="42"/>
    <col width="11.44140625" customWidth="1" style="789" min="43" max="44"/>
    <col width="11.44140625" customWidth="1" style="789" min="45" max="16384"/>
  </cols>
  <sheetData>
    <row r="2">
      <c r="B2" s="486" t="n"/>
      <c r="C2" s="788" t="n"/>
      <c r="F2" s="486" t="n"/>
      <c r="G2" s="486" t="n"/>
      <c r="H2" s="788" t="n"/>
      <c r="L2" s="790" t="n"/>
      <c r="P2" s="486" t="n"/>
      <c r="Q2" s="486" t="n"/>
      <c r="R2" s="486" t="n"/>
      <c r="S2" s="486" t="n"/>
      <c r="T2" s="486" t="n"/>
      <c r="U2" s="486" t="n"/>
      <c r="V2" s="486" t="n"/>
      <c r="W2" s="486" t="n"/>
      <c r="X2" s="486" t="n"/>
      <c r="Y2" s="486" t="n"/>
      <c r="Z2" s="486" t="n"/>
      <c r="AA2" s="486" t="n"/>
      <c r="AB2" s="486" t="n"/>
      <c r="AC2" s="486" t="n"/>
      <c r="AD2" s="486" t="n"/>
      <c r="AE2" s="486" t="n"/>
      <c r="AF2" s="486" t="n"/>
      <c r="AG2" s="486" t="n"/>
      <c r="AH2" s="486" t="n"/>
      <c r="AI2" s="486" t="n"/>
      <c r="AJ2" s="486" t="n"/>
      <c r="AK2" s="486" t="n"/>
      <c r="AL2" s="486" t="n"/>
      <c r="AM2" s="486" t="n"/>
      <c r="AN2" s="486" t="n"/>
    </row>
    <row r="3">
      <c r="B3" s="490" t="n"/>
      <c r="C3" s="486" t="n"/>
      <c r="D3" s="491" t="inlineStr">
        <is>
          <t>30.06.2026</t>
        </is>
      </c>
      <c r="E3" s="491" t="n"/>
      <c r="F3" s="491" t="n"/>
      <c r="G3" s="486" t="n"/>
      <c r="H3" s="486" t="n"/>
      <c r="I3" s="491" t="inlineStr">
        <is>
          <t>31.12.2025</t>
        </is>
      </c>
      <c r="J3" s="491" t="n"/>
      <c r="P3" s="486" t="n"/>
      <c r="Q3" s="486" t="n"/>
      <c r="R3" s="486" t="n"/>
      <c r="S3" s="486" t="n"/>
      <c r="T3" s="486" t="n"/>
      <c r="U3" s="486" t="n"/>
      <c r="V3" s="486" t="n"/>
      <c r="W3" s="486" t="n"/>
      <c r="X3" s="486" t="n"/>
      <c r="Y3" s="486" t="n"/>
      <c r="Z3" s="486" t="n"/>
      <c r="AA3" s="486" t="n"/>
      <c r="AB3" s="486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</row>
    <row r="4" ht="26.4" customHeight="1" s="779">
      <c r="B4" s="483" t="n"/>
      <c r="C4" s="484" t="n"/>
      <c r="D4" s="489" t="n"/>
      <c r="E4" s="488" t="n"/>
      <c r="F4" s="488" t="n"/>
      <c r="G4" s="486" t="n"/>
      <c r="H4" s="484" t="n"/>
      <c r="I4" s="489" t="n"/>
      <c r="J4" s="488" t="n"/>
      <c r="P4" s="740" t="n"/>
      <c r="Q4" s="741" t="n"/>
      <c r="R4" s="741" t="n"/>
      <c r="S4" s="741" t="n"/>
      <c r="T4" s="741" t="n"/>
      <c r="U4" s="741" t="n"/>
      <c r="V4" s="741" t="n"/>
      <c r="W4" s="741" t="n"/>
      <c r="X4" s="741" t="n"/>
      <c r="Y4" s="741" t="n"/>
      <c r="Z4" s="741" t="n"/>
      <c r="AA4" s="741" t="n"/>
      <c r="AB4" s="741" t="n"/>
      <c r="AC4" s="741" t="n"/>
      <c r="AD4" s="741" t="n"/>
      <c r="AE4" s="741" t="n"/>
      <c r="AF4" s="486" t="n"/>
      <c r="AG4" s="486" t="n"/>
      <c r="AH4" s="486" t="n"/>
      <c r="AI4" s="486" t="n"/>
      <c r="AJ4" s="486" t="n"/>
      <c r="AK4" s="486" t="n"/>
      <c r="AL4" s="486" t="n"/>
      <c r="AM4" s="486" t="n"/>
      <c r="AN4" s="486" t="n"/>
    </row>
    <row r="5" ht="25.5" customHeight="1" s="779">
      <c r="B5" s="1161" t="inlineStr">
        <is>
          <t>Concepto</t>
        </is>
      </c>
      <c r="C5" s="1162" t="inlineStr">
        <is>
          <t>Activo fijo bruto</t>
        </is>
      </c>
      <c r="D5" s="1162" t="inlineStr">
        <is>
          <t>Depreciación acumulada</t>
        </is>
      </c>
      <c r="E5" s="1162" t="inlineStr">
        <is>
          <t>Activo fijo neto</t>
        </is>
      </c>
      <c r="F5" s="488" t="n"/>
      <c r="G5" s="486" t="n"/>
      <c r="H5" s="493" t="inlineStr">
        <is>
          <t>Activo fijo bruto</t>
        </is>
      </c>
      <c r="I5" s="494" t="inlineStr">
        <is>
          <t>Depreciación acumulada</t>
        </is>
      </c>
      <c r="J5" s="494" t="inlineStr">
        <is>
          <t>Activo fijo neto</t>
        </is>
      </c>
      <c r="L5" s="142" t="n"/>
      <c r="M5" s="459" t="n"/>
      <c r="N5" s="459" t="n"/>
      <c r="P5" s="740" t="n"/>
      <c r="Q5" s="741" t="n"/>
      <c r="R5" s="741" t="n"/>
      <c r="S5" s="741" t="n"/>
      <c r="T5" s="741" t="n"/>
      <c r="U5" s="741" t="n"/>
      <c r="V5" s="741" t="n"/>
      <c r="W5" s="741" t="n"/>
      <c r="X5" s="741" t="n"/>
      <c r="Y5" s="741" t="n"/>
      <c r="Z5" s="741" t="n"/>
      <c r="AA5" s="741" t="n"/>
      <c r="AB5" s="741" t="n"/>
      <c r="AC5" s="741" t="n"/>
      <c r="AD5" s="741" t="n"/>
      <c r="AE5" s="741" t="n"/>
      <c r="AF5" s="741" t="n"/>
      <c r="AG5" s="486" t="n"/>
      <c r="AH5" s="486" t="n"/>
      <c r="AI5" s="486" t="n"/>
      <c r="AJ5" s="486" t="n"/>
      <c r="AK5" s="486" t="n"/>
      <c r="AL5" s="486" t="n"/>
      <c r="AM5" s="486" t="n"/>
      <c r="AN5" s="486" t="n"/>
    </row>
    <row r="6">
      <c r="B6" s="483" t="n"/>
      <c r="C6" s="484" t="inlineStr">
        <is>
          <t>M$</t>
        </is>
      </c>
      <c r="D6" s="484" t="inlineStr">
        <is>
          <t>M$</t>
        </is>
      </c>
      <c r="E6" s="484" t="inlineStr">
        <is>
          <t>M$</t>
        </is>
      </c>
      <c r="F6" s="484" t="n"/>
      <c r="G6" s="486" t="n"/>
      <c r="H6" s="484" t="inlineStr">
        <is>
          <t>M$</t>
        </is>
      </c>
      <c r="I6" s="484" t="inlineStr">
        <is>
          <t>M$</t>
        </is>
      </c>
      <c r="J6" s="484" t="inlineStr">
        <is>
          <t>M$</t>
        </is>
      </c>
      <c r="L6" s="142" t="n"/>
      <c r="M6" s="142" t="n"/>
      <c r="N6" s="142" t="n"/>
      <c r="P6" s="740" t="n"/>
      <c r="Q6" s="741" t="n"/>
      <c r="R6" s="741" t="n"/>
      <c r="S6" s="741" t="n"/>
      <c r="T6" s="741" t="n"/>
      <c r="U6" s="741" t="n"/>
      <c r="V6" s="741" t="n"/>
      <c r="W6" s="742" t="n"/>
      <c r="X6" s="741" t="n"/>
      <c r="Y6" s="741" t="n"/>
      <c r="Z6" s="741" t="n"/>
      <c r="AA6" s="742" t="n"/>
      <c r="AB6" s="741" t="n"/>
      <c r="AC6" s="741" t="n"/>
      <c r="AD6" s="741" t="n"/>
      <c r="AE6" s="741" t="n"/>
      <c r="AF6" s="741" t="n"/>
      <c r="AG6" s="486" t="n"/>
      <c r="AH6" s="486" t="n"/>
      <c r="AI6" s="486" t="n"/>
      <c r="AJ6" s="486" t="n"/>
      <c r="AK6" s="486" t="n"/>
      <c r="AL6" s="486" t="n"/>
      <c r="AM6" s="486" t="n"/>
      <c r="AN6" s="486" t="n"/>
    </row>
    <row r="7">
      <c r="B7" s="483" t="n"/>
      <c r="C7" s="484" t="n"/>
      <c r="D7" s="484" t="n"/>
      <c r="E7" s="484" t="n"/>
      <c r="F7" s="484" t="n"/>
      <c r="G7" s="486" t="n"/>
      <c r="H7" s="484" t="n"/>
      <c r="I7" s="484" t="n"/>
      <c r="J7" s="484" t="n"/>
      <c r="L7" s="142" t="n"/>
      <c r="M7" s="142" t="n"/>
      <c r="N7" s="142" t="n"/>
      <c r="P7" s="740" t="n"/>
      <c r="Q7" s="741" t="n"/>
      <c r="R7" s="741" t="n"/>
      <c r="S7" s="741" t="n"/>
      <c r="T7" s="741" t="n"/>
      <c r="U7" s="741" t="n"/>
      <c r="V7" s="741" t="n"/>
      <c r="W7" s="742" t="n"/>
      <c r="X7" s="741" t="n"/>
      <c r="Y7" s="741" t="n"/>
      <c r="Z7" s="741" t="n"/>
      <c r="AA7" s="742" t="n"/>
      <c r="AB7" s="741" t="n"/>
      <c r="AC7" s="741" t="n"/>
      <c r="AD7" s="741" t="n"/>
      <c r="AE7" s="741" t="n"/>
      <c r="AF7" s="741" t="n"/>
      <c r="AG7" s="486" t="n"/>
      <c r="AH7" s="486" t="n"/>
      <c r="AI7" s="486" t="n"/>
      <c r="AJ7" s="486" t="n"/>
      <c r="AK7" s="486" t="n"/>
      <c r="AL7" s="486" t="n"/>
      <c r="AM7" s="486" t="n"/>
      <c r="AN7" s="486" t="n"/>
    </row>
    <row r="8" ht="20.1" customHeight="1" s="779">
      <c r="B8" s="1163" t="inlineStr">
        <is>
          <t>Derecho de uso (1)</t>
        </is>
      </c>
      <c r="C8" s="897" t="n"/>
      <c r="D8" s="897" t="n"/>
      <c r="E8" s="897">
        <f>SUM(C8:D8)</f>
        <v/>
      </c>
      <c r="F8" s="489" t="n"/>
      <c r="G8" s="486" t="n"/>
      <c r="H8" s="897" t="n"/>
      <c r="I8" s="897" t="n"/>
      <c r="J8" s="897">
        <f>SUM(H8:I8)</f>
        <v/>
      </c>
      <c r="L8" s="901" t="n"/>
      <c r="M8" s="901" t="n"/>
      <c r="N8" s="901" t="n"/>
      <c r="P8" s="902" t="n"/>
      <c r="Q8" s="902" t="n"/>
      <c r="R8" s="486" t="n"/>
      <c r="S8" s="486" t="n"/>
      <c r="T8" s="486" t="n"/>
      <c r="U8" s="486" t="n"/>
      <c r="V8" s="486" t="n"/>
      <c r="W8" s="486" t="n"/>
      <c r="X8" s="486" t="n"/>
      <c r="Y8" s="486" t="n"/>
      <c r="Z8" s="486" t="n"/>
      <c r="AA8" s="486" t="n"/>
      <c r="AB8" s="486" t="n"/>
      <c r="AC8" s="486" t="n"/>
      <c r="AD8" s="486" t="n"/>
      <c r="AE8" s="486" t="n"/>
      <c r="AF8" s="486" t="n"/>
      <c r="AG8" s="486" t="n"/>
      <c r="AH8" s="486" t="n"/>
      <c r="AI8" s="486" t="n"/>
      <c r="AJ8" s="486" t="n"/>
      <c r="AK8" s="486" t="n"/>
      <c r="AL8" s="486" t="n"/>
      <c r="AM8" s="486" t="n"/>
      <c r="AN8" s="486" t="n"/>
    </row>
    <row r="9" ht="20.1" customHeight="1" s="779">
      <c r="B9" s="487" t="n"/>
      <c r="C9" s="852" t="n"/>
      <c r="D9" s="852" t="n"/>
      <c r="E9" s="897" t="n"/>
      <c r="F9" s="489" t="n"/>
      <c r="G9" s="486" t="n"/>
      <c r="H9" s="852" t="n"/>
      <c r="I9" s="852" t="n"/>
      <c r="J9" s="897" t="n"/>
      <c r="P9" s="486" t="n"/>
      <c r="Q9" s="486" t="n"/>
      <c r="R9" s="486" t="n"/>
      <c r="S9" s="486" t="n"/>
      <c r="T9" s="486" t="n"/>
      <c r="U9" s="486" t="n"/>
      <c r="V9" s="486" t="n"/>
      <c r="W9" s="486" t="n"/>
      <c r="X9" s="486" t="n"/>
      <c r="Y9" s="486" t="n"/>
      <c r="Z9" s="486" t="n"/>
      <c r="AA9" s="486" t="n"/>
      <c r="AB9" s="486" t="n"/>
      <c r="AC9" s="486" t="n"/>
      <c r="AD9" s="486" t="n"/>
      <c r="AE9" s="486" t="n"/>
      <c r="AF9" s="486" t="n"/>
      <c r="AG9" s="486" t="n"/>
      <c r="AH9" s="486" t="n"/>
      <c r="AI9" s="486" t="n"/>
      <c r="AJ9" s="486" t="n"/>
      <c r="AK9" s="486" t="n"/>
      <c r="AL9" s="486" t="n"/>
      <c r="AM9" s="486" t="n"/>
      <c r="AN9" s="486" t="n"/>
    </row>
    <row r="10" ht="20.1" customHeight="1" s="779" thickBot="1">
      <c r="B10" s="487" t="inlineStr">
        <is>
          <t>Totales</t>
        </is>
      </c>
      <c r="C10" s="898">
        <f>SUM(C8:C9)</f>
        <v/>
      </c>
      <c r="D10" s="898">
        <f>SUM(D8:D9)</f>
        <v/>
      </c>
      <c r="E10" s="898">
        <f>SUM(E8:E9)</f>
        <v/>
      </c>
      <c r="F10" s="489" t="n"/>
      <c r="G10" s="486" t="n"/>
      <c r="H10" s="898">
        <f>SUM(H8:H9)</f>
        <v/>
      </c>
      <c r="I10" s="898">
        <f>SUM(I8:I9)</f>
        <v/>
      </c>
      <c r="J10" s="898">
        <f>SUM(J8:J9)</f>
        <v/>
      </c>
      <c r="L10" s="903" t="n"/>
      <c r="M10" s="903" t="n"/>
      <c r="N10" s="903" t="n"/>
      <c r="P10" s="486" t="n"/>
      <c r="Q10" s="542" t="n"/>
      <c r="R10" s="486" t="n"/>
      <c r="S10" s="486" t="n"/>
      <c r="T10" s="486" t="n"/>
      <c r="U10" s="486" t="n"/>
      <c r="V10" s="486" t="n"/>
      <c r="W10" s="486" t="n"/>
      <c r="X10" s="486" t="n"/>
      <c r="Y10" s="486" t="n"/>
      <c r="Z10" s="486" t="n"/>
      <c r="AA10" s="486" t="n"/>
      <c r="AB10" s="486" t="n"/>
      <c r="AC10" s="486" t="n"/>
      <c r="AD10" s="486" t="n"/>
      <c r="AE10" s="486" t="n"/>
      <c r="AF10" s="486" t="n"/>
      <c r="AG10" s="486" t="n"/>
      <c r="AH10" s="486" t="n"/>
      <c r="AI10" s="486" t="n"/>
      <c r="AJ10" s="486" t="n"/>
      <c r="AK10" s="486" t="n"/>
      <c r="AL10" s="486" t="n"/>
      <c r="AM10" s="486" t="n"/>
      <c r="AN10" s="486" t="n"/>
    </row>
    <row r="11" ht="20.1" customHeight="1" s="779" thickTop="1">
      <c r="B11" s="486" t="n"/>
      <c r="C11" s="486" t="n"/>
      <c r="D11" s="486" t="n"/>
      <c r="E11" s="486" t="n"/>
      <c r="F11" s="486" t="n"/>
      <c r="G11" s="486" t="n"/>
      <c r="H11" s="83" t="n"/>
      <c r="I11" s="83" t="n"/>
      <c r="J11" s="83" t="n"/>
      <c r="P11" s="486" t="n"/>
      <c r="Q11" s="536" t="n"/>
      <c r="R11" s="486" t="n"/>
      <c r="S11" s="486" t="n"/>
      <c r="T11" s="486" t="n"/>
      <c r="U11" s="486" t="n"/>
      <c r="V11" s="486" t="n"/>
      <c r="W11" s="486" t="n"/>
      <c r="X11" s="486" t="n"/>
      <c r="Y11" s="486" t="n"/>
      <c r="Z11" s="486" t="n"/>
      <c r="AA11" s="486" t="n"/>
      <c r="AB11" s="486" t="n"/>
      <c r="AC11" s="486" t="n"/>
      <c r="AD11" s="486" t="n"/>
      <c r="AE11" s="486" t="n"/>
      <c r="AF11" s="486" t="n"/>
      <c r="AG11" s="486" t="n"/>
      <c r="AH11" s="486" t="n"/>
      <c r="AI11" s="486" t="n"/>
      <c r="AJ11" s="486" t="n"/>
      <c r="AK11" s="486" t="n"/>
      <c r="AL11" s="486" t="n"/>
      <c r="AM11" s="486" t="n"/>
      <c r="AN11" s="486" t="n"/>
    </row>
    <row r="12">
      <c r="B12" s="497" t="n"/>
      <c r="P12" s="486" t="n"/>
      <c r="Q12" s="486" t="n"/>
      <c r="R12" s="486" t="n"/>
      <c r="S12" s="486" t="n"/>
      <c r="T12" s="486" t="n"/>
      <c r="U12" s="486" t="n"/>
      <c r="V12" s="486" t="n"/>
      <c r="W12" s="486" t="n"/>
      <c r="X12" s="486" t="n"/>
      <c r="Y12" s="486" t="n"/>
      <c r="Z12" s="486" t="n"/>
      <c r="AA12" s="486" t="n"/>
      <c r="AB12" s="486" t="n"/>
      <c r="AC12" s="486" t="n"/>
      <c r="AD12" s="486" t="n"/>
      <c r="AE12" s="486" t="n"/>
      <c r="AF12" s="486" t="n"/>
      <c r="AG12" s="486" t="n"/>
      <c r="AH12" s="486" t="n"/>
      <c r="AI12" s="486" t="n"/>
      <c r="AJ12" s="486" t="n"/>
      <c r="AK12" s="486" t="n"/>
      <c r="AL12" s="486" t="n"/>
      <c r="AM12" s="486" t="n"/>
      <c r="AN12" s="486" t="n"/>
    </row>
    <row r="13">
      <c r="B13" s="497" t="n"/>
      <c r="P13" s="486" t="n"/>
      <c r="Q13" s="486" t="n"/>
      <c r="R13" s="486" t="n"/>
      <c r="S13" s="486" t="n"/>
      <c r="T13" s="486" t="n"/>
      <c r="U13" s="486" t="n"/>
      <c r="V13" s="486" t="n"/>
      <c r="W13" s="486" t="n"/>
      <c r="X13" s="486" t="n"/>
      <c r="Y13" s="486" t="n"/>
      <c r="Z13" s="486" t="n"/>
      <c r="AA13" s="486" t="n"/>
      <c r="AB13" s="486" t="n"/>
      <c r="AC13" s="486" t="n"/>
      <c r="AD13" s="486" t="n"/>
      <c r="AE13" s="486" t="n"/>
      <c r="AF13" s="486" t="n"/>
      <c r="AG13" s="486" t="n"/>
      <c r="AH13" s="486" t="n"/>
      <c r="AI13" s="486" t="n"/>
      <c r="AJ13" s="486" t="n"/>
      <c r="AK13" s="486" t="n"/>
      <c r="AL13" s="486" t="n"/>
      <c r="AM13" s="486" t="n"/>
      <c r="AN13" s="486" t="n"/>
    </row>
    <row r="14">
      <c r="B14" s="1164" t="inlineStr">
        <is>
          <t>Movimientos de amortizacion acumulada</t>
        </is>
      </c>
      <c r="C14" s="467" t="n"/>
      <c r="D14" s="467" t="n"/>
      <c r="E14" s="467" t="n"/>
    </row>
    <row r="15" ht="29.4" customHeight="1" s="779">
      <c r="B15" s="446" t="n"/>
      <c r="C15" s="491" t="inlineStr">
        <is>
          <t>30.06.2026</t>
        </is>
      </c>
      <c r="D15" s="491" t="inlineStr">
        <is>
          <t>31.12.2025</t>
        </is>
      </c>
      <c r="E15" s="467" t="n"/>
    </row>
    <row r="16">
      <c r="B16" s="465" t="n"/>
      <c r="C16" s="462" t="inlineStr">
        <is>
          <t>M$</t>
        </is>
      </c>
      <c r="D16" s="462" t="inlineStr">
        <is>
          <t>M$</t>
        </is>
      </c>
      <c r="E16" s="467" t="n"/>
    </row>
    <row r="17">
      <c r="B17" s="1165" t="inlineStr">
        <is>
          <t>Saldo inicial al 01/01/2026</t>
        </is>
      </c>
      <c r="C17" s="904" t="n">
        <v>0</v>
      </c>
      <c r="D17" s="904" t="n">
        <v>0</v>
      </c>
      <c r="E17" s="467" t="n"/>
    </row>
    <row r="18">
      <c r="B18" s="1165" t="inlineStr">
        <is>
          <t>Adiciones</t>
        </is>
      </c>
      <c r="C18" s="905" t="n">
        <v>0</v>
      </c>
      <c r="D18" s="905" t="n">
        <v>0</v>
      </c>
      <c r="E18" s="467" t="n"/>
    </row>
    <row r="19">
      <c r="B19" s="1165" t="inlineStr">
        <is>
          <t>Desapropiaciones</t>
        </is>
      </c>
      <c r="C19" s="905" t="n">
        <v>0</v>
      </c>
      <c r="D19" s="905" t="n">
        <v>0</v>
      </c>
      <c r="E19" s="467" t="n"/>
    </row>
    <row r="20">
      <c r="B20" s="1165" t="inlineStr">
        <is>
          <t>Gasto por amortización</t>
        </is>
      </c>
      <c r="C20" s="905" t="n">
        <v>0</v>
      </c>
      <c r="D20" s="905" t="n">
        <v>0</v>
      </c>
      <c r="E20" s="467" t="n"/>
    </row>
    <row r="21" ht="14.4" customHeight="1" s="779">
      <c r="B21" s="1165" t="inlineStr">
        <is>
          <t>Transferencias</t>
        </is>
      </c>
      <c r="C21" s="906" t="n">
        <v>0</v>
      </c>
      <c r="D21" s="906" t="n">
        <v>0</v>
      </c>
      <c r="E21" s="467" t="n"/>
    </row>
    <row r="22" ht="14.4" customHeight="1" s="779" thickBot="1">
      <c r="B22" s="1166" t="inlineStr">
        <is>
          <t>Saldo final al 31/12/2025</t>
        </is>
      </c>
      <c r="C22" s="907">
        <f>SUM(C17:C21)</f>
        <v/>
      </c>
      <c r="D22" s="907">
        <f>SUM(D17:D21)</f>
        <v/>
      </c>
      <c r="E22" s="467" t="n"/>
    </row>
    <row r="23" ht="14.4" customHeight="1" s="779" thickTop="1">
      <c r="B23" s="102" t="n"/>
      <c r="C23" s="908" t="n"/>
      <c r="D23" s="102" t="n"/>
      <c r="E23" s="467" t="n"/>
    </row>
    <row r="24">
      <c r="E24" s="467" t="n"/>
    </row>
    <row r="25">
      <c r="B25" s="1164" t="inlineStr">
        <is>
          <t>A continuación, se detallan los valores registrados en el estado de resultados de contratos de arrendamientos no considerados derechos de uso:</t>
        </is>
      </c>
    </row>
    <row r="26" ht="14.4" customHeight="1" s="779">
      <c r="B26" s="463" t="n"/>
    </row>
    <row r="27" ht="14.4" customHeight="1" s="779">
      <c r="B27" s="463" t="n"/>
    </row>
    <row r="28" ht="14.4" customHeight="1" s="779">
      <c r="C28" s="711" t="inlineStr">
        <is>
          <t>30.06.2026</t>
        </is>
      </c>
      <c r="D28" s="711" t="inlineStr">
        <is>
          <t>31.12.2025</t>
        </is>
      </c>
    </row>
    <row r="29">
      <c r="B29" s="1167" t="inlineStr">
        <is>
          <t>Tipo de contrato</t>
        </is>
      </c>
      <c r="C29" s="647" t="inlineStr">
        <is>
          <t>M$</t>
        </is>
      </c>
      <c r="D29" s="647" t="inlineStr">
        <is>
          <t>M$</t>
        </is>
      </c>
    </row>
    <row r="30" ht="14.4" customHeight="1" s="779"/>
    <row r="31">
      <c r="B31" s="1167" t="inlineStr">
        <is>
          <t>Arriendos de corto plazo</t>
        </is>
      </c>
    </row>
    <row r="32">
      <c r="B32" s="1167" t="inlineStr">
        <is>
          <t>Arriendos de bajo valor</t>
        </is>
      </c>
    </row>
    <row r="33" ht="14.4" customHeight="1" s="779">
      <c r="B33" s="1167" t="inlineStr">
        <is>
          <t>Arriendos que no transfieren control (1)</t>
        </is>
      </c>
      <c r="C33" s="496" t="n"/>
      <c r="D33" s="496" t="n"/>
    </row>
    <row r="34" ht="14.4" customHeight="1" s="779" thickBot="1">
      <c r="B34" s="1167" t="inlineStr">
        <is>
          <t>Total</t>
        </is>
      </c>
      <c r="C34" s="907">
        <f>SUM(C31:C33)</f>
        <v/>
      </c>
      <c r="D34" s="907">
        <f>SUM(D31:D33)</f>
        <v/>
      </c>
    </row>
    <row r="35" ht="14.4" customHeight="1" s="779" thickTop="1"/>
    <row r="36">
      <c r="B36" s="1164" t="inlineStr">
        <is>
          <t>Los pagos mínimos no descontados por compromisos futuros de los arriendos no considerados como derechos de uso son los siguientes:</t>
        </is>
      </c>
    </row>
    <row r="37" ht="14.4" customHeight="1" s="779">
      <c r="B37" s="463" t="n"/>
    </row>
    <row r="38" ht="14.4" customHeight="1" s="779">
      <c r="B38" s="463" t="n"/>
    </row>
    <row r="39" ht="14.4" customHeight="1" s="779">
      <c r="C39" s="1167" t="inlineStr">
        <is>
          <t>Menos de 1 año</t>
        </is>
      </c>
      <c r="D39" s="1167" t="inlineStr">
        <is>
          <t>Entre 1 y 5 años</t>
        </is>
      </c>
      <c r="E39" s="1167" t="inlineStr">
        <is>
          <t>Mas de 5 años</t>
        </is>
      </c>
    </row>
    <row r="40">
      <c r="B40" s="1167" t="inlineStr">
        <is>
          <t>Tipo de contrato</t>
        </is>
      </c>
      <c r="C40" s="647" t="inlineStr">
        <is>
          <t>M$</t>
        </is>
      </c>
      <c r="D40" s="647" t="inlineStr">
        <is>
          <t>M$</t>
        </is>
      </c>
      <c r="E40" s="647" t="inlineStr">
        <is>
          <t>M$</t>
        </is>
      </c>
    </row>
    <row r="41" ht="14.4" customHeight="1" s="779"/>
    <row r="42">
      <c r="B42" s="1167" t="inlineStr">
        <is>
          <t>Arriendos de corto plazo</t>
        </is>
      </c>
      <c r="C42" s="648" t="n"/>
      <c r="D42" s="648" t="n"/>
      <c r="E42" s="648" t="n"/>
    </row>
    <row r="43">
      <c r="B43" s="1167" t="inlineStr">
        <is>
          <t>Arriendos de bajo valor</t>
        </is>
      </c>
      <c r="C43" s="648" t="n"/>
      <c r="D43" s="648" t="n"/>
      <c r="E43" s="648" t="n"/>
    </row>
    <row r="44" ht="14.4" customHeight="1" s="779" thickBot="1">
      <c r="B44" s="1167" t="inlineStr">
        <is>
          <t>Arriendos que no transfieren control</t>
        </is>
      </c>
      <c r="C44" s="909" t="n">
        <v>1078851</v>
      </c>
      <c r="D44" s="909" t="n">
        <v>1755633</v>
      </c>
      <c r="E44" s="909" t="n">
        <v>767432</v>
      </c>
    </row>
    <row r="45" ht="14.4" customHeight="1" s="779" thickBot="1">
      <c r="B45" s="1167" t="inlineStr">
        <is>
          <t>Total</t>
        </is>
      </c>
      <c r="C45" s="909" t="n">
        <v>1078851</v>
      </c>
      <c r="D45" s="909" t="n">
        <v>1755633</v>
      </c>
      <c r="E45" s="909" t="n">
        <v>767432</v>
      </c>
    </row>
  </sheetData>
  <mergeCells count="3">
    <mergeCell ref="C2:E2"/>
    <mergeCell ref="L2:N2"/>
    <mergeCell ref="H2:J2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7:G15"/>
  <sheetViews>
    <sheetView showGridLines="0" zoomScale="80" zoomScaleNormal="80" workbookViewId="0">
      <selection activeCell="G27" sqref="G27"/>
    </sheetView>
  </sheetViews>
  <sheetFormatPr baseColWidth="10" defaultRowHeight="14.4"/>
  <cols>
    <col width="29.21875" customWidth="1" style="779" min="2" max="2"/>
    <col width="14.33203125" customWidth="1" style="779" min="3" max="3"/>
    <col width="17.88671875" bestFit="1" customWidth="1" style="779" min="4" max="4"/>
    <col width="2.77734375" customWidth="1" style="779" min="5" max="5"/>
    <col width="17.21875" bestFit="1" customWidth="1" style="779" min="6" max="6"/>
    <col width="18.21875" bestFit="1" customWidth="1" style="779" min="7" max="7"/>
    <col width="5" customWidth="1" style="779" min="8" max="8"/>
  </cols>
  <sheetData>
    <row r="7">
      <c r="C7" s="498" t="n"/>
      <c r="F7" s="498" t="n"/>
    </row>
    <row r="8">
      <c r="B8" s="134" t="n"/>
      <c r="C8" s="791" t="inlineStr">
        <is>
          <t>30.06.2026</t>
        </is>
      </c>
      <c r="F8" s="791" t="inlineStr">
        <is>
          <t>31.12.2025</t>
        </is>
      </c>
    </row>
    <row r="9">
      <c r="B9" s="1146" t="inlineStr">
        <is>
          <t>Detalle</t>
        </is>
      </c>
      <c r="C9" s="1146" t="inlineStr">
        <is>
          <t>Corrientes</t>
        </is>
      </c>
      <c r="D9" s="1146" t="inlineStr">
        <is>
          <t>No corrientes</t>
        </is>
      </c>
      <c r="E9" s="786" t="n"/>
      <c r="F9" s="190" t="inlineStr">
        <is>
          <t>Corrientes</t>
        </is>
      </c>
      <c r="G9" s="190" t="inlineStr">
        <is>
          <t>No corrientes</t>
        </is>
      </c>
    </row>
    <row r="10">
      <c r="B10" s="134" t="n"/>
      <c r="C10" s="94" t="inlineStr">
        <is>
          <t>M$</t>
        </is>
      </c>
      <c r="D10" s="94" t="inlineStr">
        <is>
          <t>M$</t>
        </is>
      </c>
      <c r="E10" s="786" t="n"/>
      <c r="F10" s="94" t="inlineStr">
        <is>
          <t>M$</t>
        </is>
      </c>
      <c r="G10" s="94" t="inlineStr">
        <is>
          <t>M$</t>
        </is>
      </c>
    </row>
    <row r="11">
      <c r="B11" s="172" t="n"/>
      <c r="C11" s="910" t="n"/>
      <c r="D11" s="910" t="n"/>
      <c r="F11" s="910" t="n"/>
      <c r="G11" s="910" t="n"/>
    </row>
    <row r="12">
      <c r="B12" s="172" t="n"/>
      <c r="C12" s="910" t="n"/>
      <c r="D12" s="910" t="n"/>
      <c r="F12" s="910" t="n"/>
      <c r="G12" s="910" t="n"/>
    </row>
    <row r="13">
      <c r="B13" s="172" t="n"/>
      <c r="C13" s="910" t="n"/>
      <c r="D13" s="910" t="n"/>
      <c r="F13" s="910" t="n"/>
      <c r="G13" s="910" t="n"/>
    </row>
    <row r="14" ht="23.4" customHeight="1" s="779" thickBot="1">
      <c r="B14" s="172" t="inlineStr">
        <is>
          <t>Instrumentos de cobertura (3)</t>
        </is>
      </c>
      <c r="C14" s="860" t="n"/>
      <c r="D14" s="910" t="n"/>
      <c r="F14" s="860" t="n"/>
      <c r="G14" s="910" t="n"/>
    </row>
    <row r="15" ht="23.4" customHeight="1" s="779" thickBot="1">
      <c r="B15" s="173" t="inlineStr">
        <is>
          <t>Total otros pasivos financieros</t>
        </is>
      </c>
      <c r="C15" s="911" t="n">
        <v>0</v>
      </c>
      <c r="D15" s="911" t="n">
        <v>0</v>
      </c>
      <c r="F15" s="911" t="n">
        <v>0</v>
      </c>
      <c r="G15" s="911" t="n">
        <v>0</v>
      </c>
    </row>
  </sheetData>
  <mergeCells count="2">
    <mergeCell ref="C8:D8"/>
    <mergeCell ref="F8:G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3:D6"/>
  <sheetViews>
    <sheetView showGridLines="0" workbookViewId="0">
      <selection activeCell="D7" sqref="D7"/>
    </sheetView>
  </sheetViews>
  <sheetFormatPr baseColWidth="10" defaultRowHeight="14.4"/>
  <cols>
    <col width="47.77734375" customWidth="1" style="779" min="2" max="2"/>
  </cols>
  <sheetData>
    <row r="3">
      <c r="C3" s="1168" t="n">
        <v>46022</v>
      </c>
      <c r="D3" s="1168" t="n">
        <v>45657</v>
      </c>
    </row>
    <row r="4">
      <c r="B4" s="748" t="n"/>
      <c r="C4" s="744" t="inlineStr">
        <is>
          <t>M$</t>
        </is>
      </c>
      <c r="D4" s="744" t="inlineStr">
        <is>
          <t>M$</t>
        </is>
      </c>
    </row>
    <row r="5">
      <c r="B5" s="1142" t="inlineStr">
        <is>
          <t>Plusvalía por Adquisiciones de Empresas</t>
        </is>
      </c>
      <c r="C5" s="912" t="n">
        <v>0</v>
      </c>
      <c r="D5" s="912" t="n">
        <v>0</v>
      </c>
    </row>
    <row r="6">
      <c r="B6" s="749" t="inlineStr">
        <is>
          <t>Total</t>
        </is>
      </c>
      <c r="C6" s="913">
        <f>+C5</f>
        <v/>
      </c>
      <c r="D6" s="913">
        <f>+D5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C4:J23"/>
  <sheetViews>
    <sheetView showGridLines="0" topLeftCell="B1" zoomScale="90" zoomScaleNormal="90" workbookViewId="0">
      <selection activeCell="G29" sqref="G29"/>
    </sheetView>
  </sheetViews>
  <sheetFormatPr baseColWidth="10" defaultRowHeight="13.2"/>
  <cols>
    <col width="11.5546875" customWidth="1" style="793" min="1" max="2"/>
    <col width="35.6640625" customWidth="1" style="793" min="3" max="3"/>
    <col outlineLevel="1" width="14.33203125" customWidth="1" style="793" min="4" max="4"/>
    <col width="12.44140625" bestFit="1" customWidth="1" style="793" min="5" max="5"/>
    <col width="6.21875" customWidth="1" style="793" min="6" max="6"/>
    <col width="11.5546875" customWidth="1" style="793" min="7" max="8"/>
    <col width="11.5546875" customWidth="1" style="793" min="9" max="16384"/>
  </cols>
  <sheetData>
    <row r="1" customFormat="1" s="766"/>
    <row r="4" ht="21" customHeight="1" s="779">
      <c r="C4" s="792" t="inlineStr">
        <is>
          <t>Activos por impuestos corrientes</t>
        </is>
      </c>
      <c r="D4" s="162" t="inlineStr">
        <is>
          <t>30.06.2026</t>
        </is>
      </c>
      <c r="E4" s="162" t="inlineStr">
        <is>
          <t>31.12.2025</t>
        </is>
      </c>
    </row>
    <row r="5">
      <c r="D5" s="914" t="inlineStr">
        <is>
          <t>M$</t>
        </is>
      </c>
      <c r="E5" s="914" t="inlineStr">
        <is>
          <t>M$</t>
        </is>
      </c>
    </row>
    <row r="6">
      <c r="C6" s="1169" t="inlineStr">
        <is>
          <t>Créditos renta</t>
        </is>
      </c>
      <c r="D6" s="915" t="n"/>
      <c r="E6" s="916" t="n"/>
    </row>
    <row r="7">
      <c r="C7" s="1169" t="inlineStr">
        <is>
          <t>IVA crédito fiscal</t>
        </is>
      </c>
      <c r="D7" s="915" t="n"/>
      <c r="E7" s="916" t="n">
        <v>0</v>
      </c>
    </row>
    <row r="8">
      <c r="C8" s="1169" t="inlineStr">
        <is>
          <t>Pagos previsionales mensuales (PPM)</t>
        </is>
      </c>
      <c r="D8" s="917" t="n">
        <v>0</v>
      </c>
      <c r="E8" s="918" t="n">
        <v>0</v>
      </c>
      <c r="J8" s="443" t="n"/>
    </row>
    <row r="9" ht="13.8" customHeight="1" s="779" thickBot="1">
      <c r="C9" s="1169" t="inlineStr">
        <is>
          <t>Total activos</t>
        </is>
      </c>
      <c r="D9" s="919">
        <f>SUM(D6:D8)</f>
        <v/>
      </c>
      <c r="E9" s="919">
        <f>SUM(E6:E8)</f>
        <v/>
      </c>
      <c r="J9" s="443" t="n"/>
    </row>
    <row r="10">
      <c r="D10" s="916" t="n"/>
      <c r="E10" s="916" t="n"/>
      <c r="H10" s="443" t="n"/>
      <c r="I10" s="443" t="n"/>
      <c r="J10" s="443" t="n"/>
    </row>
    <row r="11">
      <c r="D11" s="916" t="n"/>
      <c r="E11" s="916" t="n"/>
      <c r="G11" s="443" t="n"/>
      <c r="H11" s="443" t="n"/>
      <c r="I11" s="443" t="n"/>
    </row>
    <row r="12">
      <c r="C12" s="1170" t="inlineStr">
        <is>
          <t>Pasivos por impuestos corrientes</t>
        </is>
      </c>
      <c r="D12" s="920" t="inlineStr">
        <is>
          <t>31.12.2025</t>
        </is>
      </c>
      <c r="E12" s="920" t="inlineStr">
        <is>
          <t>31.12.2025</t>
        </is>
      </c>
      <c r="G12" s="443" t="n"/>
      <c r="H12" s="443" t="n"/>
    </row>
    <row r="13">
      <c r="D13" s="914" t="inlineStr">
        <is>
          <t>M$</t>
        </is>
      </c>
      <c r="E13" s="914" t="inlineStr">
        <is>
          <t>M$</t>
        </is>
      </c>
    </row>
    <row r="14">
      <c r="C14" s="1169" t="inlineStr">
        <is>
          <t>IVA débito fiscal</t>
        </is>
      </c>
      <c r="D14" s="915" t="n"/>
      <c r="E14" s="916" t="n"/>
    </row>
    <row r="15">
      <c r="C15" s="1169" t="inlineStr">
        <is>
          <t>Impuesto retención 10% art. 42</t>
        </is>
      </c>
      <c r="D15" s="915" t="n"/>
      <c r="E15" s="921" t="n"/>
    </row>
    <row r="16" ht="26.4" customHeight="1" s="779">
      <c r="C16" s="1169" t="inlineStr">
        <is>
          <t>Impuestos mensuales por pagar (F29-F50)</t>
        </is>
      </c>
      <c r="D16" s="915" t="n"/>
      <c r="E16" s="921" t="n"/>
    </row>
    <row r="17">
      <c r="C17" s="1169" t="inlineStr">
        <is>
          <t>Impuesto adicional</t>
        </is>
      </c>
      <c r="D17" s="915" t="n"/>
      <c r="E17" s="916" t="n"/>
    </row>
    <row r="18" ht="13.8" customHeight="1" s="779" thickBot="1">
      <c r="C18" s="1169" t="inlineStr">
        <is>
          <t>Impuesto a la renta</t>
        </is>
      </c>
      <c r="D18" s="915" t="n"/>
      <c r="E18" s="916" t="n"/>
    </row>
    <row r="19" ht="13.8" customHeight="1" s="779" thickBot="1">
      <c r="C19" s="1169" t="inlineStr">
        <is>
          <t>Total pasivos</t>
        </is>
      </c>
      <c r="D19" s="922">
        <f>SUM(D14:D18)</f>
        <v/>
      </c>
      <c r="E19" s="922">
        <f>SUM(E14:E18)</f>
        <v/>
      </c>
    </row>
    <row r="20" ht="13.8" customHeight="1" s="779" thickBot="1">
      <c r="C20" s="1169" t="inlineStr">
        <is>
          <t>valor neto</t>
        </is>
      </c>
      <c r="D20" s="922">
        <f>D9-D19</f>
        <v/>
      </c>
      <c r="E20" s="922">
        <f>E9-E19</f>
        <v/>
      </c>
    </row>
    <row r="21">
      <c r="D21" s="916" t="n"/>
      <c r="E21" s="916" t="n"/>
    </row>
    <row r="23">
      <c r="E23" s="916" t="n"/>
    </row>
  </sheetData>
  <mergeCells count="2">
    <mergeCell ref="C4:C5"/>
    <mergeCell ref="C12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B1:M42"/>
  <sheetViews>
    <sheetView showGridLines="0" zoomScale="70" zoomScaleNormal="70" workbookViewId="0">
      <selection activeCell="B26" sqref="B26"/>
    </sheetView>
  </sheetViews>
  <sheetFormatPr baseColWidth="10" defaultRowHeight="13.8" outlineLevelRow="1"/>
  <cols>
    <col width="16.5546875" customWidth="1" style="212" min="1" max="1"/>
    <col width="40.5546875" bestFit="1" customWidth="1" style="212" min="2" max="2"/>
    <col width="18.5546875" customWidth="1" style="212" min="3" max="3"/>
    <col width="14" customWidth="1" style="212" min="4" max="4"/>
    <col width="12" customWidth="1" style="212" min="5" max="5"/>
    <col width="11.5546875" customWidth="1" style="212" min="6" max="6"/>
    <col width="13.44140625" customWidth="1" style="212" min="7" max="7"/>
    <col width="12.44140625" bestFit="1" customWidth="1" style="212" min="8" max="8"/>
    <col width="14.5546875" bestFit="1" customWidth="1" style="212" min="9" max="9"/>
    <col width="13" bestFit="1" customWidth="1" style="212" min="10" max="10"/>
    <col width="13.33203125" bestFit="1" customWidth="1" style="212" min="11" max="11"/>
    <col width="12" bestFit="1" customWidth="1" style="212" min="12" max="12"/>
    <col width="34.21875" bestFit="1" customWidth="1" style="212" min="13" max="13"/>
    <col width="11.5546875" customWidth="1" style="212" min="14" max="14"/>
    <col width="11.5546875" customWidth="1" style="212" min="15" max="16384"/>
  </cols>
  <sheetData>
    <row r="1">
      <c r="B1" s="1171" t="inlineStr">
        <is>
          <t>COMPOSICION</t>
        </is>
      </c>
    </row>
    <row r="3">
      <c r="C3" s="684" t="inlineStr">
        <is>
          <t>31.12.2026</t>
        </is>
      </c>
      <c r="D3" s="684" t="inlineStr">
        <is>
          <t>31.12.2026</t>
        </is>
      </c>
      <c r="E3" s="684" t="inlineStr">
        <is>
          <t>31.12.2025</t>
        </is>
      </c>
      <c r="F3" s="684" t="inlineStr">
        <is>
          <t>31.12.2025</t>
        </is>
      </c>
    </row>
    <row r="4">
      <c r="B4" s="1151" t="inlineStr">
        <is>
          <t>Concepto</t>
        </is>
      </c>
      <c r="C4" s="1172" t="inlineStr">
        <is>
          <t>Corriente</t>
        </is>
      </c>
      <c r="D4" s="1172" t="inlineStr">
        <is>
          <t>No corriente</t>
        </is>
      </c>
      <c r="E4" s="1172" t="inlineStr">
        <is>
          <t>Corriente</t>
        </is>
      </c>
      <c r="F4" s="685" t="inlineStr">
        <is>
          <t>No corriente</t>
        </is>
      </c>
    </row>
    <row r="5">
      <c r="B5" s="117" t="n"/>
      <c r="C5" s="685" t="inlineStr">
        <is>
          <t>M$</t>
        </is>
      </c>
      <c r="D5" s="685" t="inlineStr">
        <is>
          <t>M$</t>
        </is>
      </c>
      <c r="E5" s="685" t="inlineStr">
        <is>
          <t>M$</t>
        </is>
      </c>
      <c r="F5" s="685" t="inlineStr">
        <is>
          <t>M$</t>
        </is>
      </c>
    </row>
    <row r="6" ht="15" customHeight="1" s="779">
      <c r="B6" s="1152" t="inlineStr">
        <is>
          <t xml:space="preserve">Arriendo Bodegas </t>
        </is>
      </c>
      <c r="C6" s="923" t="n"/>
      <c r="D6" s="923" t="n"/>
      <c r="E6" s="923" t="n"/>
      <c r="F6" s="923" t="n"/>
    </row>
    <row r="7" ht="15" customHeight="1" s="779">
      <c r="B7" s="1152" t="inlineStr">
        <is>
          <t xml:space="preserve">Arriendo casa matriz </t>
        </is>
      </c>
      <c r="C7" s="923" t="n"/>
      <c r="D7" s="923" t="n"/>
      <c r="E7" s="923" t="n"/>
      <c r="F7" s="923" t="n"/>
    </row>
    <row r="8" ht="15" customHeight="1" s="779">
      <c r="B8" s="1152" t="inlineStr">
        <is>
          <t>Hub´s</t>
        </is>
      </c>
      <c r="C8" s="923" t="n"/>
      <c r="D8" s="923" t="n"/>
      <c r="E8" s="923" t="n"/>
      <c r="F8" s="923" t="n"/>
    </row>
    <row r="9" ht="15" customHeight="1" s="779">
      <c r="B9" s="1152" t="inlineStr">
        <is>
          <t xml:space="preserve">Otros espacios </t>
        </is>
      </c>
      <c r="C9" s="923" t="n"/>
      <c r="D9" s="923" t="n"/>
      <c r="E9" s="923" t="n"/>
      <c r="F9" s="923" t="n"/>
    </row>
    <row r="10" ht="15" customHeight="1" s="779">
      <c r="B10" s="1152" t="inlineStr">
        <is>
          <t>Sucursales</t>
        </is>
      </c>
      <c r="C10" s="923" t="n"/>
      <c r="D10" s="923" t="n"/>
      <c r="E10" s="923" t="n"/>
      <c r="F10" s="923" t="n"/>
    </row>
    <row r="11" ht="15" customHeight="1" s="779">
      <c r="B11" s="1152" t="inlineStr">
        <is>
          <t>Arriendo postes</t>
        </is>
      </c>
      <c r="C11" s="923" t="n"/>
      <c r="D11" s="923" t="n"/>
      <c r="E11" s="923" t="n"/>
      <c r="F11" s="923" t="n"/>
    </row>
    <row r="12" ht="15" customHeight="1" s="779" thickBot="1">
      <c r="B12" s="1152" t="inlineStr">
        <is>
          <t>Arriendo vehículos</t>
        </is>
      </c>
      <c r="C12" s="923" t="n"/>
      <c r="D12" s="923" t="n"/>
      <c r="E12" s="923" t="n"/>
      <c r="F12" s="923" t="n"/>
    </row>
    <row r="13" ht="14.4" customHeight="1" s="779" thickBot="1">
      <c r="B13" s="1152" t="inlineStr">
        <is>
          <t xml:space="preserve">Total </t>
        </is>
      </c>
      <c r="C13" s="911">
        <f>SUM(C6:C12)</f>
        <v/>
      </c>
      <c r="D13" s="911">
        <f>SUM(D6:D12)</f>
        <v/>
      </c>
      <c r="E13" s="911">
        <f>SUM(E6:E12)</f>
        <v/>
      </c>
      <c r="F13" s="911">
        <f>SUM(F6:F12)</f>
        <v/>
      </c>
    </row>
    <row r="14" ht="15" customHeight="1" s="779"/>
    <row r="19" outlineLevel="1" s="779">
      <c r="B19" s="1171" t="inlineStr">
        <is>
          <t xml:space="preserve">VENCIMIENTO DE PASIVOS SIN DESCONTAR </t>
        </is>
      </c>
      <c r="C19" s="686" t="n"/>
    </row>
    <row r="20" outlineLevel="1" ht="24" customHeight="1" s="779">
      <c r="B20" s="99" t="inlineStr">
        <is>
          <t>Detalle al 30/06/2026</t>
        </is>
      </c>
      <c r="C20" s="1173" t="inlineStr">
        <is>
          <t>90 días</t>
        </is>
      </c>
      <c r="D20" s="1173" t="inlineStr">
        <is>
          <t>90 días a 1 años</t>
        </is>
      </c>
      <c r="E20" s="1174" t="inlineStr">
        <is>
          <t>Total Corriente</t>
        </is>
      </c>
      <c r="F20" s="159" t="inlineStr">
        <is>
          <t>2 a 3 años</t>
        </is>
      </c>
      <c r="G20" s="159" t="inlineStr">
        <is>
          <t>4 a 7 años</t>
        </is>
      </c>
      <c r="H20" s="176" t="inlineStr">
        <is>
          <t>Total No Corriente</t>
        </is>
      </c>
    </row>
    <row r="21" outlineLevel="1" s="779">
      <c r="B21" s="172" t="n"/>
      <c r="C21" s="95" t="inlineStr">
        <is>
          <t>M$</t>
        </is>
      </c>
      <c r="D21" s="95" t="inlineStr">
        <is>
          <t>M$</t>
        </is>
      </c>
      <c r="E21" s="95" t="inlineStr">
        <is>
          <t>M$</t>
        </is>
      </c>
      <c r="F21" s="95" t="inlineStr">
        <is>
          <t>M$</t>
        </is>
      </c>
      <c r="G21" s="95" t="inlineStr">
        <is>
          <t>M$</t>
        </is>
      </c>
      <c r="H21" s="95" t="inlineStr">
        <is>
          <t>M$</t>
        </is>
      </c>
    </row>
    <row r="22" outlineLevel="1" ht="15" customHeight="1" s="779" thickBot="1">
      <c r="B22" s="172" t="inlineStr">
        <is>
          <t>Pasivos por derecho de uso</t>
        </is>
      </c>
      <c r="C22" s="503" t="n"/>
      <c r="D22" s="503" t="n"/>
      <c r="E22" s="924">
        <f>SUM(C22:D22)</f>
        <v/>
      </c>
      <c r="F22" s="925" t="n">
        <v>0</v>
      </c>
      <c r="G22" s="925" t="n">
        <v>0</v>
      </c>
      <c r="H22" s="926">
        <f>SUM(F22:G22)</f>
        <v/>
      </c>
      <c r="I22" s="686" t="n"/>
    </row>
    <row r="23" outlineLevel="1" ht="15" customHeight="1" s="779" thickBot="1">
      <c r="B23" s="578" t="inlineStr">
        <is>
          <t xml:space="preserve">Total </t>
        </is>
      </c>
      <c r="C23" s="927">
        <f>+C22</f>
        <v/>
      </c>
      <c r="D23" s="927">
        <f>+D22</f>
        <v/>
      </c>
      <c r="E23" s="927">
        <f>+E22</f>
        <v/>
      </c>
      <c r="F23" s="927">
        <f>+F22</f>
        <v/>
      </c>
      <c r="G23" s="927">
        <f>+G22</f>
        <v/>
      </c>
      <c r="H23" s="927">
        <f>+H22</f>
        <v/>
      </c>
      <c r="I23" s="686" t="n"/>
    </row>
    <row r="24" outlineLevel="1" s="779">
      <c r="B24" s="806" t="inlineStr">
        <is>
          <t>2025</t>
        </is>
      </c>
      <c r="C24" s="719" t="n"/>
      <c r="D24" s="720" t="n"/>
      <c r="E24" s="720" t="n"/>
      <c r="F24" s="720" t="n"/>
      <c r="G24" s="720" t="n"/>
      <c r="H24" s="720" t="n"/>
      <c r="I24" s="686" t="n"/>
    </row>
    <row r="25" outlineLevel="1" s="779">
      <c r="B25" s="578" t="inlineStr">
        <is>
          <t>Detalle al 31/12/2025</t>
        </is>
      </c>
      <c r="C25" s="172" t="inlineStr">
        <is>
          <t>90 días</t>
        </is>
      </c>
      <c r="D25" s="578" t="inlineStr">
        <is>
          <t>90 días a 1 años</t>
        </is>
      </c>
      <c r="E25" s="578" t="inlineStr">
        <is>
          <t>Total Corriente</t>
        </is>
      </c>
      <c r="F25" s="103" t="inlineStr">
        <is>
          <t>2 a 3 años</t>
        </is>
      </c>
      <c r="G25" s="103" t="inlineStr">
        <is>
          <t>4 a 7 años</t>
        </is>
      </c>
      <c r="H25" s="103" t="inlineStr">
        <is>
          <t>Total No Corriente</t>
        </is>
      </c>
    </row>
    <row r="26" outlineLevel="1" s="779">
      <c r="B26" s="806" t="n"/>
      <c r="C26" s="172" t="inlineStr">
        <is>
          <t>M$</t>
        </is>
      </c>
      <c r="D26" s="103" t="inlineStr">
        <is>
          <t>M$</t>
        </is>
      </c>
      <c r="E26" s="103" t="inlineStr">
        <is>
          <t>M$</t>
        </is>
      </c>
      <c r="F26" s="103" t="inlineStr">
        <is>
          <t>M$</t>
        </is>
      </c>
      <c r="G26" s="103" t="inlineStr">
        <is>
          <t>M$</t>
        </is>
      </c>
      <c r="H26" s="103" t="inlineStr">
        <is>
          <t>M$</t>
        </is>
      </c>
    </row>
    <row r="27" outlineLevel="1" ht="24" customHeight="1" s="779">
      <c r="B27" s="578" t="inlineStr">
        <is>
          <t>Pasivos por derecho de uso</t>
        </is>
      </c>
      <c r="C27" s="172" t="n">
        <v>0</v>
      </c>
      <c r="D27" s="103" t="n">
        <v>0</v>
      </c>
      <c r="E27" s="103">
        <f>SUM(C27:D27)</f>
        <v/>
      </c>
      <c r="F27" s="103" t="n"/>
      <c r="G27" s="103" t="n"/>
      <c r="H27" s="103" t="n"/>
    </row>
    <row r="28" outlineLevel="1" s="779">
      <c r="B28" s="1142" t="inlineStr">
        <is>
          <t>Total</t>
        </is>
      </c>
      <c r="C28">
        <f>C27</f>
        <v/>
      </c>
      <c r="D28">
        <f>D27</f>
        <v/>
      </c>
      <c r="E28">
        <f>E27</f>
        <v/>
      </c>
      <c r="F28">
        <f>F27</f>
        <v/>
      </c>
      <c r="G28">
        <f>G27</f>
        <v/>
      </c>
      <c r="H28">
        <f>H27</f>
        <v/>
      </c>
    </row>
    <row r="29" outlineLevel="1" ht="14.4" customHeight="1" s="779" thickBot="1">
      <c r="B29" s="683" t="inlineStr">
        <is>
          <t>2026</t>
        </is>
      </c>
      <c r="J29" s="180" t="n"/>
    </row>
    <row r="30" outlineLevel="1" ht="14.4" customHeight="1" s="779" thickBot="1">
      <c r="B30" s="177" t="n"/>
      <c r="C30" s="687" t="n"/>
      <c r="D30" s="687" t="n"/>
      <c r="F30" s="687" t="n"/>
      <c r="G30" s="687" t="n"/>
      <c r="H30" s="687" t="n"/>
      <c r="I30" s="212" t="inlineStr">
        <is>
          <t xml:space="preserve">                 Pagos</t>
        </is>
      </c>
      <c r="K30" s="687" t="n"/>
    </row>
    <row r="31" outlineLevel="1" s="779">
      <c r="B31" s="795" t="inlineStr">
        <is>
          <t>Tipo</t>
        </is>
      </c>
      <c r="C31" s="1175" t="inlineStr">
        <is>
          <t>Saldo inicial al 01/01/2026</t>
        </is>
      </c>
      <c r="D31" s="1175" t="inlineStr">
        <is>
          <t>Nuevos Contratos</t>
        </is>
      </c>
      <c r="E31" s="1175" t="inlineStr">
        <is>
          <t>Baja de contratos</t>
        </is>
      </c>
      <c r="F31" s="197" t="inlineStr">
        <is>
          <t>Interés Devengado</t>
        </is>
      </c>
      <c r="G31" s="795" t="inlineStr">
        <is>
          <t>Otros</t>
        </is>
      </c>
      <c r="H31" s="177" t="inlineStr">
        <is>
          <t>Reajuste</t>
        </is>
      </c>
      <c r="I31" s="197" t="inlineStr">
        <is>
          <t>Capital</t>
        </is>
      </c>
      <c r="J31" s="177" t="inlineStr">
        <is>
          <t>Intereses (1)</t>
        </is>
      </c>
      <c r="K31" s="177" t="inlineStr">
        <is>
          <t>Saldo final al 30/06/2026</t>
        </is>
      </c>
    </row>
    <row r="32" outlineLevel="1" s="779">
      <c r="C32" s="178" t="inlineStr">
        <is>
          <t>M$</t>
        </is>
      </c>
      <c r="D32" s="178" t="inlineStr">
        <is>
          <t>M$</t>
        </is>
      </c>
      <c r="E32" s="178" t="inlineStr">
        <is>
          <t>M$</t>
        </is>
      </c>
      <c r="F32" s="178" t="inlineStr">
        <is>
          <t>M$</t>
        </is>
      </c>
      <c r="G32" s="178" t="inlineStr">
        <is>
          <t>M$</t>
        </is>
      </c>
      <c r="H32" s="178" t="inlineStr">
        <is>
          <t>M$</t>
        </is>
      </c>
      <c r="I32" s="178" t="inlineStr">
        <is>
          <t>M$</t>
        </is>
      </c>
      <c r="J32" s="178" t="inlineStr">
        <is>
          <t>M$</t>
        </is>
      </c>
      <c r="K32" s="178" t="inlineStr">
        <is>
          <t>M$</t>
        </is>
      </c>
    </row>
    <row r="33" outlineLevel="1" s="779"/>
    <row r="34" outlineLevel="1" s="779">
      <c r="B34" s="172" t="inlineStr">
        <is>
          <t>Pasivos por derecho de uso</t>
        </is>
      </c>
      <c r="C34" s="928" t="n">
        <v>0</v>
      </c>
      <c r="D34" s="929" t="n"/>
      <c r="E34" s="929" t="n"/>
      <c r="F34" s="929" t="n"/>
      <c r="G34" s="929" t="n"/>
      <c r="H34" s="929" t="n"/>
      <c r="I34" s="929" t="n"/>
      <c r="J34" s="929" t="n"/>
      <c r="K34" s="929">
        <f>SUM(C41:J41)</f>
        <v/>
      </c>
      <c r="L34" s="536" t="n"/>
    </row>
    <row r="35">
      <c r="B35" s="186" t="inlineStr">
        <is>
          <t xml:space="preserve">Total </t>
        </is>
      </c>
      <c r="C35" s="930">
        <f>+C41</f>
        <v/>
      </c>
      <c r="D35" s="930">
        <f>+D41</f>
        <v/>
      </c>
      <c r="E35" s="930">
        <f>+E41</f>
        <v/>
      </c>
      <c r="F35" s="930">
        <f>+F41</f>
        <v/>
      </c>
      <c r="G35" s="930">
        <f>+G41</f>
        <v/>
      </c>
      <c r="H35" s="930">
        <f>+H41</f>
        <v/>
      </c>
      <c r="I35" s="930">
        <f>+I41</f>
        <v/>
      </c>
      <c r="J35" s="930">
        <f>+J41</f>
        <v/>
      </c>
      <c r="K35" s="930">
        <f>+K41</f>
        <v/>
      </c>
      <c r="L35" s="686" t="n"/>
    </row>
    <row r="36" outlineLevel="1" s="779">
      <c r="C36" s="686" t="n"/>
      <c r="D36" s="686" t="n"/>
      <c r="E36" s="686" t="n"/>
      <c r="F36" s="686" t="n"/>
      <c r="G36" s="686" t="n"/>
      <c r="H36" s="686" t="n"/>
      <c r="I36" s="686" t="n"/>
      <c r="J36" s="686" t="n"/>
      <c r="K36" s="931" t="n"/>
      <c r="L36" s="686" t="n"/>
      <c r="M36" s="689" t="n"/>
    </row>
    <row r="37" outlineLevel="1" s="779">
      <c r="B37" t="inlineStr">
        <is>
          <t>2025</t>
        </is>
      </c>
      <c r="C37" s="1142" t="inlineStr">
        <is>
          <t>Pagos</t>
        </is>
      </c>
    </row>
    <row r="38" outlineLevel="1" ht="20.4" customHeight="1" s="779">
      <c r="B38" s="1142" t="inlineStr">
        <is>
          <t>Tipo</t>
        </is>
      </c>
      <c r="C38" s="1142" t="inlineStr">
        <is>
          <t>Saldo inicial al 01/01/2025</t>
        </is>
      </c>
      <c r="D38" s="1142" t="inlineStr">
        <is>
          <t>Nuevos Contratos</t>
        </is>
      </c>
      <c r="E38" s="1142" t="inlineStr">
        <is>
          <t>Baja de contratos</t>
        </is>
      </c>
      <c r="F38" t="inlineStr">
        <is>
          <t>Interés Devengado</t>
        </is>
      </c>
      <c r="G38" t="inlineStr">
        <is>
          <t>Otros</t>
        </is>
      </c>
      <c r="H38" t="inlineStr">
        <is>
          <t>Reajuste</t>
        </is>
      </c>
      <c r="I38" t="inlineStr">
        <is>
          <t>Capital</t>
        </is>
      </c>
      <c r="J38" t="inlineStr">
        <is>
          <t>Intereses (1)</t>
        </is>
      </c>
      <c r="K38" t="inlineStr">
        <is>
          <t>Saldo final al 31/12/2025</t>
        </is>
      </c>
    </row>
    <row r="39" outlineLevel="1" s="779">
      <c r="B39" t="inlineStr">
        <is>
          <t>M$</t>
        </is>
      </c>
      <c r="C39" t="inlineStr">
        <is>
          <t>M$</t>
        </is>
      </c>
      <c r="D39" t="inlineStr">
        <is>
          <t>M$</t>
        </is>
      </c>
      <c r="E39" t="inlineStr">
        <is>
          <t>M$</t>
        </is>
      </c>
      <c r="F39" t="inlineStr">
        <is>
          <t>M$</t>
        </is>
      </c>
      <c r="G39" t="inlineStr">
        <is>
          <t>M$</t>
        </is>
      </c>
      <c r="H39" t="inlineStr">
        <is>
          <t>M$</t>
        </is>
      </c>
      <c r="I39" t="inlineStr">
        <is>
          <t>M$</t>
        </is>
      </c>
      <c r="J39" t="inlineStr">
        <is>
          <t>M$</t>
        </is>
      </c>
      <c r="K39" t="inlineStr">
        <is>
          <t>M$</t>
        </is>
      </c>
    </row>
    <row r="40" outlineLevel="1" s="779"/>
    <row r="41" outlineLevel="1" ht="15" customHeight="1" s="779" thickBot="1">
      <c r="B41" s="1142" t="inlineStr">
        <is>
          <t>Pasivos por derecho de uso</t>
        </is>
      </c>
      <c r="C41" t="n">
        <v>0</v>
      </c>
      <c r="K41">
        <f>SUM(C41:J41)</f>
        <v/>
      </c>
    </row>
    <row r="42" outlineLevel="1" ht="15" customHeight="1" s="779" thickBot="1">
      <c r="B42" s="1142" t="inlineStr">
        <is>
          <t>Total</t>
        </is>
      </c>
      <c r="C42">
        <f>C41</f>
        <v/>
      </c>
      <c r="D42">
        <f>D41</f>
        <v/>
      </c>
      <c r="E42">
        <f>E41</f>
        <v/>
      </c>
      <c r="F42">
        <f>F41</f>
        <v/>
      </c>
      <c r="G42">
        <f>G41</f>
        <v/>
      </c>
      <c r="H42">
        <f>H41</f>
        <v/>
      </c>
      <c r="I42">
        <f>I41</f>
        <v/>
      </c>
      <c r="J42">
        <f>J41</f>
        <v/>
      </c>
      <c r="K42">
        <f>K41</f>
        <v/>
      </c>
    </row>
    <row r="43" outlineLevel="1" s="779"/>
    <row r="46" ht="20.4" customHeight="1" s="779"/>
    <row r="49" ht="14.4" customHeight="1" s="779" thickBot="1"/>
    <row r="50" ht="14.4" customHeight="1" s="779" thickBo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2:O130"/>
  <sheetViews>
    <sheetView showGridLines="0" topLeftCell="A11" zoomScale="80" zoomScaleNormal="80" workbookViewId="0">
      <selection activeCell="E38" sqref="E38"/>
    </sheetView>
  </sheetViews>
  <sheetFormatPr baseColWidth="10" defaultRowHeight="14.4" outlineLevelRow="1"/>
  <cols>
    <col width="19.6640625" customWidth="1" style="779" min="1" max="1"/>
    <col width="24.77734375" customWidth="1" style="779" min="2" max="2"/>
    <col outlineLevel="1" width="13" customWidth="1" style="779" min="3" max="3"/>
    <col outlineLevel="1" width="19.21875" customWidth="1" style="779" min="4" max="4"/>
    <col outlineLevel="1" width="12" customWidth="1" style="779" min="5" max="5"/>
    <col outlineLevel="1" width="13.33203125" customWidth="1" style="779" min="6" max="7"/>
    <col width="11.5546875" customWidth="1" style="779" min="8" max="8"/>
    <col width="13.33203125" bestFit="1" customWidth="1" style="779" min="9" max="9"/>
    <col width="13" customWidth="1" style="779" min="10" max="10"/>
    <col width="13.33203125" bestFit="1" customWidth="1" style="779" min="11" max="12"/>
  </cols>
  <sheetData>
    <row r="2">
      <c r="B2" s="134" t="n"/>
      <c r="C2" s="791" t="inlineStr">
        <is>
          <t>30.06.2026</t>
        </is>
      </c>
      <c r="E2" s="791" t="inlineStr">
        <is>
          <t>31.12.2025</t>
        </is>
      </c>
      <c r="H2" s="133" t="n"/>
    </row>
    <row r="3" ht="15" customHeight="1" s="779">
      <c r="B3" s="1146" t="inlineStr">
        <is>
          <t>Detalle</t>
        </is>
      </c>
      <c r="C3" s="1146" t="inlineStr">
        <is>
          <t>Corrientes</t>
        </is>
      </c>
      <c r="D3" s="1146" t="inlineStr">
        <is>
          <t>No corrientes</t>
        </is>
      </c>
      <c r="E3" s="1146" t="inlineStr">
        <is>
          <t>Corrientes</t>
        </is>
      </c>
      <c r="F3" s="190" t="inlineStr">
        <is>
          <t>No Corrientes</t>
        </is>
      </c>
      <c r="H3" s="190" t="n"/>
    </row>
    <row r="4">
      <c r="B4" s="134" t="n"/>
      <c r="C4" s="94" t="inlineStr">
        <is>
          <t>M$</t>
        </is>
      </c>
      <c r="D4" s="94" t="inlineStr">
        <is>
          <t>M$</t>
        </is>
      </c>
      <c r="E4" s="94" t="inlineStr">
        <is>
          <t>M$</t>
        </is>
      </c>
      <c r="F4" s="94" t="inlineStr">
        <is>
          <t>M$</t>
        </is>
      </c>
      <c r="H4" s="94" t="n"/>
    </row>
    <row r="5">
      <c r="B5" s="172" t="inlineStr">
        <is>
          <t xml:space="preserve">Préstamos bancarios </t>
        </is>
      </c>
      <c r="C5" s="910" t="n">
        <v>0</v>
      </c>
      <c r="D5" s="910" t="n">
        <v>0</v>
      </c>
      <c r="E5" s="910" t="n">
        <v>0</v>
      </c>
      <c r="F5" s="910" t="n">
        <v>0</v>
      </c>
      <c r="H5" s="136" t="n"/>
      <c r="I5" s="865" t="n"/>
    </row>
    <row r="6">
      <c r="B6" s="172" t="inlineStr">
        <is>
          <t>Leasings financieros</t>
        </is>
      </c>
      <c r="C6" s="910" t="n">
        <v>0</v>
      </c>
      <c r="D6" s="910" t="n">
        <v>0</v>
      </c>
      <c r="E6" s="910" t="n">
        <v>0</v>
      </c>
      <c r="F6" s="910" t="n">
        <v>0</v>
      </c>
      <c r="H6" s="136" t="n"/>
      <c r="I6" s="865" t="n"/>
    </row>
    <row r="7" ht="22.8" customHeight="1" s="779">
      <c r="B7" s="172" t="inlineStr">
        <is>
          <t>Otros acreedores financieros (1)</t>
        </is>
      </c>
      <c r="C7" s="910" t="n">
        <v>0</v>
      </c>
      <c r="D7" s="910" t="n">
        <v>0</v>
      </c>
      <c r="E7" s="910" t="n">
        <v>0</v>
      </c>
      <c r="F7" s="910" t="n">
        <v>0</v>
      </c>
      <c r="H7" s="136" t="n"/>
      <c r="I7" s="865" t="n"/>
    </row>
    <row r="8" ht="23.4" customHeight="1" s="779" thickBot="1">
      <c r="B8" s="172" t="inlineStr">
        <is>
          <t>Instrumentos de cobertura (2)</t>
        </is>
      </c>
      <c r="C8" s="910" t="n">
        <v>0</v>
      </c>
      <c r="D8" s="910" t="n">
        <v>0</v>
      </c>
      <c r="E8" s="910" t="n">
        <v>0</v>
      </c>
      <c r="F8" s="910" t="n">
        <v>0</v>
      </c>
      <c r="H8" s="136" t="n"/>
      <c r="I8" s="865" t="n"/>
    </row>
    <row r="9" ht="23.4" customHeight="1" s="779" thickBot="1">
      <c r="B9" s="173" t="inlineStr">
        <is>
          <t>Total otros pasivos financieros</t>
        </is>
      </c>
      <c r="C9" s="911">
        <f>SUM(C5:C8)</f>
        <v/>
      </c>
      <c r="D9" s="911">
        <f>SUM(D5:D8)</f>
        <v/>
      </c>
      <c r="E9" s="911">
        <f>SUM(E5:E8)</f>
        <v/>
      </c>
      <c r="F9" s="911">
        <f>SUM(F5:F8)</f>
        <v/>
      </c>
      <c r="H9" s="136" t="n"/>
      <c r="I9" s="865" t="n"/>
    </row>
    <row r="13" hidden="1" outlineLevel="1" s="779">
      <c r="B13" s="1177" t="inlineStr">
        <is>
          <t xml:space="preserve">VENCIMIENTO DE PASIVOS SIN DESCONTAR (NIC 32) </t>
        </is>
      </c>
      <c r="C13" s="90" t="n"/>
      <c r="D13" s="90" t="n"/>
      <c r="E13" s="90" t="n"/>
    </row>
    <row r="14" hidden="1" outlineLevel="1" ht="24" customHeight="1" s="779">
      <c r="B14" s="99" t="inlineStr">
        <is>
          <t>Detalle al 30/06/2026</t>
        </is>
      </c>
      <c r="C14" s="1173" t="inlineStr">
        <is>
          <t>90 días</t>
        </is>
      </c>
      <c r="D14" s="1173" t="inlineStr">
        <is>
          <t>90 días a 1 años</t>
        </is>
      </c>
      <c r="E14" s="1174" t="inlineStr">
        <is>
          <t>Total Corriente</t>
        </is>
      </c>
      <c r="F14" s="159" t="inlineStr">
        <is>
          <t>2 a 3 años</t>
        </is>
      </c>
      <c r="G14" s="159" t="inlineStr">
        <is>
          <t>4 a 7 años</t>
        </is>
      </c>
      <c r="H14" s="176" t="inlineStr">
        <is>
          <t>Total No Corriente</t>
        </is>
      </c>
    </row>
    <row r="15" hidden="1" outlineLevel="1" s="779">
      <c r="B15" s="172" t="n"/>
      <c r="C15" s="95" t="inlineStr">
        <is>
          <t>M$</t>
        </is>
      </c>
      <c r="D15" s="95" t="inlineStr">
        <is>
          <t>M$</t>
        </is>
      </c>
      <c r="E15" s="95" t="inlineStr">
        <is>
          <t>M$</t>
        </is>
      </c>
      <c r="F15" s="95" t="inlineStr">
        <is>
          <t>M$</t>
        </is>
      </c>
      <c r="G15" s="95" t="inlineStr">
        <is>
          <t>M$</t>
        </is>
      </c>
      <c r="H15" s="95" t="inlineStr">
        <is>
          <t>M$</t>
        </is>
      </c>
    </row>
    <row r="16" hidden="1" outlineLevel="1" s="779">
      <c r="B16" s="578" t="inlineStr">
        <is>
          <t xml:space="preserve">Préstamos bancarios </t>
        </is>
      </c>
      <c r="C16" s="941" t="n"/>
      <c r="D16" s="941" t="n"/>
      <c r="E16" s="941">
        <f>SUM(C37:D37)</f>
        <v/>
      </c>
      <c r="F16" s="941" t="n"/>
      <c r="G16" s="941" t="n"/>
      <c r="H16" s="941">
        <f>SUM(F37:G37)</f>
        <v/>
      </c>
    </row>
    <row r="17" hidden="1" outlineLevel="1" s="779">
      <c r="B17" s="578" t="inlineStr">
        <is>
          <t>Leasings financieros</t>
        </is>
      </c>
      <c r="C17" s="941" t="n"/>
      <c r="D17" s="941" t="n"/>
      <c r="E17" s="941">
        <f>SUM(C38:D38)</f>
        <v/>
      </c>
      <c r="F17" s="941" t="n"/>
      <c r="G17" s="941" t="n"/>
      <c r="H17" s="941">
        <f>SUM(F38:G38)</f>
        <v/>
      </c>
    </row>
    <row r="18" hidden="1" outlineLevel="1" ht="22.8" customHeight="1" s="779">
      <c r="B18" s="578" t="inlineStr">
        <is>
          <t>Otros acreedores financieros</t>
        </is>
      </c>
      <c r="C18" s="941" t="n"/>
      <c r="D18" s="941" t="n"/>
      <c r="E18" s="941">
        <f>SUM(C39:D39)</f>
        <v/>
      </c>
      <c r="F18" s="941" t="n"/>
      <c r="G18" s="941" t="n"/>
      <c r="H18" s="941">
        <f>SUM(F39:G39)</f>
        <v/>
      </c>
    </row>
    <row r="19" hidden="1" outlineLevel="1" ht="15" customHeight="1" s="779" thickBot="1">
      <c r="B19" s="578" t="inlineStr">
        <is>
          <t>Instrumentos de cobertura</t>
        </is>
      </c>
      <c r="C19" s="942" t="n"/>
      <c r="D19" s="942" t="n"/>
      <c r="E19" s="942">
        <f>SUM(C40:D40)</f>
        <v/>
      </c>
      <c r="F19" s="942" t="n"/>
      <c r="G19" s="942" t="n"/>
      <c r="H19" s="942">
        <f>SUM(F40:G40)</f>
        <v/>
      </c>
    </row>
    <row r="20" hidden="1" outlineLevel="1" ht="15" customHeight="1" s="779" thickBot="1">
      <c r="B20" s="578" t="inlineStr">
        <is>
          <t xml:space="preserve">Total </t>
        </is>
      </c>
      <c r="C20" s="940">
        <f>SUM(C37:C40)</f>
        <v/>
      </c>
      <c r="D20" s="940">
        <f>SUM(D37:D40)</f>
        <v/>
      </c>
      <c r="E20" s="940">
        <f>SUM(E37:E40)</f>
        <v/>
      </c>
      <c r="F20" s="940">
        <f>SUM(F37:F40)</f>
        <v/>
      </c>
      <c r="G20" s="940">
        <f>SUM(G37:G40)</f>
        <v/>
      </c>
      <c r="H20" s="940">
        <f>SUM(H37:H40)</f>
        <v/>
      </c>
    </row>
    <row r="21" hidden="1" outlineLevel="1" s="779"/>
    <row r="22" hidden="1" outlineLevel="1" s="779"/>
    <row r="23" hidden="1" outlineLevel="1" s="779">
      <c r="B23" s="99" t="inlineStr">
        <is>
          <t>Detalle al 31/12/2026</t>
        </is>
      </c>
      <c r="C23" s="1173" t="inlineStr">
        <is>
          <t>90 días</t>
        </is>
      </c>
      <c r="D23" s="1173" t="inlineStr">
        <is>
          <t>90 días a 1 años</t>
        </is>
      </c>
      <c r="E23" s="1174" t="inlineStr">
        <is>
          <t>Total Corriente</t>
        </is>
      </c>
      <c r="F23" s="159" t="inlineStr">
        <is>
          <t>2 a 3 años</t>
        </is>
      </c>
      <c r="G23" s="159" t="inlineStr">
        <is>
          <t>4 a 7 años</t>
        </is>
      </c>
      <c r="H23" s="176" t="inlineStr">
        <is>
          <t>Total No Corriente</t>
        </is>
      </c>
    </row>
    <row r="24" hidden="1" outlineLevel="1" ht="24" customHeight="1" s="779">
      <c r="B24" s="172" t="n"/>
      <c r="C24" s="95" t="inlineStr">
        <is>
          <t>M$</t>
        </is>
      </c>
      <c r="D24" s="95" t="inlineStr">
        <is>
          <t>M$</t>
        </is>
      </c>
      <c r="E24" s="95" t="inlineStr">
        <is>
          <t>M$</t>
        </is>
      </c>
      <c r="F24" s="95" t="inlineStr">
        <is>
          <t>M$</t>
        </is>
      </c>
      <c r="G24" s="95" t="inlineStr">
        <is>
          <t>M$</t>
        </is>
      </c>
      <c r="H24" s="95" t="inlineStr">
        <is>
          <t>M$</t>
        </is>
      </c>
    </row>
    <row r="25" hidden="1" outlineLevel="1" s="779">
      <c r="B25" s="578" t="inlineStr">
        <is>
          <t xml:space="preserve">Préstamos bancarios </t>
        </is>
      </c>
      <c r="C25" s="941" t="n"/>
      <c r="D25" s="941" t="n"/>
      <c r="E25" s="941">
        <f>SUM(C46:D46)</f>
        <v/>
      </c>
      <c r="F25" s="941" t="n"/>
      <c r="G25" s="941" t="n"/>
      <c r="H25" s="941">
        <f>SUM(F46:G46)</f>
        <v/>
      </c>
    </row>
    <row r="26" hidden="1" outlineLevel="1" s="779">
      <c r="B26" s="578" t="inlineStr">
        <is>
          <t>Leasings financieros</t>
        </is>
      </c>
      <c r="C26" s="941" t="n"/>
      <c r="D26" s="941" t="n"/>
      <c r="E26" s="941">
        <f>SUM(C47:D47)</f>
        <v/>
      </c>
      <c r="F26" s="941" t="n"/>
      <c r="G26" s="941" t="n"/>
      <c r="H26" s="941">
        <f>SUM(F47:G47)</f>
        <v/>
      </c>
    </row>
    <row r="27" hidden="1" outlineLevel="1" s="779">
      <c r="B27" s="578" t="inlineStr">
        <is>
          <t>Otros acreedores financieros</t>
        </is>
      </c>
      <c r="C27" s="941" t="n"/>
      <c r="D27" s="941" t="n"/>
      <c r="E27" s="941">
        <f>SUM(C48:D48)</f>
        <v/>
      </c>
      <c r="F27" s="941" t="n"/>
      <c r="G27" s="941" t="n"/>
      <c r="H27" s="941">
        <f>SUM(F48:G48)</f>
        <v/>
      </c>
    </row>
    <row r="28" hidden="1" outlineLevel="1" ht="22.8" customHeight="1" s="779">
      <c r="B28" s="578" t="inlineStr">
        <is>
          <t>Instrumentos de cobertura</t>
        </is>
      </c>
      <c r="C28" s="942" t="n"/>
      <c r="D28" s="942" t="n"/>
      <c r="E28" s="942">
        <f>SUM(C49:D49)</f>
        <v/>
      </c>
      <c r="F28" s="942" t="n"/>
      <c r="G28" s="942" t="n"/>
      <c r="H28" s="942">
        <f>SUM(F49:G49)</f>
        <v/>
      </c>
    </row>
    <row r="29" hidden="1" outlineLevel="1" s="779">
      <c r="B29" s="578" t="inlineStr">
        <is>
          <t xml:space="preserve">Total </t>
        </is>
      </c>
      <c r="C29" s="940">
        <f>SUM(C46:C49)</f>
        <v/>
      </c>
      <c r="D29" s="940">
        <f>SUM(D46:D49)</f>
        <v/>
      </c>
      <c r="E29" s="940">
        <f>SUM(E46:E49)</f>
        <v/>
      </c>
      <c r="F29" s="940">
        <f>SUM(F46:F49)</f>
        <v/>
      </c>
      <c r="G29" s="940">
        <f>SUM(G46:G49)</f>
        <v/>
      </c>
      <c r="H29" s="940">
        <f>SUM(H46:H49)</f>
        <v/>
      </c>
    </row>
    <row r="30" hidden="1" outlineLevel="1" ht="15" customHeight="1" s="779" thickBot="1"/>
    <row r="31" hidden="1" outlineLevel="1" s="779"/>
    <row r="32" collapsed="1" s="779"/>
    <row r="33"/>
    <row r="34">
      <c r="B34" s="1176" t="inlineStr">
        <is>
          <t>CAMBIOS EN PASIVO FINANCIERO 2026</t>
        </is>
      </c>
      <c r="C34" s="81" t="n"/>
      <c r="D34" s="81" t="n"/>
      <c r="J34" s="180" t="n"/>
    </row>
    <row r="35" ht="24" customHeight="1" s="779">
      <c r="B35" s="177" t="n"/>
      <c r="C35" s="179" t="n"/>
      <c r="D35" s="179" t="n"/>
      <c r="F35" s="179" t="n"/>
      <c r="G35" s="179" t="n"/>
      <c r="H35" s="179" t="n"/>
      <c r="I35" s="797" t="n"/>
      <c r="J35" s="797" t="n"/>
      <c r="K35" s="179" t="n"/>
    </row>
    <row r="36">
      <c r="B36" s="795" t="inlineStr">
        <is>
          <t>Tipo</t>
        </is>
      </c>
      <c r="C36" s="1175" t="inlineStr">
        <is>
          <t>Saldo inicial al 01/01/2026</t>
        </is>
      </c>
      <c r="D36" s="1175" t="inlineStr">
        <is>
          <t>Nuevos Créditos</t>
        </is>
      </c>
      <c r="E36" s="1175" t="inlineStr">
        <is>
          <t>Mark to Market</t>
        </is>
      </c>
      <c r="F36" s="197" t="inlineStr">
        <is>
          <t>Interés Devengado</t>
        </is>
      </c>
      <c r="G36" s="795" t="inlineStr">
        <is>
          <t>Otros</t>
        </is>
      </c>
      <c r="H36" s="177" t="inlineStr">
        <is>
          <t>Reajuste</t>
        </is>
      </c>
      <c r="I36" s="197" t="inlineStr">
        <is>
          <t>Capital</t>
        </is>
      </c>
      <c r="J36" s="177" t="inlineStr">
        <is>
          <t>Intereses (1)</t>
        </is>
      </c>
      <c r="K36" s="177" t="inlineStr">
        <is>
          <t>Saldo final al 31/12/2026</t>
        </is>
      </c>
    </row>
    <row r="37">
      <c r="C37" s="178" t="inlineStr">
        <is>
          <t>M$</t>
        </is>
      </c>
      <c r="D37" s="178" t="inlineStr">
        <is>
          <t>M$</t>
        </is>
      </c>
      <c r="E37" s="178" t="inlineStr">
        <is>
          <t>M$</t>
        </is>
      </c>
      <c r="F37" s="178" t="inlineStr">
        <is>
          <t>M$</t>
        </is>
      </c>
      <c r="G37" s="178" t="inlineStr">
        <is>
          <t>M$</t>
        </is>
      </c>
      <c r="H37" s="178" t="inlineStr">
        <is>
          <t>M$</t>
        </is>
      </c>
      <c r="I37" s="178" t="inlineStr">
        <is>
          <t>M$</t>
        </is>
      </c>
      <c r="J37" s="178" t="inlineStr">
        <is>
          <t>M$</t>
        </is>
      </c>
      <c r="K37" s="178" t="inlineStr">
        <is>
          <t>M$</t>
        </is>
      </c>
    </row>
    <row r="38"/>
    <row r="39" ht="22.8" customHeight="1" s="779">
      <c r="B39" s="186" t="inlineStr">
        <is>
          <t>Préstamos bancarios</t>
        </is>
      </c>
      <c r="C39" s="943" t="n">
        <v>0</v>
      </c>
      <c r="D39" s="943" t="n">
        <v>0</v>
      </c>
      <c r="E39" s="943" t="n">
        <v>0</v>
      </c>
      <c r="F39" s="943" t="n">
        <v>0</v>
      </c>
      <c r="G39" s="943" t="n">
        <v>0</v>
      </c>
      <c r="H39" s="943" t="n">
        <v>0</v>
      </c>
      <c r="I39" s="943" t="n">
        <v>0</v>
      </c>
      <c r="J39" s="943" t="n">
        <v>0</v>
      </c>
      <c r="K39" s="943">
        <f>SUM(C60:J60)</f>
        <v/>
      </c>
    </row>
    <row r="40">
      <c r="B40" s="186" t="inlineStr">
        <is>
          <t>Leasings financieros</t>
        </is>
      </c>
      <c r="C40" s="943" t="n">
        <v>0</v>
      </c>
      <c r="D40" s="943" t="n">
        <v>0</v>
      </c>
      <c r="E40" s="943" t="n">
        <v>0</v>
      </c>
      <c r="F40" s="943" t="n">
        <v>0</v>
      </c>
      <c r="G40" s="943" t="n">
        <v>0</v>
      </c>
      <c r="H40" s="943" t="n">
        <v>0</v>
      </c>
      <c r="I40" s="943" t="n">
        <v>0</v>
      </c>
      <c r="J40" s="943" t="n">
        <v>0</v>
      </c>
      <c r="K40" s="943">
        <f>SUM(C61:J61)</f>
        <v/>
      </c>
    </row>
    <row r="41" ht="15" customHeight="1" s="779" thickBot="1">
      <c r="B41" s="186" t="inlineStr">
        <is>
          <t>Otros acreedores financieros</t>
        </is>
      </c>
      <c r="C41" s="943" t="n">
        <v>0</v>
      </c>
      <c r="D41" s="943" t="n">
        <v>0</v>
      </c>
      <c r="E41" s="943" t="n">
        <v>0</v>
      </c>
      <c r="F41" s="943" t="n">
        <v>0</v>
      </c>
      <c r="G41" s="943" t="n">
        <v>0</v>
      </c>
      <c r="H41" s="943" t="n">
        <v>0</v>
      </c>
      <c r="I41" s="943" t="n">
        <v>0</v>
      </c>
      <c r="J41" s="943" t="n">
        <v>0</v>
      </c>
      <c r="K41" s="943">
        <f>SUM(C62:J62)</f>
        <v/>
      </c>
    </row>
    <row r="42">
      <c r="B42" s="186" t="inlineStr">
        <is>
          <t>Instrumentos de cobertura</t>
        </is>
      </c>
      <c r="C42" s="943" t="n">
        <v>0</v>
      </c>
      <c r="D42" s="943" t="n">
        <v>0</v>
      </c>
      <c r="E42" s="943" t="n">
        <v>0</v>
      </c>
      <c r="F42" s="943" t="n">
        <v>0</v>
      </c>
      <c r="G42" s="943" t="n">
        <v>0</v>
      </c>
      <c r="H42" s="943" t="n">
        <v>0</v>
      </c>
      <c r="I42" s="943" t="n">
        <v>0</v>
      </c>
      <c r="J42" s="943" t="n">
        <v>0</v>
      </c>
      <c r="K42" s="943">
        <f>SUM(C63:J63)</f>
        <v/>
      </c>
    </row>
    <row r="43">
      <c r="B43" s="186" t="inlineStr">
        <is>
          <t>Total Otros Pasivos Financieros</t>
        </is>
      </c>
      <c r="C43" s="944">
        <f>SUM(C60:C63)</f>
        <v/>
      </c>
      <c r="D43" s="944">
        <f>SUM(D60:D63)</f>
        <v/>
      </c>
      <c r="E43" s="944">
        <f>SUM(E60:E63)</f>
        <v/>
      </c>
      <c r="F43" s="944">
        <f>SUM(F60:F63)</f>
        <v/>
      </c>
      <c r="G43" s="944">
        <f>SUM(G60:G63)</f>
        <v/>
      </c>
      <c r="H43" s="944">
        <f>SUM(H60:H63)</f>
        <v/>
      </c>
      <c r="I43" s="944">
        <f>SUM(I60:I63)</f>
        <v/>
      </c>
      <c r="J43" s="944">
        <f>SUM(J60:J63)</f>
        <v/>
      </c>
      <c r="K43" s="944">
        <f>SUM(K60:K63)</f>
        <v/>
      </c>
    </row>
    <row r="44" ht="24" customHeight="1" s="779">
      <c r="B44" s="505" t="n"/>
      <c r="C44" s="945" t="n"/>
      <c r="I44" s="458" t="n"/>
      <c r="J44" s="458" t="n"/>
      <c r="K44" s="946" t="n"/>
      <c r="M44" s="458" t="n"/>
      <c r="N44" s="458" t="n"/>
      <c r="O44" s="458" t="n"/>
    </row>
    <row r="45"/>
    <row r="46">
      <c r="B46" s="1176" t="inlineStr">
        <is>
          <t>CAMBIOS EN PASIVO FINANCIERO 2025</t>
        </is>
      </c>
      <c r="C46" s="81" t="n"/>
      <c r="D46" s="81" t="n"/>
      <c r="I46" s="180" t="n"/>
    </row>
    <row r="47">
      <c r="B47" s="177" t="n"/>
      <c r="C47" s="179" t="n"/>
      <c r="D47" s="179" t="n"/>
      <c r="F47" s="179" t="n"/>
      <c r="G47" s="179" t="n"/>
      <c r="H47" s="179" t="n"/>
      <c r="K47" s="179" t="n"/>
    </row>
    <row r="48">
      <c r="B48" s="177" t="n"/>
      <c r="C48" s="179" t="n"/>
      <c r="D48" s="179" t="n"/>
      <c r="F48" s="179" t="n"/>
      <c r="G48" s="179" t="n"/>
      <c r="H48" s="179" t="n"/>
      <c r="K48" s="179" t="n"/>
    </row>
    <row r="49">
      <c r="B49" s="795" t="inlineStr">
        <is>
          <t>Tipo</t>
        </is>
      </c>
      <c r="C49" s="1175" t="inlineStr">
        <is>
          <t>Saldo inicial al 01/01/2025</t>
        </is>
      </c>
      <c r="D49" s="1175" t="inlineStr">
        <is>
          <t>Nuevos Créditos</t>
        </is>
      </c>
      <c r="E49" s="1175" t="inlineStr">
        <is>
          <t>Mark to Market</t>
        </is>
      </c>
      <c r="F49" s="197" t="inlineStr">
        <is>
          <t>Interés Devengado</t>
        </is>
      </c>
      <c r="G49" s="795" t="inlineStr">
        <is>
          <t>Otros</t>
        </is>
      </c>
      <c r="H49" s="177" t="inlineStr">
        <is>
          <t>Reajuste</t>
        </is>
      </c>
      <c r="I49" s="197" t="inlineStr">
        <is>
          <t>Capital</t>
        </is>
      </c>
      <c r="J49" s="177" t="inlineStr">
        <is>
          <t>Intereses (1)</t>
        </is>
      </c>
      <c r="K49" s="177" t="inlineStr">
        <is>
          <t>Saldo final al 31/12/2025</t>
        </is>
      </c>
    </row>
    <row r="50" ht="15" customHeight="1" s="779" thickBot="1">
      <c r="C50" s="178" t="inlineStr">
        <is>
          <t>M$</t>
        </is>
      </c>
      <c r="D50" s="178" t="inlineStr">
        <is>
          <t>M$</t>
        </is>
      </c>
      <c r="E50" s="178" t="inlineStr">
        <is>
          <t>M$</t>
        </is>
      </c>
      <c r="F50" s="178" t="inlineStr">
        <is>
          <t>M$</t>
        </is>
      </c>
      <c r="G50" s="178" t="inlineStr">
        <is>
          <t>M$</t>
        </is>
      </c>
      <c r="H50" s="178" t="inlineStr">
        <is>
          <t>M$</t>
        </is>
      </c>
      <c r="I50" s="178" t="inlineStr">
        <is>
          <t>M$</t>
        </is>
      </c>
      <c r="J50" s="178" t="inlineStr">
        <is>
          <t>M$</t>
        </is>
      </c>
      <c r="K50" s="178" t="inlineStr">
        <is>
          <t>M$</t>
        </is>
      </c>
    </row>
    <row r="51">
      <c r="C51" s="458" t="n"/>
      <c r="D51" s="458" t="n"/>
      <c r="E51" s="458" t="n"/>
      <c r="F51" s="458" t="n"/>
      <c r="G51" s="458" t="n"/>
      <c r="H51" s="458" t="n"/>
      <c r="I51" s="458" t="n"/>
      <c r="J51" s="458" t="n"/>
    </row>
    <row r="52">
      <c r="B52" s="186" t="inlineStr">
        <is>
          <t>Préstamos bancarios</t>
        </is>
      </c>
      <c r="C52" s="943" t="n"/>
      <c r="D52" s="943" t="n"/>
      <c r="E52" s="943" t="n"/>
      <c r="F52" s="943" t="n"/>
      <c r="G52" s="943" t="n"/>
      <c r="H52" s="943" t="n"/>
      <c r="I52" s="943" t="n"/>
      <c r="J52" s="943" t="n"/>
      <c r="K52" s="851">
        <f>SUM(C73:J73)</f>
        <v/>
      </c>
    </row>
    <row r="53">
      <c r="B53" s="186" t="inlineStr">
        <is>
          <t>Leasings financieros</t>
        </is>
      </c>
      <c r="C53" s="943" t="n"/>
      <c r="D53" s="943" t="n"/>
      <c r="E53" s="943" t="n"/>
      <c r="F53" s="943" t="n"/>
      <c r="G53" s="943" t="n"/>
      <c r="H53" s="943" t="n"/>
      <c r="I53" s="943" t="n"/>
      <c r="J53" s="943" t="n"/>
      <c r="K53" s="851">
        <f>SUM(C74:J74)</f>
        <v/>
      </c>
    </row>
    <row r="54" ht="23.4" customHeight="1" s="779">
      <c r="B54" s="186" t="inlineStr">
        <is>
          <t>Otros acreedores financieros</t>
        </is>
      </c>
      <c r="C54" s="943" t="n"/>
      <c r="D54" s="943" t="n"/>
      <c r="E54" s="943" t="n"/>
      <c r="F54" s="943" t="n"/>
      <c r="G54" s="943" t="n"/>
      <c r="H54" s="943" t="n"/>
      <c r="I54" s="943" t="n"/>
      <c r="J54" s="943" t="n"/>
      <c r="K54" s="851">
        <f>SUM(C75:J75)</f>
        <v/>
      </c>
    </row>
    <row r="55" outlineLevel="1" s="779">
      <c r="B55" s="186" t="inlineStr">
        <is>
          <t>Instrumentos de cobertura</t>
        </is>
      </c>
      <c r="C55" s="947" t="n"/>
      <c r="D55" s="943" t="n"/>
      <c r="E55" s="943" t="n"/>
      <c r="F55" s="943" t="n"/>
      <c r="G55" s="943" t="n"/>
      <c r="H55" s="943" t="n"/>
      <c r="I55" s="943" t="n"/>
      <c r="J55" s="943" t="n"/>
      <c r="K55" s="851">
        <f>SUM(C76:J76)</f>
        <v/>
      </c>
    </row>
    <row r="56" outlineLevel="1" s="779">
      <c r="B56" s="186" t="inlineStr">
        <is>
          <t>Total Otros Pasivos Financieros</t>
        </is>
      </c>
      <c r="C56" s="944">
        <f>SUM(C73:C76)</f>
        <v/>
      </c>
      <c r="D56" s="944">
        <f>SUM(D73:D76)</f>
        <v/>
      </c>
      <c r="E56" s="944">
        <f>SUM(E73:E76)</f>
        <v/>
      </c>
      <c r="F56" s="944">
        <f>SUM(F73:F76)</f>
        <v/>
      </c>
      <c r="G56" s="944">
        <f>SUM(G73:G76)</f>
        <v/>
      </c>
      <c r="H56" s="944">
        <f>SUM(H73:H76)</f>
        <v/>
      </c>
      <c r="I56" s="944">
        <f>SUM(I73:I76)</f>
        <v/>
      </c>
      <c r="J56" s="944">
        <f>SUM(J73:J76)</f>
        <v/>
      </c>
      <c r="K56" s="944">
        <f>SUM(K73:K76)</f>
        <v/>
      </c>
    </row>
    <row r="57" outlineLevel="1" ht="20.4" customHeight="1" s="779">
      <c r="B57" s="505" t="n"/>
      <c r="C57" s="948" t="n"/>
      <c r="K57" s="946" t="n"/>
    </row>
    <row r="58" outlineLevel="1" s="779">
      <c r="C58" s="949" t="n"/>
      <c r="F58" s="853" t="n"/>
    </row>
    <row r="59" outlineLevel="1" s="779">
      <c r="C59" s="949" t="n"/>
    </row>
    <row r="60" outlineLevel="1" s="779"/>
    <row r="61" outlineLevel="1" s="779">
      <c r="C61" s="853" t="n"/>
    </row>
    <row r="62" outlineLevel="1" s="779"/>
    <row r="63" outlineLevel="1" ht="15" customHeight="1" s="779" thickBot="1">
      <c r="B63" s="1176" t="inlineStr">
        <is>
          <t>DETALLE LEASING FINANCIERO 2026</t>
        </is>
      </c>
      <c r="C63" s="81" t="n"/>
    </row>
    <row r="64" outlineLevel="1" ht="21" customHeight="1" s="779" thickBot="1">
      <c r="K64" s="786" t="n"/>
    </row>
    <row r="65" outlineLevel="1" s="779">
      <c r="B65" s="181" t="n"/>
      <c r="C65" s="191" t="n"/>
      <c r="D65" s="191" t="n"/>
      <c r="E65" s="191" t="n"/>
      <c r="F65" s="191" t="n"/>
      <c r="G65" s="796" t="inlineStr">
        <is>
          <t>31.12.2026</t>
        </is>
      </c>
      <c r="H65" s="797" t="n"/>
      <c r="I65" s="796" t="inlineStr">
        <is>
          <t>31.12.2025</t>
        </is>
      </c>
      <c r="J65" s="797" t="n"/>
      <c r="K65" s="799" t="n"/>
    </row>
    <row r="66" outlineLevel="1" s="779">
      <c r="B66" s="183" t="inlineStr">
        <is>
          <t>Institución</t>
        </is>
      </c>
      <c r="C66" s="1178" t="inlineStr">
        <is>
          <t>Moneda</t>
        </is>
      </c>
      <c r="D66" s="1178" t="inlineStr">
        <is>
          <t>Vencimiento</t>
        </is>
      </c>
      <c r="E66" s="1178" t="inlineStr">
        <is>
          <t>Número de operación</t>
        </is>
      </c>
      <c r="F66" s="184" t="inlineStr">
        <is>
          <t>Tasa interés anual</t>
        </is>
      </c>
      <c r="G66" s="184" t="inlineStr">
        <is>
          <t>Corriente</t>
        </is>
      </c>
      <c r="H66" s="184" t="inlineStr">
        <is>
          <t>No Corriente</t>
        </is>
      </c>
      <c r="I66" s="184" t="inlineStr">
        <is>
          <t>Corriente</t>
        </is>
      </c>
      <c r="J66" s="184" t="inlineStr">
        <is>
          <t>No Corriente</t>
        </is>
      </c>
      <c r="K66" s="185" t="n"/>
      <c r="L66" s="185" t="n"/>
    </row>
    <row r="67" outlineLevel="1" s="779">
      <c r="B67" s="182" t="n"/>
      <c r="C67" s="185" t="n"/>
      <c r="D67" s="185" t="n"/>
      <c r="E67" s="185" t="n"/>
      <c r="F67" s="185" t="n"/>
      <c r="G67" s="185" t="inlineStr">
        <is>
          <t>M$</t>
        </is>
      </c>
      <c r="H67" s="185" t="inlineStr">
        <is>
          <t>M$</t>
        </is>
      </c>
      <c r="I67" s="185" t="inlineStr">
        <is>
          <t>M$</t>
        </is>
      </c>
      <c r="J67" s="185" t="inlineStr">
        <is>
          <t>M$</t>
        </is>
      </c>
      <c r="K67" s="185" t="n"/>
      <c r="L67" s="185" t="n"/>
    </row>
    <row r="68" outlineLevel="1" s="779">
      <c r="B68" s="186" t="inlineStr">
        <is>
          <t>Banco Crédito e Inversiones</t>
        </is>
      </c>
      <c r="C68" s="1179" t="inlineStr">
        <is>
          <t>UF</t>
        </is>
      </c>
      <c r="D68" s="1180" t="inlineStr">
        <is>
          <t>15/5/2025</t>
        </is>
      </c>
      <c r="E68" s="501" t="n">
        <v>111943</v>
      </c>
      <c r="F68" s="501" t="inlineStr">
        <is>
          <t>5,92%</t>
        </is>
      </c>
      <c r="G68" s="501" t="n"/>
      <c r="H68" s="501" t="n"/>
      <c r="I68" s="950" t="n"/>
      <c r="J68" s="950" t="n"/>
      <c r="K68" s="951" t="n"/>
      <c r="L68" s="951" t="n"/>
    </row>
    <row r="69" outlineLevel="1" s="779">
      <c r="B69" s="186" t="inlineStr">
        <is>
          <t>Banco Crédito e Inversiones</t>
        </is>
      </c>
      <c r="C69" s="1179" t="inlineStr">
        <is>
          <t>CLP$</t>
        </is>
      </c>
      <c r="D69" s="1181" t="n">
        <v>48218</v>
      </c>
      <c r="E69" s="501" t="n">
        <v>125780</v>
      </c>
      <c r="F69" s="654" t="n">
        <v>0.08450000000000001</v>
      </c>
      <c r="G69" s="501" t="n"/>
      <c r="H69" s="501" t="n"/>
      <c r="I69" s="950" t="n"/>
      <c r="J69" s="950" t="n"/>
      <c r="K69" s="951" t="n"/>
      <c r="L69" s="951" t="n"/>
    </row>
    <row r="70" outlineLevel="1" ht="20.4" customHeight="1" s="779">
      <c r="B70" s="186" t="inlineStr">
        <is>
          <t>Banco Crédito e Inversiones</t>
        </is>
      </c>
      <c r="C70" s="1179" t="inlineStr">
        <is>
          <t>UF</t>
        </is>
      </c>
      <c r="D70" s="1181" t="n">
        <v>45792</v>
      </c>
      <c r="E70" s="503" t="n">
        <v>111943</v>
      </c>
      <c r="F70" s="504" t="n">
        <v>0.08450000000000001</v>
      </c>
      <c r="G70" s="503" t="n"/>
      <c r="H70" s="503" t="n"/>
      <c r="I70" s="925" t="n"/>
      <c r="J70" s="925" t="n"/>
      <c r="K70" s="951" t="n"/>
      <c r="L70" s="951" t="n"/>
    </row>
    <row r="71" outlineLevel="1" s="779">
      <c r="B71" s="802" t="inlineStr">
        <is>
          <t>Sub-Total arriendos financieros</t>
        </is>
      </c>
      <c r="C71" s="774" t="n"/>
      <c r="D71" s="774" t="n"/>
      <c r="E71" s="185" t="n"/>
      <c r="F71" s="185" t="n"/>
      <c r="G71" s="952">
        <f>SUM(G89:G91)</f>
        <v/>
      </c>
      <c r="H71" s="952">
        <f>SUM(H89:H91)</f>
        <v/>
      </c>
      <c r="I71" s="952">
        <f>SUM(I89:I91)</f>
        <v/>
      </c>
      <c r="J71" s="952">
        <f>SUM(J89:J91)</f>
        <v/>
      </c>
      <c r="K71" s="952" t="n"/>
      <c r="L71" s="952" t="n"/>
    </row>
    <row r="72" outlineLevel="1" s="779">
      <c r="B72" s="1182" t="inlineStr">
        <is>
          <t>Intereses diferidos arriendos financieros</t>
        </is>
      </c>
      <c r="C72" s="801" t="n"/>
      <c r="D72" s="801" t="n"/>
      <c r="E72" s="188" t="n"/>
      <c r="F72" s="188" t="n"/>
      <c r="G72" s="953" t="n">
        <v>0</v>
      </c>
      <c r="H72" s="953" t="n">
        <v>0</v>
      </c>
      <c r="I72" s="953" t="n">
        <v>0</v>
      </c>
      <c r="J72" s="953" t="n">
        <v>0</v>
      </c>
      <c r="K72" s="954" t="n"/>
      <c r="L72" s="954" t="n"/>
    </row>
    <row r="73" outlineLevel="1" s="779">
      <c r="B73" s="802" t="inlineStr">
        <is>
          <t>Totales arriendos financieros</t>
        </is>
      </c>
      <c r="C73" s="774" t="n"/>
      <c r="D73" s="774" t="n"/>
      <c r="F73" s="185" t="n"/>
      <c r="G73" s="955">
        <f>SUM(G92:G93)</f>
        <v/>
      </c>
      <c r="H73" s="955">
        <f>SUM(H92:H93)</f>
        <v/>
      </c>
      <c r="I73" s="955">
        <f>SUM(I92:I93)</f>
        <v/>
      </c>
      <c r="J73" s="955">
        <f>SUM(J92:J93)</f>
        <v/>
      </c>
      <c r="K73" s="952" t="n"/>
      <c r="L73" s="952" t="n"/>
    </row>
    <row r="74" outlineLevel="1" s="779">
      <c r="D74" s="480" t="n"/>
      <c r="E74" s="480" t="n"/>
      <c r="F74" s="480" t="n"/>
      <c r="G74" s="956" t="n"/>
      <c r="H74" s="956" t="n"/>
      <c r="I74" s="956" t="n"/>
      <c r="J74" s="956" t="n"/>
      <c r="K74" s="956" t="n"/>
      <c r="L74" s="956" t="n"/>
    </row>
    <row r="75" outlineLevel="1" s="779">
      <c r="D75" s="480" t="n"/>
      <c r="E75" s="480" t="n"/>
      <c r="F75" s="480" t="n"/>
      <c r="G75" s="956" t="n"/>
      <c r="H75" s="956" t="n"/>
      <c r="I75" s="956" t="n"/>
      <c r="J75" s="956" t="n"/>
      <c r="K75" s="956" t="n"/>
      <c r="L75" s="956" t="n"/>
    </row>
    <row r="76" outlineLevel="1" ht="15" customHeight="1" s="779" thickBot="1"/>
    <row r="77" outlineLevel="1" ht="21" customHeight="1" s="779" thickBot="1"/>
    <row r="78" outlineLevel="1" s="779">
      <c r="B78" s="1183" t="inlineStr">
        <is>
          <t>DETALLE PRESTAMOS BANCARIOS 2025</t>
        </is>
      </c>
      <c r="C78" s="471" t="n"/>
      <c r="D78" s="471" t="n"/>
      <c r="E78" s="471" t="n"/>
      <c r="F78" s="471" t="n"/>
      <c r="G78" s="471" t="n"/>
      <c r="H78" s="796" t="inlineStr">
        <is>
          <t>30.06.2026</t>
        </is>
      </c>
      <c r="I78" s="797" t="n"/>
      <c r="J78" s="796" t="inlineStr">
        <is>
          <t>31.12.2025</t>
        </is>
      </c>
      <c r="K78" s="797" t="n"/>
    </row>
    <row r="79">
      <c r="B79" s="472" t="inlineStr">
        <is>
          <t>Institución</t>
        </is>
      </c>
      <c r="C79" s="1184" t="inlineStr">
        <is>
          <t>Moneda</t>
        </is>
      </c>
      <c r="D79" s="1184" t="inlineStr">
        <is>
          <t>Vencimiento</t>
        </is>
      </c>
      <c r="E79" s="1185" t="inlineStr">
        <is>
          <t>Tipo de operación</t>
        </is>
      </c>
      <c r="F79" s="474" t="inlineStr">
        <is>
          <t>Tasa interés anual</t>
        </is>
      </c>
      <c r="G79" s="475" t="n"/>
      <c r="H79" s="473" t="inlineStr">
        <is>
          <t>Corriente</t>
        </is>
      </c>
      <c r="I79" s="474" t="inlineStr">
        <is>
          <t>No corriente</t>
        </is>
      </c>
      <c r="J79" s="473" t="inlineStr">
        <is>
          <t>Corriente</t>
        </is>
      </c>
      <c r="K79" s="474" t="inlineStr">
        <is>
          <t>No corriente</t>
        </is>
      </c>
    </row>
    <row r="80">
      <c r="B80" s="472" t="n"/>
      <c r="C80" s="473" t="n"/>
      <c r="D80" s="473" t="n"/>
      <c r="E80" s="474" t="n"/>
      <c r="F80" s="474" t="n"/>
      <c r="G80" s="475" t="n"/>
      <c r="H80" s="474" t="inlineStr">
        <is>
          <t>M$</t>
        </is>
      </c>
      <c r="I80" s="474" t="inlineStr">
        <is>
          <t>M$</t>
        </is>
      </c>
      <c r="J80" s="474" t="inlineStr">
        <is>
          <t>M$</t>
        </is>
      </c>
      <c r="K80" s="474" t="inlineStr">
        <is>
          <t>M$</t>
        </is>
      </c>
    </row>
    <row r="81" ht="11.4" customFormat="1" customHeight="1" s="213">
      <c r="B81" s="472" t="n"/>
      <c r="C81" s="473" t="n"/>
      <c r="D81" s="473" t="n"/>
      <c r="E81" s="474" t="n"/>
      <c r="F81" s="474" t="n"/>
      <c r="G81" s="475" t="n"/>
      <c r="H81" s="474" t="n"/>
      <c r="I81" s="474" t="n"/>
      <c r="J81" s="474" t="n"/>
      <c r="K81" s="474" t="n"/>
    </row>
    <row r="82">
      <c r="B82" s="1186" t="inlineStr">
        <is>
          <t>Banco de crédito e Inversiones</t>
        </is>
      </c>
      <c r="C82" s="1186" t="inlineStr">
        <is>
          <t>CLP</t>
        </is>
      </c>
      <c r="D82" s="1187" t="n">
        <v>45811</v>
      </c>
      <c r="E82" s="1179" t="inlineStr">
        <is>
          <t>Préstamo</t>
        </is>
      </c>
      <c r="F82" s="639" t="n">
        <v>0.07199999999999999</v>
      </c>
      <c r="G82" s="475" t="n"/>
      <c r="H82" s="950" t="n">
        <v>0</v>
      </c>
      <c r="I82" s="950" t="n">
        <v>0</v>
      </c>
      <c r="J82" s="950" t="n">
        <v>0</v>
      </c>
      <c r="K82" s="950" t="n">
        <v>0</v>
      </c>
    </row>
    <row r="83">
      <c r="B83" s="1186" t="inlineStr">
        <is>
          <t>Banco Internacional</t>
        </is>
      </c>
      <c r="C83" s="1186" t="inlineStr">
        <is>
          <t>CLP</t>
        </is>
      </c>
      <c r="D83" s="1187" t="n">
        <v>46462</v>
      </c>
      <c r="E83" s="1179" t="inlineStr">
        <is>
          <t>Préstamo</t>
        </is>
      </c>
      <c r="F83" s="82" t="inlineStr">
        <is>
          <t>4,35%+ICP</t>
        </is>
      </c>
      <c r="G83" s="475" t="n"/>
      <c r="H83" s="950" t="n">
        <v>0</v>
      </c>
      <c r="I83" s="950" t="n">
        <v>0</v>
      </c>
      <c r="J83" s="950" t="n">
        <v>0</v>
      </c>
      <c r="K83" s="950" t="n">
        <v>0</v>
      </c>
    </row>
    <row r="84">
      <c r="B84" s="1186" t="inlineStr">
        <is>
          <t>Banco Scotiabank Chile</t>
        </is>
      </c>
      <c r="C84" s="1186" t="inlineStr">
        <is>
          <t>CLP</t>
        </is>
      </c>
      <c r="D84" s="1187" t="n">
        <v>46462</v>
      </c>
      <c r="E84" s="1179" t="inlineStr">
        <is>
          <t>Préstamo</t>
        </is>
      </c>
      <c r="F84" s="82" t="inlineStr">
        <is>
          <t>4,35%+ICP</t>
        </is>
      </c>
      <c r="G84" s="475" t="n"/>
      <c r="H84" s="950" t="n">
        <v>0</v>
      </c>
      <c r="I84" s="950" t="n">
        <v>0</v>
      </c>
      <c r="J84" s="950" t="n">
        <v>0</v>
      </c>
      <c r="K84" s="950" t="n">
        <v>0</v>
      </c>
    </row>
    <row r="85">
      <c r="B85" s="1186" t="inlineStr">
        <is>
          <t>Banco Scotiabank Chile</t>
        </is>
      </c>
      <c r="C85" s="1186" t="inlineStr">
        <is>
          <t>CLP</t>
        </is>
      </c>
      <c r="D85" s="1187" t="n">
        <v>46462</v>
      </c>
      <c r="E85" s="1179" t="inlineStr">
        <is>
          <t>Préstamo</t>
        </is>
      </c>
      <c r="F85" s="82" t="inlineStr">
        <is>
          <t>4,35%+ICP</t>
        </is>
      </c>
      <c r="G85" s="182" t="n"/>
      <c r="H85" s="950" t="n">
        <v>0</v>
      </c>
      <c r="I85" s="950" t="n">
        <v>0</v>
      </c>
      <c r="J85" s="950" t="n">
        <v>0</v>
      </c>
      <c r="K85" s="950" t="n">
        <v>0</v>
      </c>
    </row>
    <row r="86">
      <c r="B86" s="1186" t="inlineStr">
        <is>
          <t>Banco Scotiabank Chile</t>
        </is>
      </c>
      <c r="C86" s="1186" t="inlineStr">
        <is>
          <t>CLP</t>
        </is>
      </c>
      <c r="D86" s="1187" t="n">
        <v>46196</v>
      </c>
      <c r="E86" s="1179" t="inlineStr">
        <is>
          <t>Préstamo</t>
        </is>
      </c>
      <c r="F86" s="82" t="n">
        <v>0.078</v>
      </c>
      <c r="G86" s="182" t="n"/>
      <c r="H86" s="950" t="n">
        <v>0</v>
      </c>
      <c r="I86" s="950" t="n">
        <v>0</v>
      </c>
      <c r="J86" s="950" t="n">
        <v>0</v>
      </c>
      <c r="K86" s="950" t="n">
        <v>0</v>
      </c>
    </row>
    <row r="87" ht="20.4" customHeight="1" s="779">
      <c r="B87" s="1186" t="inlineStr">
        <is>
          <t>Banco de Crédito e Inversiones</t>
        </is>
      </c>
      <c r="C87" s="1186" t="inlineStr">
        <is>
          <t>CLP</t>
        </is>
      </c>
      <c r="D87" s="1187" t="n">
        <v>46462</v>
      </c>
      <c r="E87" s="1179" t="inlineStr">
        <is>
          <t>Préstamo</t>
        </is>
      </c>
      <c r="F87" s="82" t="inlineStr">
        <is>
          <t>4,35%+ICP</t>
        </is>
      </c>
      <c r="G87" s="182" t="n"/>
      <c r="H87" s="950" t="n">
        <v>0</v>
      </c>
      <c r="I87" s="950" t="n">
        <v>0</v>
      </c>
      <c r="J87" s="950" t="n">
        <v>0</v>
      </c>
      <c r="K87" s="950" t="n">
        <v>0</v>
      </c>
    </row>
    <row r="88">
      <c r="B88" s="1186" t="inlineStr">
        <is>
          <t>Banco de Crédito e Inversiones</t>
        </is>
      </c>
      <c r="C88" s="1186" t="inlineStr">
        <is>
          <t>CLP</t>
        </is>
      </c>
      <c r="D88" s="1187" t="n">
        <v>46371</v>
      </c>
      <c r="E88" s="1179" t="inlineStr">
        <is>
          <t>Préstamo</t>
        </is>
      </c>
      <c r="F88" s="82" t="n">
        <v>0.09</v>
      </c>
      <c r="G88" s="182" t="n"/>
      <c r="H88" s="950" t="n">
        <v>0</v>
      </c>
      <c r="I88" s="950" t="n">
        <v>0</v>
      </c>
      <c r="J88" s="950" t="n">
        <v>0</v>
      </c>
      <c r="K88" s="950" t="n">
        <v>0</v>
      </c>
    </row>
    <row r="89">
      <c r="B89" s="1186" t="inlineStr">
        <is>
          <t>Banco de Crédito e Inversiones</t>
        </is>
      </c>
      <c r="C89" s="1186" t="inlineStr">
        <is>
          <t>CLP</t>
        </is>
      </c>
      <c r="D89" s="1187" t="n">
        <v>46255</v>
      </c>
      <c r="E89" s="1179" t="inlineStr">
        <is>
          <t>Préstamo</t>
        </is>
      </c>
      <c r="F89" s="82" t="n">
        <v>0.0818</v>
      </c>
      <c r="G89" s="182" t="n"/>
      <c r="H89" s="950" t="n">
        <v>0</v>
      </c>
      <c r="I89" s="950" t="n">
        <v>0</v>
      </c>
      <c r="J89" s="950" t="n">
        <v>0</v>
      </c>
      <c r="K89" s="950" t="n">
        <v>0</v>
      </c>
    </row>
    <row r="90">
      <c r="B90" s="1186" t="inlineStr">
        <is>
          <t>Banco BTG Pactual Chile</t>
        </is>
      </c>
      <c r="C90" s="1186" t="inlineStr">
        <is>
          <t>CLP</t>
        </is>
      </c>
      <c r="D90" s="1187" t="n">
        <v>46462</v>
      </c>
      <c r="E90" s="1179" t="inlineStr">
        <is>
          <t>Préstamo</t>
        </is>
      </c>
      <c r="F90" s="82" t="inlineStr">
        <is>
          <t>4,35%+ICP</t>
        </is>
      </c>
      <c r="G90" s="182" t="n"/>
      <c r="H90" s="950" t="n">
        <v>0</v>
      </c>
      <c r="I90" s="950" t="n">
        <v>0</v>
      </c>
      <c r="J90" s="950" t="n">
        <v>0</v>
      </c>
      <c r="K90" s="950" t="n">
        <v>0</v>
      </c>
    </row>
    <row r="91" ht="15" customHeight="1" s="779" thickBot="1">
      <c r="B91" s="1186" t="inlineStr">
        <is>
          <t>Banco BTG Pactual Chile</t>
        </is>
      </c>
      <c r="C91" s="1186" t="inlineStr">
        <is>
          <t>CLP</t>
        </is>
      </c>
      <c r="D91" s="1187" t="n">
        <v>46462</v>
      </c>
      <c r="E91" s="1179" t="inlineStr">
        <is>
          <t>Préstamo</t>
        </is>
      </c>
      <c r="F91" s="82" t="inlineStr">
        <is>
          <t>4,35%+ICP</t>
        </is>
      </c>
      <c r="G91" s="182" t="n"/>
      <c r="H91" s="950" t="n">
        <v>0</v>
      </c>
      <c r="I91" s="950" t="n">
        <v>0</v>
      </c>
      <c r="J91" s="950" t="n">
        <v>0</v>
      </c>
      <c r="K91" s="950" t="n">
        <v>0</v>
      </c>
    </row>
    <row r="92">
      <c r="B92" s="1186" t="inlineStr">
        <is>
          <t>Banco Goldman Sachs</t>
        </is>
      </c>
      <c r="C92" s="1186" t="inlineStr">
        <is>
          <t>US$</t>
        </is>
      </c>
      <c r="D92" s="1187" t="n">
        <v>46462</v>
      </c>
      <c r="E92" s="1179" t="inlineStr">
        <is>
          <t>Préstamo</t>
        </is>
      </c>
      <c r="F92" s="82" t="inlineStr">
        <is>
          <t>3,95%+TERM SOFR</t>
        </is>
      </c>
      <c r="G92" s="182" t="n"/>
      <c r="H92" s="950" t="n">
        <v>0</v>
      </c>
      <c r="I92" s="950" t="n">
        <v>0</v>
      </c>
      <c r="J92" s="950" t="n">
        <v>0</v>
      </c>
      <c r="K92" s="950" t="n">
        <v>0</v>
      </c>
    </row>
    <row r="93" ht="15" customHeight="1" s="779" thickBot="1">
      <c r="B93" s="1186" t="inlineStr">
        <is>
          <t>Banco Latinoamericano de Comercio Exterior, S.A.</t>
        </is>
      </c>
      <c r="C93" s="1186" t="inlineStr">
        <is>
          <t>US$</t>
        </is>
      </c>
      <c r="D93" s="1187" t="n">
        <v>46462</v>
      </c>
      <c r="E93" s="1179" t="inlineStr">
        <is>
          <t>Préstamo</t>
        </is>
      </c>
      <c r="F93" s="82" t="inlineStr">
        <is>
          <t>3,95%+TERM SOFR</t>
        </is>
      </c>
      <c r="G93" s="182" t="n"/>
      <c r="H93" s="950" t="n">
        <v>0</v>
      </c>
      <c r="I93" s="950" t="n">
        <v>0</v>
      </c>
      <c r="J93" s="950" t="n">
        <v>0</v>
      </c>
      <c r="K93" s="950" t="n">
        <v>0</v>
      </c>
    </row>
    <row r="94" ht="15" customHeight="1" s="779" thickBot="1">
      <c r="B94" s="1186" t="inlineStr">
        <is>
          <t>Banco Latinoamericano de Comercio Exterior, S.A.</t>
        </is>
      </c>
      <c r="C94" s="1186" t="inlineStr">
        <is>
          <t>US$</t>
        </is>
      </c>
      <c r="D94" s="1187" t="n">
        <v>46462</v>
      </c>
      <c r="E94" s="1179" t="inlineStr">
        <is>
          <t>Préstamo</t>
        </is>
      </c>
      <c r="F94" s="82" t="inlineStr">
        <is>
          <t>3,95%+TERM SOFR</t>
        </is>
      </c>
      <c r="G94" s="182" t="n"/>
      <c r="H94" s="950" t="n">
        <v>0</v>
      </c>
      <c r="I94" s="950" t="n">
        <v>0</v>
      </c>
      <c r="J94" s="950" t="n">
        <v>0</v>
      </c>
      <c r="K94" s="950" t="n">
        <v>0</v>
      </c>
    </row>
    <row r="95">
      <c r="B95" s="1186" t="inlineStr">
        <is>
          <t>Banco ING Capital LLC</t>
        </is>
      </c>
      <c r="C95" s="1186" t="inlineStr">
        <is>
          <t>US$</t>
        </is>
      </c>
      <c r="D95" s="1187" t="n">
        <v>46462</v>
      </c>
      <c r="E95" s="1179" t="inlineStr">
        <is>
          <t>Préstamo</t>
        </is>
      </c>
      <c r="F95" s="82" t="inlineStr">
        <is>
          <t>3,95%+TERM SOFR</t>
        </is>
      </c>
      <c r="G95" s="182" t="n"/>
      <c r="H95" s="950" t="n">
        <v>0</v>
      </c>
      <c r="I95" s="950" t="n">
        <v>0</v>
      </c>
      <c r="J95" s="950" t="n">
        <v>0</v>
      </c>
      <c r="K95" s="950" t="n">
        <v>0</v>
      </c>
    </row>
    <row r="96">
      <c r="B96" s="1186" t="inlineStr">
        <is>
          <t>Prival Bank</t>
        </is>
      </c>
      <c r="C96" s="1186" t="inlineStr">
        <is>
          <t>US$</t>
        </is>
      </c>
      <c r="D96" s="1187" t="n">
        <v>46462</v>
      </c>
      <c r="E96" s="1179" t="inlineStr">
        <is>
          <t>Préstamo</t>
        </is>
      </c>
      <c r="F96" s="82" t="inlineStr">
        <is>
          <t>3,95%+TERM SOFR</t>
        </is>
      </c>
      <c r="G96" s="182" t="n"/>
      <c r="H96" s="950" t="n">
        <v>0</v>
      </c>
      <c r="I96" s="950" t="n">
        <v>0</v>
      </c>
      <c r="J96" s="950" t="n">
        <v>0</v>
      </c>
      <c r="K96" s="950" t="n">
        <v>0</v>
      </c>
    </row>
    <row r="97">
      <c r="B97" s="1186" t="inlineStr">
        <is>
          <t>Prival Bank</t>
        </is>
      </c>
      <c r="C97" s="1186" t="inlineStr">
        <is>
          <t>US$</t>
        </is>
      </c>
      <c r="D97" s="1187" t="n">
        <v>46462</v>
      </c>
      <c r="E97" s="1179" t="inlineStr">
        <is>
          <t>Préstamo</t>
        </is>
      </c>
      <c r="F97" s="82" t="inlineStr">
        <is>
          <t>3,95%+TERM SOFR</t>
        </is>
      </c>
      <c r="G97" s="182" t="n"/>
      <c r="H97" s="950" t="n">
        <v>0</v>
      </c>
      <c r="I97" s="950" t="n">
        <v>0</v>
      </c>
      <c r="J97" s="950" t="n">
        <v>0</v>
      </c>
      <c r="K97" s="950" t="n">
        <v>0</v>
      </c>
    </row>
    <row r="98">
      <c r="B98" s="1186" t="inlineStr">
        <is>
          <t>PCOF SPV I LLC</t>
        </is>
      </c>
      <c r="C98" s="1186" t="inlineStr">
        <is>
          <t>US$</t>
        </is>
      </c>
      <c r="D98" s="1187" t="n">
        <v>46462</v>
      </c>
      <c r="E98" s="1179" t="inlineStr">
        <is>
          <t>Préstamo</t>
        </is>
      </c>
      <c r="F98" s="82" t="inlineStr">
        <is>
          <t>3,95%+TERM SOFR</t>
        </is>
      </c>
      <c r="G98" s="182" t="n"/>
      <c r="H98" s="950" t="n">
        <v>0</v>
      </c>
      <c r="I98" s="950" t="n">
        <v>0</v>
      </c>
      <c r="J98" s="950" t="n">
        <v>0</v>
      </c>
      <c r="K98" s="950" t="n">
        <v>0</v>
      </c>
    </row>
    <row r="99">
      <c r="B99" s="1186" t="inlineStr">
        <is>
          <t>PCOF SPV I LLC</t>
        </is>
      </c>
      <c r="C99" s="1186" t="inlineStr">
        <is>
          <t>US$</t>
        </is>
      </c>
      <c r="D99" s="1187" t="n">
        <v>46462</v>
      </c>
      <c r="E99" s="1179" t="inlineStr">
        <is>
          <t>Préstamo</t>
        </is>
      </c>
      <c r="F99" s="82" t="inlineStr">
        <is>
          <t>3,95%+TERM SOFR</t>
        </is>
      </c>
      <c r="G99" s="182" t="n"/>
      <c r="H99" s="950" t="n">
        <v>0</v>
      </c>
      <c r="I99" s="950" t="n">
        <v>0</v>
      </c>
      <c r="J99" s="950" t="n">
        <v>0</v>
      </c>
      <c r="K99" s="950" t="n">
        <v>0</v>
      </c>
    </row>
    <row r="100" ht="34.2" customHeight="1" s="779">
      <c r="B100" s="1186" t="inlineStr">
        <is>
          <t>Metrobank</t>
        </is>
      </c>
      <c r="C100" s="1186" t="inlineStr">
        <is>
          <t>US$</t>
        </is>
      </c>
      <c r="D100" s="1187" t="n">
        <v>46462</v>
      </c>
      <c r="E100" s="1179" t="inlineStr">
        <is>
          <t>Préstamo</t>
        </is>
      </c>
      <c r="F100" s="82" t="inlineStr">
        <is>
          <t>3,95%+TERM SOFR</t>
        </is>
      </c>
      <c r="G100" s="182" t="n"/>
      <c r="H100" s="950" t="n">
        <v>0</v>
      </c>
      <c r="I100" s="950" t="n">
        <v>0</v>
      </c>
      <c r="J100" s="950" t="n">
        <v>0</v>
      </c>
      <c r="K100" s="950" t="n">
        <v>0</v>
      </c>
    </row>
    <row r="101">
      <c r="B101" s="1186" t="inlineStr">
        <is>
          <t>Banco Santander</t>
        </is>
      </c>
      <c r="C101" s="1186" t="inlineStr">
        <is>
          <t>CLP</t>
        </is>
      </c>
      <c r="D101" s="1187" t="n">
        <v>46462</v>
      </c>
      <c r="E101" s="1179" t="inlineStr">
        <is>
          <t>Préstamo</t>
        </is>
      </c>
      <c r="F101" s="82" t="inlineStr">
        <is>
          <t>4,35%+ICP</t>
        </is>
      </c>
      <c r="G101" s="182" t="n"/>
      <c r="H101" s="950" t="n">
        <v>0</v>
      </c>
      <c r="I101" s="950" t="n">
        <v>0</v>
      </c>
      <c r="J101" s="950" t="n">
        <v>0</v>
      </c>
      <c r="K101" s="950" t="n">
        <v>0</v>
      </c>
    </row>
    <row r="102">
      <c r="B102" s="1186" t="inlineStr">
        <is>
          <t>Banco Santander</t>
        </is>
      </c>
      <c r="C102" s="1186" t="inlineStr">
        <is>
          <t>CLP</t>
        </is>
      </c>
      <c r="D102" s="1187" t="n">
        <v>46462</v>
      </c>
      <c r="E102" s="1179" t="inlineStr">
        <is>
          <t>Préstamo</t>
        </is>
      </c>
      <c r="F102" s="82" t="inlineStr">
        <is>
          <t>4,35%+ICP</t>
        </is>
      </c>
      <c r="G102" s="182" t="n"/>
      <c r="H102" s="950" t="n">
        <v>0</v>
      </c>
      <c r="I102" s="950" t="n">
        <v>0</v>
      </c>
      <c r="J102" s="950" t="n">
        <v>0</v>
      </c>
      <c r="K102" s="950" t="n">
        <v>0</v>
      </c>
    </row>
    <row r="103">
      <c r="B103" s="1186" t="inlineStr">
        <is>
          <t>Gastos de Crédito</t>
        </is>
      </c>
      <c r="C103" s="1186" t="inlineStr">
        <is>
          <t>CLP</t>
        </is>
      </c>
      <c r="D103" s="636" t="n"/>
      <c r="E103" s="184" t="n"/>
      <c r="F103" s="637" t="n"/>
      <c r="G103" s="191" t="n"/>
      <c r="H103" s="957" t="n">
        <v>0</v>
      </c>
      <c r="I103" s="957" t="n">
        <v>0</v>
      </c>
      <c r="J103" s="957" t="n">
        <v>0</v>
      </c>
      <c r="K103" s="957" t="n">
        <v>0</v>
      </c>
    </row>
    <row r="104">
      <c r="B104" s="1185" t="inlineStr">
        <is>
          <t>Sub- Total préstamos bancarios</t>
        </is>
      </c>
      <c r="C104" s="474" t="n"/>
      <c r="D104" s="477" t="n"/>
      <c r="E104" s="474" t="n"/>
      <c r="F104" s="477" t="n"/>
      <c r="G104" s="476" t="n"/>
      <c r="H104" s="950">
        <f>SUM(H103:H124)</f>
        <v/>
      </c>
      <c r="I104" s="950">
        <f>SUM(I103:I124)</f>
        <v/>
      </c>
      <c r="J104" s="950">
        <f>SUM(J103:J124)</f>
        <v/>
      </c>
      <c r="K104" s="950">
        <f>SUM(K103:K124)</f>
        <v/>
      </c>
    </row>
    <row r="105">
      <c r="B105" s="1185" t="inlineStr">
        <is>
          <t>Intereses devengados préstamos bancarios</t>
        </is>
      </c>
      <c r="C105" s="474" t="n"/>
      <c r="D105" s="477" t="n"/>
      <c r="E105" s="474" t="n"/>
      <c r="F105" s="477" t="n"/>
      <c r="G105" s="476" t="n"/>
      <c r="H105" s="958" t="n"/>
      <c r="I105" s="959" t="n"/>
      <c r="J105" s="959" t="n"/>
      <c r="K105" s="959" t="n"/>
    </row>
    <row r="106">
      <c r="B106" s="1185" t="inlineStr">
        <is>
          <t>Totales préstamos bancarios</t>
        </is>
      </c>
      <c r="C106" s="474" t="n"/>
      <c r="D106" s="477" t="n"/>
      <c r="E106" s="474" t="n"/>
      <c r="F106" s="477" t="n"/>
      <c r="G106" s="476" t="n"/>
      <c r="H106" s="960">
        <f>SUM(H125:H126)</f>
        <v/>
      </c>
      <c r="I106" s="960">
        <f>SUM(I125:I126)</f>
        <v/>
      </c>
      <c r="J106" s="960">
        <f>SUM(J125:J126)</f>
        <v/>
      </c>
      <c r="K106" s="960">
        <f>SUM(K125:K126)</f>
        <v/>
      </c>
    </row>
    <row r="107">
      <c r="B107" s="212" t="n"/>
      <c r="C107" s="212" t="n"/>
      <c r="D107" s="212" t="n"/>
      <c r="E107" s="212" t="n"/>
      <c r="F107" s="212" t="n"/>
      <c r="G107" s="212" t="n"/>
      <c r="H107" s="212" t="n"/>
      <c r="I107" s="212" t="n"/>
      <c r="J107" s="212" t="n"/>
      <c r="K107" s="212" t="n"/>
    </row>
    <row r="108"/>
    <row r="109"/>
    <row r="110"/>
    <row r="111"/>
    <row r="112">
      <c r="B112" s="1142" t="inlineStr">
        <is>
          <t>Detalle de instrumentos de cobertura</t>
        </is>
      </c>
    </row>
    <row r="113">
      <c r="K113" s="803" t="n">
        <v>2026</v>
      </c>
      <c r="M113" s="798" t="n">
        <v>2025</v>
      </c>
    </row>
    <row r="114">
      <c r="I114" s="961" t="n"/>
      <c r="J114" s="961" t="n"/>
      <c r="K114" s="961" t="n"/>
      <c r="L114" s="962" t="n"/>
      <c r="M114" s="962" t="n"/>
    </row>
    <row r="115">
      <c r="B115" s="578" t="inlineStr">
        <is>
          <t xml:space="preserve"> Entidad                </t>
        </is>
      </c>
      <c r="C115" s="578" t="inlineStr">
        <is>
          <t xml:space="preserve"> Cobertura       </t>
        </is>
      </c>
      <c r="D115" s="578" t="inlineStr">
        <is>
          <t xml:space="preserve"> Partida cubierta USD </t>
        </is>
      </c>
      <c r="E115" s="578" t="inlineStr">
        <is>
          <t xml:space="preserve"> Partida cubierta M$ </t>
        </is>
      </c>
      <c r="F115" s="621" t="inlineStr">
        <is>
          <t xml:space="preserve"> Tipo de instrumento </t>
        </is>
      </c>
      <c r="G115" s="621" t="inlineStr">
        <is>
          <t xml:space="preserve"> Riesgo cubierto           </t>
        </is>
      </c>
      <c r="H115" s="621" t="inlineStr">
        <is>
          <t xml:space="preserve"> Moneda </t>
        </is>
      </c>
      <c r="I115" s="621" t="inlineStr">
        <is>
          <t xml:space="preserve"> Liquidación </t>
        </is>
      </c>
      <c r="J115" s="621" t="inlineStr">
        <is>
          <t xml:space="preserve"> Vencimiento </t>
        </is>
      </c>
      <c r="K115" s="624" t="inlineStr">
        <is>
          <t xml:space="preserve"> Activo M$ </t>
        </is>
      </c>
      <c r="L115" s="624" t="inlineStr">
        <is>
          <t xml:space="preserve"> Pasivo M$ </t>
        </is>
      </c>
      <c r="M115" s="624" t="inlineStr">
        <is>
          <t xml:space="preserve"> Activo M$ </t>
        </is>
      </c>
      <c r="N115" s="624" t="inlineStr">
        <is>
          <t xml:space="preserve"> Pasivo M$ </t>
        </is>
      </c>
    </row>
    <row r="116">
      <c r="B116" s="622" t="n"/>
      <c r="C116" s="622" t="n"/>
      <c r="D116" s="622" t="n"/>
      <c r="E116" s="622" t="n"/>
      <c r="F116" s="622" t="n"/>
      <c r="G116" s="622" t="n"/>
      <c r="H116" s="622" t="n"/>
      <c r="I116" s="622" t="n"/>
      <c r="J116" s="622" t="n"/>
      <c r="K116" s="622" t="n"/>
      <c r="L116" s="622" t="n"/>
      <c r="M116" s="622" t="n"/>
      <c r="N116" s="622" t="n"/>
    </row>
    <row r="117">
      <c r="B117" s="578" t="inlineStr">
        <is>
          <t xml:space="preserve"> DB Terra Chile Holdco SpA </t>
        </is>
      </c>
      <c r="C117" s="578" t="inlineStr">
        <is>
          <t xml:space="preserve"> Préstamo USD    </t>
        </is>
      </c>
      <c r="D117" s="623" t="n">
        <v>7500000</v>
      </c>
      <c r="E117" s="621" t="inlineStr">
        <is>
          <t xml:space="preserve">                    </t>
        </is>
      </c>
      <c r="F117" s="621" t="inlineStr">
        <is>
          <t xml:space="preserve"> CCS                 </t>
        </is>
      </c>
      <c r="G117" s="621" t="inlineStr">
        <is>
          <t xml:space="preserve"> Moneda y tasa            </t>
        </is>
      </c>
      <c r="H117" s="621" t="inlineStr">
        <is>
          <t xml:space="preserve"> USD    </t>
        </is>
      </c>
      <c r="I117" s="621" t="inlineStr">
        <is>
          <t xml:space="preserve"> Trimestral  </t>
        </is>
      </c>
      <c r="J117" s="621" t="inlineStr">
        <is>
          <t xml:space="preserve"> 16-03-27    </t>
        </is>
      </c>
      <c r="K117" s="963" t="n">
        <v>0</v>
      </c>
      <c r="L117" s="963" t="n">
        <v>0</v>
      </c>
      <c r="M117" s="963" t="n">
        <v>0</v>
      </c>
      <c r="N117" s="963" t="n">
        <v>0</v>
      </c>
    </row>
    <row r="118">
      <c r="B118" s="578" t="inlineStr">
        <is>
          <t xml:space="preserve"> DB Terra Chile Holdco SpA </t>
        </is>
      </c>
      <c r="C118" s="578" t="inlineStr">
        <is>
          <t xml:space="preserve"> Préstamo USD    </t>
        </is>
      </c>
      <c r="D118" s="623" t="n">
        <v>15863310</v>
      </c>
      <c r="E118" s="621" t="inlineStr">
        <is>
          <t xml:space="preserve">                    </t>
        </is>
      </c>
      <c r="F118" s="621" t="inlineStr">
        <is>
          <t xml:space="preserve"> CCS                 </t>
        </is>
      </c>
      <c r="G118" s="621" t="inlineStr">
        <is>
          <t xml:space="preserve"> Moneda y tasa            </t>
        </is>
      </c>
      <c r="H118" s="621" t="inlineStr">
        <is>
          <t xml:space="preserve"> USD    </t>
        </is>
      </c>
      <c r="I118" s="621" t="inlineStr">
        <is>
          <t xml:space="preserve"> Trimestral  </t>
        </is>
      </c>
      <c r="J118" s="621" t="inlineStr">
        <is>
          <t xml:space="preserve"> 16-03-27    </t>
        </is>
      </c>
      <c r="K118" s="963" t="n">
        <v>0</v>
      </c>
      <c r="L118" s="963" t="n">
        <v>0</v>
      </c>
      <c r="M118" s="963" t="n">
        <v>0</v>
      </c>
      <c r="N118" s="963" t="n">
        <v>0</v>
      </c>
    </row>
    <row r="119">
      <c r="B119" s="578" t="inlineStr">
        <is>
          <t xml:space="preserve"> DB Terra Chile Holdco SpA </t>
        </is>
      </c>
      <c r="C119" s="578" t="inlineStr">
        <is>
          <t xml:space="preserve"> Préstamo USD    </t>
        </is>
      </c>
      <c r="D119" s="623" t="n">
        <v>5200000</v>
      </c>
      <c r="E119" s="621" t="inlineStr">
        <is>
          <t xml:space="preserve">                    </t>
        </is>
      </c>
      <c r="F119" s="621" t="inlineStr">
        <is>
          <t xml:space="preserve"> CCS                 </t>
        </is>
      </c>
      <c r="G119" s="621" t="inlineStr">
        <is>
          <t xml:space="preserve"> Moneda y tasa            </t>
        </is>
      </c>
      <c r="H119" s="621" t="inlineStr">
        <is>
          <t xml:space="preserve"> USD    </t>
        </is>
      </c>
      <c r="I119" s="621" t="inlineStr">
        <is>
          <t xml:space="preserve"> Trimestral  </t>
        </is>
      </c>
      <c r="J119" s="621" t="inlineStr">
        <is>
          <t xml:space="preserve"> 16-03-27    </t>
        </is>
      </c>
      <c r="K119" s="963" t="n">
        <v>0</v>
      </c>
      <c r="L119" s="963" t="n">
        <v>0</v>
      </c>
      <c r="M119" s="963" t="n">
        <v>0</v>
      </c>
      <c r="N119" s="963" t="n">
        <v>0</v>
      </c>
    </row>
    <row r="120">
      <c r="B120" s="578" t="inlineStr">
        <is>
          <t xml:space="preserve"> DB Terra Chile Holdco SpA </t>
        </is>
      </c>
      <c r="C120" s="578" t="inlineStr">
        <is>
          <t xml:space="preserve"> Préstamo USD    </t>
        </is>
      </c>
      <c r="D120" s="623" t="n">
        <v>11438690</v>
      </c>
      <c r="E120" s="621" t="inlineStr">
        <is>
          <t xml:space="preserve">                    </t>
        </is>
      </c>
      <c r="F120" s="621" t="inlineStr">
        <is>
          <t xml:space="preserve"> CCS                 </t>
        </is>
      </c>
      <c r="G120" s="621" t="inlineStr">
        <is>
          <t xml:space="preserve"> Moneda y tasa            </t>
        </is>
      </c>
      <c r="H120" s="621" t="inlineStr">
        <is>
          <t xml:space="preserve"> USD    </t>
        </is>
      </c>
      <c r="I120" s="621" t="inlineStr">
        <is>
          <t xml:space="preserve"> Trimestral  </t>
        </is>
      </c>
      <c r="J120" s="621" t="inlineStr">
        <is>
          <t xml:space="preserve"> 16-03-27    </t>
        </is>
      </c>
      <c r="K120" s="963" t="n">
        <v>0</v>
      </c>
      <c r="L120" s="963" t="n">
        <v>0</v>
      </c>
      <c r="M120" s="963" t="n">
        <v>0</v>
      </c>
      <c r="N120" s="963" t="n">
        <v>0</v>
      </c>
    </row>
    <row r="121">
      <c r="B121" s="578" t="inlineStr">
        <is>
          <t xml:space="preserve"> DB Terra Chile Holdco SpA </t>
        </is>
      </c>
      <c r="C121" s="578" t="inlineStr">
        <is>
          <t xml:space="preserve"> Préstamo USD    </t>
        </is>
      </c>
      <c r="D121" s="623" t="n">
        <v>15000000</v>
      </c>
      <c r="E121" s="621" t="inlineStr">
        <is>
          <t xml:space="preserve">                    </t>
        </is>
      </c>
      <c r="F121" s="621" t="inlineStr">
        <is>
          <t xml:space="preserve"> CCS                 </t>
        </is>
      </c>
      <c r="G121" s="621" t="inlineStr">
        <is>
          <t xml:space="preserve"> Moneda y tasa            </t>
        </is>
      </c>
      <c r="H121" s="621" t="inlineStr">
        <is>
          <t xml:space="preserve"> USD    </t>
        </is>
      </c>
      <c r="I121" s="621" t="inlineStr">
        <is>
          <t xml:space="preserve"> Trimestral  </t>
        </is>
      </c>
      <c r="J121" s="621" t="inlineStr">
        <is>
          <t xml:space="preserve"> 16-03-27    </t>
        </is>
      </c>
      <c r="K121" s="963" t="n">
        <v>0</v>
      </c>
      <c r="L121" s="963" t="n">
        <v>0</v>
      </c>
      <c r="M121" s="963" t="n">
        <v>0</v>
      </c>
      <c r="N121" s="963" t="n">
        <v>0</v>
      </c>
    </row>
    <row r="122">
      <c r="B122" s="578" t="inlineStr">
        <is>
          <t xml:space="preserve"> DB Terra Chile Holdco SpA </t>
        </is>
      </c>
      <c r="C122" s="578" t="inlineStr">
        <is>
          <t xml:space="preserve"> Préstamo USD    </t>
        </is>
      </c>
      <c r="D122" s="623" t="n">
        <v>10000000</v>
      </c>
      <c r="E122" s="621" t="inlineStr">
        <is>
          <t xml:space="preserve">                    </t>
        </is>
      </c>
      <c r="F122" s="621" t="inlineStr">
        <is>
          <t xml:space="preserve"> CCS                 </t>
        </is>
      </c>
      <c r="G122" s="621" t="inlineStr">
        <is>
          <t xml:space="preserve"> Moneda y tasa            </t>
        </is>
      </c>
      <c r="H122" s="621" t="inlineStr">
        <is>
          <t xml:space="preserve"> USD    </t>
        </is>
      </c>
      <c r="I122" s="621" t="inlineStr">
        <is>
          <t xml:space="preserve"> Trimestral  </t>
        </is>
      </c>
      <c r="J122" s="621" t="inlineStr">
        <is>
          <t xml:space="preserve"> 16-03-27    </t>
        </is>
      </c>
      <c r="K122" s="963" t="n">
        <v>0</v>
      </c>
      <c r="L122" s="963" t="n">
        <v>0</v>
      </c>
      <c r="M122" s="963" t="n">
        <v>0</v>
      </c>
      <c r="N122" s="963" t="n">
        <v>0</v>
      </c>
    </row>
    <row r="123">
      <c r="B123" s="578" t="inlineStr">
        <is>
          <t xml:space="preserve"> DB Terra Chile Holdco SpA </t>
        </is>
      </c>
      <c r="C123" s="578" t="inlineStr">
        <is>
          <t xml:space="preserve"> Préstamo USD    </t>
        </is>
      </c>
      <c r="D123" s="623" t="n">
        <v>29625000</v>
      </c>
      <c r="E123" s="621" t="inlineStr">
        <is>
          <t xml:space="preserve">                    </t>
        </is>
      </c>
      <c r="F123" s="621" t="inlineStr">
        <is>
          <t xml:space="preserve"> CCS                 </t>
        </is>
      </c>
      <c r="G123" s="621" t="inlineStr">
        <is>
          <t xml:space="preserve"> Moneda y tasa            </t>
        </is>
      </c>
      <c r="H123" s="621" t="inlineStr">
        <is>
          <t xml:space="preserve"> USD    </t>
        </is>
      </c>
      <c r="I123" s="621" t="inlineStr">
        <is>
          <t xml:space="preserve"> Trimestral  </t>
        </is>
      </c>
      <c r="J123" s="621" t="inlineStr">
        <is>
          <t xml:space="preserve"> 16-03-27    </t>
        </is>
      </c>
      <c r="K123" s="963" t="n">
        <v>0</v>
      </c>
      <c r="L123" s="963" t="n">
        <v>0</v>
      </c>
      <c r="M123" s="963" t="n">
        <v>0</v>
      </c>
      <c r="N123" s="963" t="n">
        <v>0</v>
      </c>
    </row>
    <row r="124">
      <c r="B124" s="578" t="inlineStr">
        <is>
          <t xml:space="preserve"> DB Terra Chile Holdco SpA </t>
        </is>
      </c>
      <c r="C124" s="578" t="inlineStr">
        <is>
          <t xml:space="preserve"> Préstamo USD    </t>
        </is>
      </c>
      <c r="D124" s="623" t="n">
        <v>11000000</v>
      </c>
      <c r="E124" s="621" t="inlineStr">
        <is>
          <t xml:space="preserve">                    </t>
        </is>
      </c>
      <c r="F124" s="621" t="inlineStr">
        <is>
          <t xml:space="preserve"> CCS                 </t>
        </is>
      </c>
      <c r="G124" s="621" t="inlineStr">
        <is>
          <t xml:space="preserve"> Moneda y tasa            </t>
        </is>
      </c>
      <c r="H124" s="621" t="inlineStr">
        <is>
          <t xml:space="preserve"> USD    </t>
        </is>
      </c>
      <c r="I124" s="621" t="inlineStr">
        <is>
          <t xml:space="preserve"> Trimestral  </t>
        </is>
      </c>
      <c r="J124" s="621" t="inlineStr">
        <is>
          <t xml:space="preserve"> 16-03-27    </t>
        </is>
      </c>
      <c r="K124" s="963" t="n">
        <v>0</v>
      </c>
      <c r="L124" s="963" t="n">
        <v>0</v>
      </c>
      <c r="M124" s="963" t="n">
        <v>0</v>
      </c>
      <c r="N124" s="963" t="n">
        <v>0</v>
      </c>
    </row>
    <row r="125">
      <c r="B125" s="578" t="inlineStr">
        <is>
          <t xml:space="preserve"> DB Terra Chile Holdco SpA </t>
        </is>
      </c>
      <c r="C125" s="578" t="inlineStr">
        <is>
          <t xml:space="preserve"> Préstamo $      </t>
        </is>
      </c>
      <c r="D125" s="621" t="inlineStr">
        <is>
          <t xml:space="preserve">                     </t>
        </is>
      </c>
      <c r="E125" s="625" t="n">
        <v>110883334</v>
      </c>
      <c r="F125" s="621" t="inlineStr">
        <is>
          <t xml:space="preserve"> IRS                 </t>
        </is>
      </c>
      <c r="G125" s="621" t="inlineStr">
        <is>
          <t xml:space="preserve"> Tasa                     </t>
        </is>
      </c>
      <c r="H125" s="621" t="inlineStr">
        <is>
          <t xml:space="preserve"> $      </t>
        </is>
      </c>
      <c r="I125" s="621" t="inlineStr">
        <is>
          <t xml:space="preserve"> Trimestral  </t>
        </is>
      </c>
      <c r="J125" s="621" t="inlineStr">
        <is>
          <t xml:space="preserve"> 16-03-27    </t>
        </is>
      </c>
      <c r="K125" s="963" t="n">
        <v>0</v>
      </c>
      <c r="L125" s="963" t="n">
        <v>0</v>
      </c>
      <c r="M125" s="963" t="n">
        <v>0</v>
      </c>
      <c r="N125" s="963" t="n">
        <v>0</v>
      </c>
    </row>
    <row r="126" ht="19.8" customHeight="1" s="779" thickBot="1">
      <c r="B126" s="578" t="inlineStr">
        <is>
          <t xml:space="preserve"> DB Terra Chile Holdco SpA </t>
        </is>
      </c>
      <c r="C126" s="578" t="inlineStr">
        <is>
          <t xml:space="preserve"> Préstamo $      </t>
        </is>
      </c>
      <c r="D126" s="621" t="inlineStr">
        <is>
          <t xml:space="preserve">                     </t>
        </is>
      </c>
      <c r="E126" s="625" t="n">
        <v>89668686</v>
      </c>
      <c r="F126" s="621" t="inlineStr">
        <is>
          <t xml:space="preserve"> IRS                 </t>
        </is>
      </c>
      <c r="G126" s="621" t="inlineStr">
        <is>
          <t xml:space="preserve"> Tasa                     </t>
        </is>
      </c>
      <c r="H126" s="621" t="inlineStr">
        <is>
          <t xml:space="preserve"> $      </t>
        </is>
      </c>
      <c r="I126" s="621" t="inlineStr">
        <is>
          <t xml:space="preserve"> Trimestral  </t>
        </is>
      </c>
      <c r="J126" s="621" t="inlineStr">
        <is>
          <t xml:space="preserve"> 16-03-27    </t>
        </is>
      </c>
      <c r="K126" s="963" t="n">
        <v>0</v>
      </c>
      <c r="L126" s="963" t="n">
        <v>0</v>
      </c>
      <c r="M126" s="963" t="n">
        <v>0</v>
      </c>
      <c r="N126" s="963" t="n">
        <v>0</v>
      </c>
    </row>
    <row r="127" ht="15" customHeight="1" s="779" thickBot="1">
      <c r="B127" s="1188" t="inlineStr">
        <is>
          <t xml:space="preserve"> DB Terra Chile Holdco SpA </t>
        </is>
      </c>
      <c r="C127" s="1188" t="inlineStr">
        <is>
          <t xml:space="preserve"> Préstamo $      </t>
        </is>
      </c>
      <c r="D127" s="622" t="inlineStr">
        <is>
          <t xml:space="preserve">                     </t>
        </is>
      </c>
      <c r="E127" s="626" t="n">
        <v>17000000</v>
      </c>
      <c r="F127" s="622" t="inlineStr">
        <is>
          <t xml:space="preserve"> IRS                 </t>
        </is>
      </c>
      <c r="G127" s="622" t="inlineStr">
        <is>
          <t xml:space="preserve"> Tasa                     </t>
        </is>
      </c>
      <c r="H127" s="622" t="inlineStr">
        <is>
          <t xml:space="preserve"> $      </t>
        </is>
      </c>
      <c r="I127" s="622" t="inlineStr">
        <is>
          <t xml:space="preserve"> Trimestral  </t>
        </is>
      </c>
      <c r="J127" s="622" t="inlineStr">
        <is>
          <t xml:space="preserve"> 16-03-27    </t>
        </is>
      </c>
      <c r="K127" s="964" t="n">
        <v>0</v>
      </c>
      <c r="L127" s="964" t="n">
        <v>0</v>
      </c>
      <c r="M127" s="964" t="n">
        <v>0</v>
      </c>
      <c r="N127" s="964" t="n">
        <v>0</v>
      </c>
    </row>
    <row r="128">
      <c r="B128" s="578" t="inlineStr">
        <is>
          <t>Totales</t>
        </is>
      </c>
      <c r="C128" s="621" t="inlineStr">
        <is>
          <t xml:space="preserve">                 </t>
        </is>
      </c>
      <c r="D128" s="621" t="inlineStr">
        <is>
          <t xml:space="preserve">                     </t>
        </is>
      </c>
      <c r="E128" s="621" t="inlineStr">
        <is>
          <t xml:space="preserve">                    </t>
        </is>
      </c>
      <c r="F128" s="621" t="inlineStr">
        <is>
          <t xml:space="preserve">                     </t>
        </is>
      </c>
      <c r="G128" s="621" t="inlineStr">
        <is>
          <t xml:space="preserve">                          </t>
        </is>
      </c>
      <c r="H128" s="621" t="inlineStr">
        <is>
          <t xml:space="preserve">        </t>
        </is>
      </c>
      <c r="I128" s="621" t="inlineStr">
        <is>
          <t xml:space="preserve">             </t>
        </is>
      </c>
      <c r="J128" s="621" t="inlineStr">
        <is>
          <t xml:space="preserve">             </t>
        </is>
      </c>
      <c r="K128" s="964">
        <f>SUM(K138:K148)</f>
        <v/>
      </c>
      <c r="L128" s="964">
        <f>SUM(L138:L148)</f>
        <v/>
      </c>
      <c r="M128" s="964">
        <f>SUM(M138:M148)</f>
        <v/>
      </c>
      <c r="N128" s="964">
        <f>SUM(N138:N148)</f>
        <v/>
      </c>
    </row>
    <row r="129"/>
    <row r="130">
      <c r="L130" s="965" t="n"/>
    </row>
    <row r="137" ht="15" customHeight="1" s="779" thickBot="1"/>
    <row r="148" ht="15" customHeight="1" s="779" thickBot="1"/>
    <row r="149" ht="15" customHeight="1" s="779" thickBot="1"/>
    <row r="150" ht="15" customHeight="1" s="779"/>
  </sheetData>
  <mergeCells count="15">
    <mergeCell ref="B57:B58"/>
    <mergeCell ref="C2:D2"/>
    <mergeCell ref="B94:D94"/>
    <mergeCell ref="G86:H86"/>
    <mergeCell ref="J99:K99"/>
    <mergeCell ref="K85:L85"/>
    <mergeCell ref="I86:J86"/>
    <mergeCell ref="K86:L86"/>
    <mergeCell ref="B93:D93"/>
    <mergeCell ref="B70:B71"/>
    <mergeCell ref="M134:N134"/>
    <mergeCell ref="K134:L134"/>
    <mergeCell ref="H99:I99"/>
    <mergeCell ref="B92:D92"/>
    <mergeCell ref="E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/>
  </sheetPr>
  <dimension ref="B2:F182"/>
  <sheetViews>
    <sheetView showGridLines="0" topLeftCell="A36" zoomScale="80" zoomScaleNormal="80" workbookViewId="0">
      <selection activeCell="C5" sqref="C5:D12"/>
    </sheetView>
  </sheetViews>
  <sheetFormatPr baseColWidth="10" defaultRowHeight="14.4"/>
  <cols>
    <col width="12.109375" customWidth="1" style="779" min="1" max="1"/>
    <col width="46.77734375" customWidth="1" style="779" min="2" max="2"/>
    <col outlineLevel="1" width="11.33203125" customWidth="1" style="779" min="3" max="3"/>
    <col outlineLevel="1" width="14.6640625" customWidth="1" style="779" min="4" max="4"/>
    <col width="13.33203125" bestFit="1" customWidth="1" style="779" min="5" max="5"/>
    <col width="6.88671875" customWidth="1" style="779" min="6" max="6"/>
    <col width="44.109375" customWidth="1" style="779" min="11" max="11"/>
    <col width="18.109375" customWidth="1" style="830" min="12" max="12"/>
  </cols>
  <sheetData>
    <row r="2">
      <c r="B2" s="1189" t="inlineStr">
        <is>
          <t>COMPOSICION POR CUENTA</t>
        </is>
      </c>
    </row>
    <row r="3">
      <c r="B3" s="1144" t="inlineStr">
        <is>
          <t>CORRIENTE</t>
        </is>
      </c>
      <c r="C3" s="160" t="inlineStr">
        <is>
          <t>30.06.2026</t>
        </is>
      </c>
      <c r="D3" s="160" t="inlineStr">
        <is>
          <t>31.12.2025</t>
        </is>
      </c>
    </row>
    <row r="4">
      <c r="B4" s="806" t="n"/>
      <c r="C4" s="95" t="inlineStr">
        <is>
          <t>M$</t>
        </is>
      </c>
      <c r="D4" s="95" t="inlineStr">
        <is>
          <t>M$</t>
        </is>
      </c>
    </row>
    <row r="5">
      <c r="B5" s="578" t="inlineStr">
        <is>
          <t>Retenciones por pagar</t>
        </is>
      </c>
      <c r="C5" s="910" t="n"/>
      <c r="D5" s="949" t="n"/>
    </row>
    <row r="6">
      <c r="B6" s="578" t="inlineStr">
        <is>
          <t>Proveedores nacionales</t>
        </is>
      </c>
      <c r="C6" s="910" t="n"/>
      <c r="D6" s="949" t="n"/>
    </row>
    <row r="7">
      <c r="B7" s="578" t="inlineStr">
        <is>
          <t>Proveedores extranjeros</t>
        </is>
      </c>
      <c r="C7" s="910" t="n"/>
      <c r="D7" s="949" t="n"/>
    </row>
    <row r="8">
      <c r="B8" s="578" t="inlineStr">
        <is>
          <t>Anticipos clientes</t>
        </is>
      </c>
      <c r="C8" s="910" t="n"/>
      <c r="D8" s="949" t="n"/>
    </row>
    <row r="9">
      <c r="B9" s="578" t="inlineStr">
        <is>
          <t>Remuneraciones por pagar</t>
        </is>
      </c>
      <c r="C9" s="910" t="n"/>
      <c r="D9" s="949" t="n"/>
    </row>
    <row r="10">
      <c r="B10" s="578" t="inlineStr">
        <is>
          <t>Provisiones por señales</t>
        </is>
      </c>
      <c r="C10" s="910" t="n"/>
      <c r="D10" s="949" t="n"/>
    </row>
    <row r="11">
      <c r="B11" s="578" t="inlineStr">
        <is>
          <t xml:space="preserve">Otras provisiones </t>
        </is>
      </c>
      <c r="C11" s="949" t="n"/>
      <c r="D11" s="949" t="n"/>
    </row>
    <row r="12" ht="15" customHeight="1" s="779" thickBot="1">
      <c r="B12" s="578" t="inlineStr">
        <is>
          <t>Otras cuentas por pagar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9">
        <f>SUM(C5:C12)</f>
        <v/>
      </c>
      <c r="D13" s="859">
        <f>SUM(D5:D12)</f>
        <v/>
      </c>
    </row>
    <row r="17">
      <c r="B17" s="1144" t="inlineStr">
        <is>
          <t>NO CORRIENTE</t>
        </is>
      </c>
      <c r="C17" s="160" t="inlineStr">
        <is>
          <t>30.06.2026</t>
        </is>
      </c>
      <c r="D17" s="160" t="inlineStr">
        <is>
          <t>31.12.2025</t>
        </is>
      </c>
    </row>
    <row r="18">
      <c r="B18" s="806" t="n"/>
      <c r="C18" s="95" t="inlineStr">
        <is>
          <t>M$</t>
        </is>
      </c>
      <c r="D18" s="95" t="inlineStr">
        <is>
          <t>M$</t>
        </is>
      </c>
    </row>
    <row r="19">
      <c r="B19" s="578" t="inlineStr">
        <is>
          <t>Proveedores extranjeros</t>
        </is>
      </c>
      <c r="C19" s="938" t="n"/>
      <c r="D19" s="966" t="n"/>
    </row>
    <row r="20" ht="15" customHeight="1" s="779" thickBot="1">
      <c r="B20" s="578" t="inlineStr">
        <is>
          <t>Total</t>
        </is>
      </c>
      <c r="C20" s="859">
        <f>+C19</f>
        <v/>
      </c>
      <c r="D20" s="859">
        <f>+D19</f>
        <v/>
      </c>
    </row>
    <row r="21">
      <c r="B21" s="806" t="n"/>
      <c r="C21" s="910" t="n"/>
      <c r="D21" s="949" t="n"/>
    </row>
    <row r="22" ht="15" customHeight="1" s="779" thickBot="1">
      <c r="B22" s="578" t="inlineStr">
        <is>
          <t>TOTAL CORRIENTE, NO CORRIENTE</t>
        </is>
      </c>
      <c r="C22" s="967">
        <f>+C20+C13</f>
        <v/>
      </c>
      <c r="D22" s="967">
        <f>+D20+D13</f>
        <v/>
      </c>
    </row>
    <row r="23" ht="15" customHeight="1" s="779" thickTop="1"/>
    <row r="25">
      <c r="B25" s="1173" t="inlineStr">
        <is>
          <t>COMPOSICION POR MONEDA</t>
        </is>
      </c>
    </row>
    <row r="26">
      <c r="B26" s="130" t="n"/>
      <c r="C26" s="160" t="inlineStr">
        <is>
          <t>30.06.2026</t>
        </is>
      </c>
      <c r="D26" s="160" t="inlineStr">
        <is>
          <t>31.12.2025</t>
        </is>
      </c>
    </row>
    <row r="27">
      <c r="B27" s="117" t="n"/>
      <c r="C27" s="95" t="inlineStr">
        <is>
          <t>M$</t>
        </is>
      </c>
      <c r="D27" s="95" t="inlineStr">
        <is>
          <t>M$</t>
        </is>
      </c>
    </row>
    <row r="28">
      <c r="B28" s="1152" t="inlineStr">
        <is>
          <t>Peso chileno</t>
        </is>
      </c>
      <c r="C28" s="119" t="n"/>
      <c r="D28" s="119" t="n"/>
    </row>
    <row r="29">
      <c r="B29" s="1152" t="inlineStr">
        <is>
          <t>Dolar estadounidense</t>
        </is>
      </c>
      <c r="C29" s="119" t="n"/>
      <c r="D29" s="119" t="n"/>
    </row>
    <row r="30">
      <c r="B30" s="1152" t="inlineStr">
        <is>
          <t>Yuan</t>
        </is>
      </c>
      <c r="C30" s="119" t="n"/>
      <c r="D30" s="119" t="n"/>
    </row>
    <row r="31" ht="15" customHeight="1" s="779" thickBot="1">
      <c r="B31" s="1152" t="inlineStr">
        <is>
          <t>Euro</t>
        </is>
      </c>
      <c r="C31" s="120" t="n"/>
      <c r="D31" s="120" t="n"/>
    </row>
    <row r="32" ht="15" customHeight="1" s="779" thickBot="1">
      <c r="B32" s="1152" t="inlineStr">
        <is>
          <t>Totales</t>
        </is>
      </c>
      <c r="C32" s="120">
        <f>SUM(C28:C31)</f>
        <v/>
      </c>
      <c r="D32" s="120">
        <f>SUM(D28:D31)</f>
        <v/>
      </c>
    </row>
    <row r="36">
      <c r="B36" s="1173" t="inlineStr">
        <is>
          <t>VENCIMIENTOS</t>
        </is>
      </c>
    </row>
    <row r="38">
      <c r="B38" s="117" t="n"/>
      <c r="C38" s="160" t="inlineStr">
        <is>
          <t>30.06.2026</t>
        </is>
      </c>
      <c r="D38" s="160" t="inlineStr">
        <is>
          <t>31.12.2025</t>
        </is>
      </c>
    </row>
    <row r="39">
      <c r="B39" s="1152" t="inlineStr">
        <is>
          <t xml:space="preserve"> Cuentas comerciales según plazo </t>
        </is>
      </c>
      <c r="C39" s="814" t="inlineStr">
        <is>
          <t>M$</t>
        </is>
      </c>
      <c r="D39" s="814" t="inlineStr">
        <is>
          <t>M$</t>
        </is>
      </c>
    </row>
    <row r="40">
      <c r="B40" s="130" t="n"/>
      <c r="C40" s="151" t="n"/>
      <c r="D40" s="151" t="n"/>
    </row>
    <row r="41">
      <c r="B41" s="1152" t="inlineStr">
        <is>
          <t xml:space="preserve">No vencidas y de 0 a 30 días </t>
        </is>
      </c>
      <c r="C41" s="910" t="n"/>
      <c r="D41" s="849" t="n"/>
    </row>
    <row r="42">
      <c r="B42" s="1152" t="inlineStr">
        <is>
          <t>De 31 a 60 días</t>
        </is>
      </c>
      <c r="C42" s="910" t="n"/>
      <c r="D42" s="849" t="n"/>
    </row>
    <row r="43">
      <c r="B43" s="1152" t="inlineStr">
        <is>
          <t>De 61 a 90 días</t>
        </is>
      </c>
      <c r="C43" s="910" t="n"/>
      <c r="D43" s="849" t="n"/>
    </row>
    <row r="44">
      <c r="B44" s="1152" t="inlineStr">
        <is>
          <t>De 91 a 120 días</t>
        </is>
      </c>
      <c r="C44" s="910" t="n"/>
      <c r="D44" s="849" t="n"/>
    </row>
    <row r="45">
      <c r="B45" s="1152" t="inlineStr">
        <is>
          <t>De 121 a 180 días</t>
        </is>
      </c>
      <c r="C45" s="910" t="n"/>
      <c r="D45" s="849" t="n"/>
    </row>
    <row r="46">
      <c r="B46" s="1152" t="inlineStr">
        <is>
          <t>Mayor a 180 días</t>
        </is>
      </c>
      <c r="C46" s="966" t="n"/>
      <c r="D46" s="968" t="n"/>
    </row>
    <row r="47" ht="15" customHeight="1" s="779" thickBot="1">
      <c r="B47" s="1152" t="inlineStr">
        <is>
          <t>Totales</t>
        </is>
      </c>
      <c r="C47" s="969">
        <f>SUM(C41:C46)</f>
        <v/>
      </c>
      <c r="D47" s="969">
        <f>SUM(D41:D46)</f>
        <v/>
      </c>
    </row>
    <row r="48">
      <c r="C48" s="853" t="n"/>
      <c r="D48" s="853" t="n"/>
    </row>
    <row r="49">
      <c r="C49" s="853" t="n"/>
      <c r="D49" s="853" t="n"/>
    </row>
    <row r="50">
      <c r="C50" s="853" t="n"/>
      <c r="D50" s="853" t="n"/>
      <c r="E50" s="853" t="n"/>
    </row>
    <row r="51">
      <c r="B51" s="448" t="n"/>
      <c r="C51" s="970" t="n"/>
      <c r="D51" s="970" t="n"/>
      <c r="E51" s="971" t="n"/>
    </row>
    <row r="52">
      <c r="B52" s="448" t="n"/>
      <c r="C52" s="970" t="n"/>
      <c r="D52" s="970" t="n"/>
      <c r="E52" s="971" t="n"/>
    </row>
    <row r="53">
      <c r="B53" s="448" t="n"/>
      <c r="C53" s="970" t="n"/>
      <c r="D53" s="970" t="n"/>
      <c r="E53" s="971" t="n"/>
    </row>
    <row r="54">
      <c r="B54" s="448" t="n"/>
      <c r="C54" s="970" t="n"/>
      <c r="D54" s="970" t="n"/>
      <c r="E54" s="971" t="n"/>
    </row>
    <row r="55">
      <c r="B55" s="448" t="n"/>
      <c r="C55" s="970" t="n"/>
      <c r="D55" s="970" t="n"/>
      <c r="E55" s="971" t="n"/>
    </row>
    <row r="56">
      <c r="B56" s="448" t="n"/>
      <c r="C56" s="970" t="n"/>
      <c r="D56" s="970" t="n"/>
      <c r="E56" s="971" t="n"/>
    </row>
    <row r="57">
      <c r="B57" s="448" t="n"/>
      <c r="C57" s="970" t="n"/>
      <c r="D57" s="970" t="n"/>
      <c r="E57" s="971" t="n"/>
    </row>
    <row r="58">
      <c r="B58" s="448" t="n"/>
      <c r="C58" s="970" t="n"/>
      <c r="D58" s="970" t="n"/>
      <c r="E58" s="971" t="n"/>
    </row>
    <row r="59">
      <c r="B59" s="448" t="n"/>
      <c r="C59" s="970" t="n"/>
      <c r="D59" s="970" t="n"/>
      <c r="E59" s="971" t="n"/>
    </row>
    <row r="60">
      <c r="B60" s="448" t="n"/>
      <c r="C60" s="970" t="n"/>
      <c r="D60" s="970" t="n"/>
      <c r="E60" s="971" t="n"/>
    </row>
    <row r="61">
      <c r="B61" s="448" t="n"/>
      <c r="C61" s="970" t="n"/>
      <c r="D61" s="970" t="n"/>
      <c r="E61" s="971" t="n"/>
    </row>
    <row r="62">
      <c r="B62" s="448" t="n"/>
      <c r="C62" s="970" t="n"/>
      <c r="D62" s="970" t="n"/>
      <c r="E62" s="971" t="n"/>
    </row>
    <row r="63">
      <c r="B63" s="448" t="n"/>
      <c r="C63" s="970" t="n"/>
      <c r="D63" s="970" t="n"/>
      <c r="E63" s="971" t="n"/>
    </row>
    <row r="64">
      <c r="B64" s="448" t="n"/>
      <c r="C64" s="970" t="n"/>
      <c r="D64" s="970" t="n"/>
      <c r="E64" s="971" t="n"/>
    </row>
    <row r="65">
      <c r="B65" s="448" t="n"/>
      <c r="C65" s="970" t="n"/>
      <c r="D65" s="970" t="n"/>
      <c r="E65" s="971" t="n"/>
    </row>
    <row r="66">
      <c r="B66" s="448" t="n"/>
      <c r="C66" s="970" t="n"/>
      <c r="D66" s="970" t="n"/>
      <c r="E66" s="971" t="n"/>
    </row>
    <row r="67">
      <c r="B67" s="448" t="n"/>
      <c r="C67" s="970" t="n"/>
      <c r="D67" s="970" t="n"/>
      <c r="E67" s="971" t="n"/>
    </row>
    <row r="68">
      <c r="B68" s="448" t="n"/>
      <c r="C68" s="970" t="n"/>
      <c r="D68" s="970" t="n"/>
      <c r="E68" s="971" t="n"/>
    </row>
    <row r="69">
      <c r="B69" s="448" t="n"/>
      <c r="C69" s="970" t="n"/>
      <c r="D69" s="970" t="n"/>
      <c r="E69" s="971" t="n"/>
    </row>
    <row r="70">
      <c r="B70" s="448" t="n"/>
      <c r="C70" s="970" t="n"/>
      <c r="D70" s="970" t="n"/>
      <c r="E70" s="971" t="n"/>
    </row>
    <row r="71">
      <c r="B71" s="448" t="n"/>
      <c r="C71" s="970" t="n"/>
      <c r="D71" s="970" t="n"/>
      <c r="E71" s="971" t="n"/>
    </row>
    <row r="72">
      <c r="B72" s="448" t="n"/>
      <c r="C72" s="970" t="n"/>
      <c r="D72" s="970" t="n"/>
      <c r="E72" s="971" t="n"/>
    </row>
    <row r="73">
      <c r="B73" s="448" t="n"/>
      <c r="C73" s="970" t="n"/>
      <c r="D73" s="970" t="n"/>
      <c r="E73" s="971" t="n"/>
    </row>
    <row r="74">
      <c r="B74" s="448" t="n"/>
      <c r="C74" s="970" t="n"/>
      <c r="D74" s="970" t="n"/>
      <c r="E74" s="971" t="n"/>
    </row>
    <row r="75">
      <c r="B75" s="448" t="n"/>
      <c r="C75" s="970" t="n"/>
      <c r="D75" s="970" t="n"/>
      <c r="E75" s="971" t="n"/>
    </row>
    <row r="76">
      <c r="B76" s="448" t="n"/>
      <c r="C76" s="970" t="n"/>
      <c r="D76" s="970" t="n"/>
      <c r="E76" s="971" t="n"/>
    </row>
    <row r="77">
      <c r="B77" s="448" t="n"/>
      <c r="C77" s="970" t="n"/>
      <c r="D77" s="970" t="n"/>
      <c r="E77" s="971" t="n"/>
    </row>
    <row r="78">
      <c r="B78" s="448" t="n"/>
      <c r="C78" s="970" t="n"/>
      <c r="D78" s="970" t="n"/>
      <c r="E78" s="971" t="n"/>
    </row>
    <row r="79">
      <c r="B79" s="448" t="n"/>
      <c r="C79" s="970" t="n"/>
      <c r="D79" s="970" t="n"/>
      <c r="E79" s="971" t="n"/>
    </row>
    <row r="80">
      <c r="B80" s="448" t="n"/>
      <c r="C80" s="970" t="n"/>
      <c r="D80" s="970" t="n"/>
      <c r="E80" s="971" t="n"/>
    </row>
    <row r="81">
      <c r="B81" s="448" t="n"/>
      <c r="C81" s="970" t="n"/>
      <c r="D81" s="970" t="n"/>
      <c r="E81" s="971" t="n"/>
    </row>
    <row r="82">
      <c r="B82" s="448" t="n"/>
      <c r="C82" s="970" t="n"/>
      <c r="D82" s="970" t="n"/>
      <c r="E82" s="971" t="n"/>
    </row>
    <row r="83">
      <c r="B83" s="448" t="n"/>
      <c r="C83" s="970" t="n"/>
      <c r="D83" s="970" t="n"/>
      <c r="E83" s="971" t="n"/>
    </row>
    <row r="84">
      <c r="B84" s="448" t="n"/>
      <c r="C84" s="970" t="n"/>
      <c r="D84" s="970" t="n"/>
      <c r="E84" s="971" t="n"/>
    </row>
    <row r="85">
      <c r="B85" s="448" t="n"/>
      <c r="C85" s="970" t="n"/>
      <c r="D85" s="970" t="n"/>
      <c r="E85" s="971" t="n"/>
    </row>
    <row r="86">
      <c r="B86" s="448" t="n"/>
      <c r="C86" s="970" t="n"/>
      <c r="D86" s="970" t="n"/>
      <c r="E86" s="971" t="n"/>
    </row>
    <row r="87">
      <c r="B87" s="448" t="n"/>
      <c r="C87" s="970" t="n"/>
      <c r="D87" s="970" t="n"/>
      <c r="E87" s="971" t="n"/>
    </row>
    <row r="88">
      <c r="B88" s="448" t="n"/>
      <c r="C88" s="970" t="n"/>
      <c r="D88" s="970" t="n"/>
      <c r="E88" s="971" t="n"/>
    </row>
    <row r="89">
      <c r="B89" s="448" t="n"/>
      <c r="C89" s="970" t="n"/>
      <c r="D89" s="970" t="n"/>
      <c r="E89" s="971" t="n"/>
    </row>
    <row r="90">
      <c r="B90" s="448" t="n"/>
      <c r="C90" s="970" t="n"/>
      <c r="D90" s="970" t="n"/>
      <c r="E90" s="971" t="n"/>
    </row>
    <row r="91" ht="15" customHeight="1" s="779" thickBot="1">
      <c r="B91" s="452" t="n"/>
      <c r="C91" s="972" t="n"/>
      <c r="D91" s="972" t="n"/>
      <c r="E91" s="972" t="n"/>
    </row>
    <row r="92" ht="15" customHeight="1" s="779" thickTop="1">
      <c r="B92" s="448" t="n"/>
      <c r="C92" s="962" t="n"/>
      <c r="D92" s="970" t="n"/>
      <c r="E92" s="853" t="n"/>
    </row>
    <row r="93">
      <c r="B93" s="448" t="n"/>
      <c r="C93" s="447" t="n"/>
      <c r="D93" s="447" t="n"/>
      <c r="E93" s="853" t="n"/>
      <c r="F93" s="970" t="n"/>
    </row>
    <row r="94">
      <c r="B94" s="448" t="n"/>
      <c r="C94" s="447" t="n"/>
      <c r="D94" s="447" t="n"/>
      <c r="E94" s="853" t="n"/>
      <c r="F94" s="970" t="n"/>
    </row>
    <row r="95">
      <c r="B95" s="448" t="n"/>
      <c r="C95" s="447" t="n"/>
      <c r="D95" s="447" t="n"/>
      <c r="E95" s="853" t="n"/>
      <c r="F95" s="970" t="n"/>
    </row>
    <row r="96">
      <c r="B96" s="448" t="n"/>
      <c r="C96" s="447" t="n"/>
      <c r="D96" s="447" t="n"/>
      <c r="E96" s="853" t="n"/>
      <c r="F96" s="970" t="n"/>
    </row>
    <row r="97">
      <c r="B97" s="448" t="n"/>
      <c r="C97" s="447" t="n"/>
      <c r="D97" s="447" t="n"/>
      <c r="E97" s="853" t="n"/>
      <c r="F97" s="970" t="n"/>
    </row>
    <row r="98">
      <c r="B98" s="448" t="n"/>
      <c r="C98" s="447" t="n"/>
      <c r="D98" s="447" t="n"/>
      <c r="E98" s="853" t="n"/>
      <c r="F98" s="970" t="n"/>
    </row>
    <row r="99">
      <c r="B99" s="448" t="n"/>
      <c r="C99" s="447" t="n"/>
      <c r="D99" s="447" t="n"/>
      <c r="E99" s="853" t="n"/>
      <c r="F99" s="970" t="n"/>
    </row>
    <row r="100">
      <c r="B100" s="448" t="n"/>
      <c r="C100" s="447" t="n"/>
      <c r="D100" s="447" t="n"/>
      <c r="E100" s="853" t="n"/>
      <c r="F100" s="970" t="n"/>
    </row>
    <row r="101">
      <c r="B101" s="448" t="n"/>
      <c r="C101" s="447" t="n"/>
      <c r="D101" s="447" t="n"/>
      <c r="E101" s="853" t="n"/>
      <c r="F101" s="970" t="n"/>
    </row>
    <row r="102">
      <c r="B102" s="448" t="n"/>
      <c r="C102" s="447" t="n"/>
      <c r="D102" s="447" t="n"/>
      <c r="E102" s="853" t="n"/>
      <c r="F102" s="970" t="n"/>
    </row>
    <row r="103">
      <c r="B103" s="448" t="n"/>
      <c r="C103" s="447" t="n"/>
      <c r="D103" s="447" t="n"/>
      <c r="E103" s="853" t="n"/>
      <c r="F103" s="970" t="n"/>
    </row>
    <row r="104">
      <c r="B104" s="448" t="n"/>
      <c r="C104" s="447" t="n"/>
      <c r="D104" s="447" t="n"/>
      <c r="E104" s="853" t="n"/>
      <c r="F104" s="970" t="n"/>
    </row>
    <row r="105">
      <c r="B105" s="448" t="n"/>
      <c r="C105" s="447" t="n"/>
      <c r="D105" s="447" t="n"/>
      <c r="E105" s="853" t="n"/>
      <c r="F105" s="970" t="n"/>
    </row>
    <row r="106">
      <c r="B106" s="448" t="n"/>
      <c r="C106" s="447" t="n"/>
      <c r="D106" s="447" t="n"/>
      <c r="E106" s="853" t="n"/>
      <c r="F106" s="970" t="n"/>
    </row>
    <row r="107">
      <c r="B107" s="448" t="n"/>
      <c r="C107" s="447" t="n"/>
      <c r="D107" s="447" t="n"/>
      <c r="E107" s="853" t="n"/>
      <c r="F107" s="970" t="n"/>
    </row>
    <row r="108">
      <c r="B108" s="448" t="n"/>
      <c r="C108" s="447" t="n"/>
      <c r="D108" s="447" t="n"/>
      <c r="E108" s="853" t="n"/>
      <c r="F108" s="970" t="n"/>
    </row>
    <row r="109">
      <c r="B109" s="448" t="n"/>
      <c r="C109" s="447" t="n"/>
      <c r="D109" s="447" t="n"/>
      <c r="E109" s="853" t="n"/>
      <c r="F109" s="970" t="n"/>
    </row>
    <row r="110">
      <c r="B110" s="448" t="n"/>
      <c r="C110" s="447" t="n"/>
      <c r="D110" s="447" t="n"/>
      <c r="E110" s="853" t="n"/>
      <c r="F110" s="970" t="n"/>
    </row>
    <row r="111">
      <c r="B111" s="448" t="n"/>
      <c r="C111" s="447" t="n"/>
      <c r="D111" s="447" t="n"/>
      <c r="E111" s="853" t="n"/>
      <c r="F111" s="970" t="n"/>
    </row>
    <row r="112">
      <c r="B112" s="448" t="n"/>
      <c r="C112" s="447" t="n"/>
      <c r="D112" s="447" t="n"/>
      <c r="E112" s="853" t="n"/>
      <c r="F112" s="970" t="n"/>
    </row>
    <row r="113">
      <c r="B113" s="448" t="n"/>
      <c r="C113" s="447" t="n"/>
      <c r="D113" s="447" t="n"/>
      <c r="E113" s="853" t="n"/>
      <c r="F113" s="970" t="n"/>
    </row>
    <row r="114">
      <c r="B114" s="448" t="n"/>
      <c r="C114" s="447" t="n"/>
      <c r="D114" s="447" t="n"/>
      <c r="E114" s="853" t="n"/>
      <c r="F114" s="970" t="n"/>
    </row>
    <row r="115">
      <c r="B115" s="448" t="n"/>
      <c r="C115" s="447" t="n"/>
      <c r="D115" s="447" t="n"/>
      <c r="E115" s="853" t="n"/>
      <c r="F115" s="970" t="n"/>
    </row>
    <row r="116">
      <c r="B116" s="448" t="n"/>
      <c r="C116" s="447" t="n"/>
      <c r="D116" s="447" t="n"/>
      <c r="E116" s="853" t="n"/>
      <c r="F116" s="970" t="n"/>
    </row>
    <row r="117">
      <c r="B117" s="448" t="n"/>
      <c r="C117" s="447" t="n"/>
      <c r="D117" s="447" t="n"/>
      <c r="E117" s="853" t="n"/>
      <c r="F117" s="970" t="n"/>
    </row>
    <row r="118">
      <c r="B118" s="448" t="n"/>
      <c r="C118" s="447" t="n"/>
      <c r="D118" s="447" t="n"/>
      <c r="E118" s="853" t="n"/>
      <c r="F118" s="970" t="n"/>
    </row>
    <row r="119">
      <c r="B119" s="448" t="n"/>
      <c r="C119" s="447" t="n"/>
      <c r="D119" s="447" t="n"/>
      <c r="E119" s="853" t="n"/>
      <c r="F119" s="970" t="n"/>
    </row>
    <row r="120">
      <c r="B120" s="448" t="n"/>
      <c r="C120" s="447" t="n"/>
      <c r="D120" s="447" t="n"/>
      <c r="E120" s="853" t="n"/>
      <c r="F120" s="970" t="n"/>
    </row>
    <row r="121">
      <c r="B121" s="448" t="n"/>
      <c r="C121" s="447" t="n"/>
      <c r="D121" s="447" t="n"/>
      <c r="E121" s="853" t="n"/>
      <c r="F121" s="970" t="n"/>
    </row>
    <row r="122">
      <c r="B122" s="448" t="n"/>
      <c r="C122" s="447" t="n"/>
      <c r="D122" s="447" t="n"/>
      <c r="E122" s="853" t="n"/>
      <c r="F122" s="970" t="n"/>
    </row>
    <row r="123">
      <c r="B123" s="448" t="n"/>
      <c r="C123" s="447" t="n"/>
      <c r="D123" s="447" t="n"/>
      <c r="E123" s="853" t="n"/>
      <c r="F123" s="970" t="n"/>
    </row>
    <row r="124">
      <c r="B124" s="448" t="n"/>
      <c r="C124" s="447" t="n"/>
      <c r="D124" s="447" t="n"/>
      <c r="E124" s="853" t="n"/>
      <c r="F124" s="970" t="n"/>
    </row>
    <row r="125">
      <c r="B125" s="448" t="n"/>
      <c r="C125" s="447" t="n"/>
      <c r="D125" s="447" t="n"/>
      <c r="E125" s="853" t="n"/>
      <c r="F125" s="970" t="n"/>
    </row>
    <row r="126">
      <c r="B126" s="448" t="n"/>
      <c r="C126" s="447" t="n"/>
      <c r="D126" s="447" t="n"/>
      <c r="E126" s="853" t="n"/>
      <c r="F126" s="970" t="n"/>
    </row>
    <row r="127">
      <c r="B127" s="448" t="n"/>
      <c r="C127" s="447" t="n"/>
      <c r="D127" s="447" t="n"/>
      <c r="E127" s="853" t="n"/>
      <c r="F127" s="970" t="n"/>
    </row>
    <row r="128">
      <c r="B128" s="448" t="n"/>
      <c r="C128" s="447" t="n"/>
      <c r="D128" s="447" t="n"/>
      <c r="E128" s="853" t="n"/>
      <c r="F128" s="970" t="n"/>
    </row>
    <row r="129">
      <c r="B129" s="448" t="n"/>
      <c r="C129" s="447" t="n"/>
      <c r="D129" s="447" t="n"/>
      <c r="E129" s="853" t="n"/>
      <c r="F129" s="970" t="n"/>
    </row>
    <row r="130">
      <c r="B130" s="448" t="n"/>
      <c r="C130" s="447" t="n"/>
      <c r="D130" s="447" t="n"/>
      <c r="E130" s="853" t="n"/>
      <c r="F130" s="970" t="n"/>
    </row>
    <row r="131">
      <c r="B131" s="448" t="n"/>
      <c r="C131" s="447" t="n"/>
      <c r="D131" s="447" t="n"/>
      <c r="E131" s="853" t="n"/>
      <c r="F131" s="970" t="n"/>
    </row>
    <row r="132">
      <c r="B132" s="448" t="n"/>
      <c r="C132" s="447" t="n"/>
      <c r="D132" s="447" t="n"/>
      <c r="E132" s="853" t="n"/>
      <c r="F132" s="970" t="n"/>
    </row>
    <row r="133">
      <c r="B133" s="448" t="n"/>
      <c r="C133" s="447" t="n"/>
      <c r="D133" s="447" t="n"/>
      <c r="E133" s="853" t="n"/>
      <c r="F133" s="970" t="n"/>
    </row>
    <row r="134">
      <c r="B134" s="448" t="n"/>
      <c r="C134" s="447" t="n"/>
      <c r="D134" s="447" t="n"/>
      <c r="E134" s="853" t="n"/>
      <c r="F134" s="970" t="n"/>
    </row>
    <row r="135">
      <c r="B135" s="448" t="n"/>
      <c r="C135" s="447" t="n"/>
      <c r="D135" s="447" t="n"/>
      <c r="E135" s="853" t="n"/>
      <c r="F135" s="970" t="n"/>
    </row>
    <row r="136">
      <c r="B136" s="448" t="n"/>
      <c r="C136" s="447" t="n"/>
      <c r="D136" s="447" t="n"/>
      <c r="E136" s="853" t="n"/>
      <c r="F136" s="970" t="n"/>
    </row>
    <row r="137">
      <c r="B137" s="448" t="n"/>
      <c r="C137" s="447" t="n"/>
      <c r="D137" s="447" t="n"/>
      <c r="E137" s="853" t="n"/>
      <c r="F137" s="970" t="n"/>
    </row>
    <row r="138">
      <c r="B138" s="448" t="n"/>
      <c r="C138" s="447" t="n"/>
      <c r="D138" s="447" t="n"/>
      <c r="E138" s="853" t="n"/>
      <c r="F138" s="970" t="n"/>
    </row>
    <row r="139">
      <c r="B139" s="448" t="n"/>
      <c r="C139" s="447" t="n"/>
      <c r="D139" s="447" t="n"/>
      <c r="E139" s="853" t="n"/>
      <c r="F139" s="970" t="n"/>
    </row>
    <row r="140">
      <c r="B140" s="448" t="n"/>
      <c r="C140" s="447" t="n"/>
      <c r="D140" s="447" t="n"/>
      <c r="E140" s="853" t="n"/>
      <c r="F140" s="970" t="n"/>
    </row>
    <row r="141">
      <c r="B141" s="448" t="n"/>
      <c r="C141" s="447" t="n"/>
      <c r="D141" s="447" t="n"/>
      <c r="E141" s="853" t="n"/>
      <c r="F141" s="970" t="n"/>
    </row>
    <row r="142">
      <c r="B142" s="448" t="n"/>
      <c r="C142" s="447" t="n"/>
      <c r="D142" s="447" t="n"/>
      <c r="E142" s="853" t="n"/>
      <c r="F142" s="970" t="n"/>
    </row>
    <row r="143">
      <c r="B143" s="448" t="n"/>
      <c r="C143" s="447" t="n"/>
      <c r="D143" s="447" t="n"/>
      <c r="E143" s="853" t="n"/>
      <c r="F143" s="970" t="n"/>
    </row>
    <row r="144">
      <c r="B144" s="448" t="n"/>
      <c r="C144" s="447" t="n"/>
      <c r="D144" s="447" t="n"/>
      <c r="E144" s="853" t="n"/>
      <c r="F144" s="970" t="n"/>
    </row>
    <row r="145">
      <c r="B145" s="448" t="n"/>
      <c r="C145" s="447" t="n"/>
      <c r="D145" s="447" t="n"/>
      <c r="E145" s="853" t="n"/>
      <c r="F145" s="970" t="n"/>
    </row>
    <row r="146">
      <c r="B146" s="448" t="n"/>
      <c r="C146" s="447" t="n"/>
      <c r="D146" s="447" t="n"/>
      <c r="E146" s="853" t="n"/>
      <c r="F146" s="970" t="n"/>
    </row>
    <row r="147">
      <c r="B147" s="448" t="n"/>
      <c r="C147" s="447" t="n"/>
      <c r="D147" s="447" t="n"/>
      <c r="E147" s="853" t="n"/>
      <c r="F147" s="970" t="n"/>
    </row>
    <row r="148">
      <c r="B148" s="448" t="n"/>
      <c r="C148" s="447" t="n"/>
      <c r="D148" s="447" t="n"/>
      <c r="E148" s="853" t="n"/>
      <c r="F148" s="970" t="n"/>
    </row>
    <row r="149">
      <c r="B149" s="448" t="n"/>
      <c r="C149" s="447" t="n"/>
      <c r="D149" s="447" t="n"/>
      <c r="E149" s="853" t="n"/>
      <c r="F149" s="970" t="n"/>
    </row>
    <row r="150">
      <c r="B150" s="448" t="n"/>
      <c r="C150" s="447" t="n"/>
      <c r="D150" s="447" t="n"/>
      <c r="E150" s="853" t="n"/>
      <c r="F150" s="970" t="n"/>
    </row>
    <row r="151">
      <c r="B151" s="448" t="n"/>
      <c r="C151" s="447" t="n"/>
      <c r="D151" s="447" t="n"/>
      <c r="E151" s="853" t="n"/>
      <c r="F151" s="970" t="n"/>
    </row>
    <row r="152">
      <c r="B152" s="448" t="n"/>
      <c r="C152" s="447" t="n"/>
      <c r="D152" s="447" t="n"/>
      <c r="E152" s="853" t="n"/>
      <c r="F152" s="970" t="n"/>
    </row>
    <row r="153">
      <c r="B153" s="448" t="n"/>
      <c r="C153" s="447" t="n"/>
      <c r="D153" s="447" t="n"/>
      <c r="E153" s="853" t="n"/>
      <c r="F153" s="970" t="n"/>
    </row>
    <row r="154">
      <c r="B154" s="448" t="n"/>
      <c r="C154" s="447" t="n"/>
      <c r="D154" s="447" t="n"/>
      <c r="E154" s="853" t="n"/>
      <c r="F154" s="970" t="n"/>
    </row>
    <row r="155">
      <c r="B155" s="448" t="n"/>
      <c r="C155" s="447" t="n"/>
      <c r="D155" s="447" t="n"/>
      <c r="E155" s="853" t="n"/>
      <c r="F155" s="970" t="n"/>
    </row>
    <row r="156">
      <c r="B156" s="448" t="n"/>
      <c r="C156" s="447" t="n"/>
      <c r="D156" s="447" t="n"/>
      <c r="E156" s="853" t="n"/>
      <c r="F156" s="970" t="n"/>
    </row>
    <row r="157">
      <c r="B157" s="448" t="n"/>
      <c r="C157" s="447" t="n"/>
      <c r="D157" s="447" t="n"/>
      <c r="E157" s="853" t="n"/>
      <c r="F157" s="970" t="n"/>
    </row>
    <row r="158">
      <c r="B158" s="448" t="n"/>
      <c r="C158" s="447" t="n"/>
      <c r="D158" s="447" t="n"/>
      <c r="E158" s="853" t="n"/>
      <c r="F158" s="970" t="n"/>
    </row>
    <row r="159">
      <c r="B159" s="448" t="n"/>
      <c r="C159" s="447" t="n"/>
      <c r="D159" s="447" t="n"/>
      <c r="E159" s="853" t="n"/>
      <c r="F159" s="970" t="n"/>
    </row>
    <row r="160">
      <c r="B160" s="448" t="n"/>
      <c r="C160" s="447" t="n"/>
      <c r="D160" s="447" t="n"/>
      <c r="E160" s="853" t="n"/>
      <c r="F160" s="970" t="n"/>
    </row>
    <row r="161">
      <c r="B161" s="448" t="n"/>
      <c r="C161" s="447" t="n"/>
      <c r="D161" s="447" t="n"/>
      <c r="E161" s="853" t="n"/>
      <c r="F161" s="970" t="n"/>
    </row>
    <row r="162">
      <c r="B162" s="448" t="n"/>
      <c r="C162" s="447" t="n"/>
      <c r="D162" s="447" t="n"/>
      <c r="E162" s="853" t="n"/>
      <c r="F162" s="970" t="n"/>
    </row>
    <row r="163">
      <c r="B163" s="448" t="n"/>
      <c r="C163" s="447" t="n"/>
      <c r="D163" s="447" t="n"/>
      <c r="E163" s="853" t="n"/>
      <c r="F163" s="970" t="n"/>
    </row>
    <row r="164">
      <c r="B164" s="448" t="n"/>
      <c r="C164" s="447" t="n"/>
      <c r="D164" s="447" t="n"/>
      <c r="E164" s="853" t="n"/>
      <c r="F164" s="970" t="n"/>
    </row>
    <row r="165">
      <c r="B165" s="448" t="n"/>
      <c r="C165" s="447" t="n"/>
      <c r="D165" s="447" t="n"/>
      <c r="E165" s="853" t="n"/>
      <c r="F165" s="970" t="n"/>
    </row>
    <row r="166">
      <c r="B166" s="448" t="n"/>
      <c r="C166" s="447" t="n"/>
      <c r="D166" s="447" t="n"/>
      <c r="E166" s="853" t="n"/>
      <c r="F166" s="970" t="n"/>
    </row>
    <row r="167">
      <c r="B167" s="448" t="n"/>
      <c r="C167" s="447" t="n"/>
      <c r="D167" s="447" t="n"/>
      <c r="E167" s="853" t="n"/>
      <c r="F167" s="970" t="n"/>
    </row>
    <row r="168">
      <c r="B168" s="448" t="n"/>
      <c r="C168" s="447" t="n"/>
      <c r="D168" s="447" t="n"/>
      <c r="E168" s="853" t="n"/>
      <c r="F168" s="970" t="n"/>
    </row>
    <row r="169">
      <c r="B169" s="448" t="n"/>
      <c r="C169" s="447" t="n"/>
      <c r="D169" s="447" t="n"/>
      <c r="E169" s="853" t="n"/>
      <c r="F169" s="970" t="n"/>
    </row>
    <row r="170">
      <c r="B170" s="448" t="n"/>
      <c r="C170" s="447" t="n"/>
      <c r="D170" s="447" t="n"/>
      <c r="E170" s="853" t="n"/>
      <c r="F170" s="970" t="n"/>
    </row>
    <row r="171">
      <c r="B171" s="448" t="n"/>
      <c r="C171" s="447" t="n"/>
      <c r="D171" s="447" t="n"/>
      <c r="E171" s="853" t="n"/>
      <c r="F171" s="970" t="n"/>
    </row>
    <row r="172">
      <c r="B172" s="448" t="n"/>
      <c r="C172" s="447" t="n"/>
      <c r="D172" s="447" t="n"/>
      <c r="E172" s="853" t="n"/>
      <c r="F172" s="970" t="n"/>
    </row>
    <row r="173">
      <c r="B173" s="448" t="n"/>
      <c r="C173" s="447" t="n"/>
      <c r="D173" s="447" t="n"/>
      <c r="E173" s="853" t="n"/>
      <c r="F173" s="970" t="n"/>
    </row>
    <row r="174">
      <c r="B174" s="448" t="n"/>
      <c r="C174" s="447" t="n"/>
      <c r="D174" s="447" t="n"/>
      <c r="E174" s="853" t="n"/>
      <c r="F174" s="970" t="n"/>
    </row>
    <row r="175">
      <c r="B175" s="448" t="n"/>
      <c r="C175" s="447" t="n"/>
      <c r="D175" s="447" t="n"/>
      <c r="E175" s="853" t="n"/>
      <c r="F175" s="970" t="n"/>
    </row>
    <row r="176">
      <c r="B176" s="448" t="n"/>
      <c r="C176" s="447" t="n"/>
      <c r="D176" s="447" t="n"/>
      <c r="E176" s="853" t="n"/>
      <c r="F176" s="970" t="n"/>
    </row>
    <row r="177">
      <c r="B177" s="448" t="n"/>
      <c r="C177" s="447" t="n"/>
      <c r="D177" s="447" t="n"/>
      <c r="E177" s="853" t="n"/>
      <c r="F177" s="970" t="n"/>
    </row>
    <row r="178">
      <c r="B178" s="448" t="n"/>
      <c r="C178" s="447" t="n"/>
      <c r="D178" s="447" t="n"/>
      <c r="E178" s="853" t="n"/>
      <c r="F178" s="970" t="n"/>
    </row>
    <row r="179">
      <c r="B179" s="448" t="n"/>
      <c r="C179" s="447" t="n"/>
      <c r="D179" s="447" t="n"/>
      <c r="E179" s="853" t="n"/>
      <c r="F179" s="970" t="n"/>
    </row>
    <row r="180" ht="15" customHeight="1" s="779" thickBot="1">
      <c r="B180" s="448" t="n"/>
      <c r="C180" s="447" t="n"/>
      <c r="D180" s="447" t="n"/>
      <c r="E180" s="853" t="n"/>
      <c r="F180" s="970" t="n"/>
    </row>
    <row r="181" ht="15" customHeight="1" s="779" thickBot="1">
      <c r="B181" s="446" t="inlineStr">
        <is>
          <t>Totales</t>
        </is>
      </c>
      <c r="C181" s="449" t="n"/>
      <c r="D181" s="447" t="n"/>
      <c r="E181" s="973" t="n">
        <v>0</v>
      </c>
      <c r="F181" s="974" t="n">
        <v>0</v>
      </c>
    </row>
    <row r="182">
      <c r="F182" s="84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C2:E20"/>
  <sheetViews>
    <sheetView showGridLines="0" topLeftCell="B1" workbookViewId="0">
      <selection activeCell="G9" sqref="G9"/>
    </sheetView>
  </sheetViews>
  <sheetFormatPr baseColWidth="10" defaultRowHeight="14.4"/>
  <cols>
    <col width="30.5546875" bestFit="1" customWidth="1" style="779" min="3" max="3"/>
    <col width="15.109375" customWidth="1" style="779" min="4" max="4"/>
    <col width="14.88671875" customWidth="1" style="779" min="5" max="5"/>
  </cols>
  <sheetData>
    <row r="2">
      <c r="C2" s="1190" t="inlineStr">
        <is>
          <t>PROVISION EMPLEADOS</t>
        </is>
      </c>
    </row>
    <row r="4">
      <c r="D4" s="786" t="n"/>
      <c r="E4" s="786" t="n"/>
    </row>
    <row r="5">
      <c r="C5" s="101" t="n"/>
      <c r="D5" s="160" t="inlineStr">
        <is>
          <t>30.06.2026</t>
        </is>
      </c>
      <c r="E5" s="160" t="inlineStr">
        <is>
          <t>31.12.2025</t>
        </is>
      </c>
    </row>
    <row r="6">
      <c r="C6" s="101" t="n"/>
      <c r="D6" s="95" t="inlineStr">
        <is>
          <t>M$</t>
        </is>
      </c>
      <c r="E6" s="95" t="inlineStr">
        <is>
          <t>M$</t>
        </is>
      </c>
    </row>
    <row r="7" ht="15" customHeight="1" s="779" thickBot="1">
      <c r="C7" s="578" t="inlineStr">
        <is>
          <t>Provisión Vacaciones</t>
        </is>
      </c>
      <c r="D7" s="910" t="n"/>
      <c r="E7" s="975" t="n"/>
    </row>
    <row r="8" ht="15" customHeight="1" s="779" thickBot="1">
      <c r="C8" s="578" t="inlineStr">
        <is>
          <t>Total</t>
        </is>
      </c>
      <c r="D8" s="841">
        <f>+D7</f>
        <v/>
      </c>
      <c r="E8" s="841">
        <f>+E7</f>
        <v/>
      </c>
    </row>
    <row r="12">
      <c r="C12" s="1190" t="inlineStr">
        <is>
          <t>PROVISIONES POR PASIVOS CON CONTRATOS CON CLIENTES - LARGO PLAZO</t>
        </is>
      </c>
    </row>
    <row r="14">
      <c r="D14" s="786" t="n"/>
      <c r="E14" s="786" t="n"/>
    </row>
    <row r="15">
      <c r="C15" s="101" t="n"/>
      <c r="D15" s="160" t="inlineStr">
        <is>
          <t>30.06.2026</t>
        </is>
      </c>
      <c r="E15" s="160" t="inlineStr">
        <is>
          <t>31.12.2025</t>
        </is>
      </c>
    </row>
    <row r="16">
      <c r="C16" s="101" t="n"/>
      <c r="D16" s="95" t="inlineStr">
        <is>
          <t>M$</t>
        </is>
      </c>
      <c r="E16" s="95" t="inlineStr">
        <is>
          <t>M$</t>
        </is>
      </c>
    </row>
    <row r="17" ht="15" customHeight="1" s="779" thickBot="1">
      <c r="C17" s="1191" t="inlineStr">
        <is>
          <t>Ingresos percibidos por adelantado</t>
        </is>
      </c>
      <c r="D17" s="910" t="n"/>
      <c r="E17" s="975" t="n"/>
    </row>
    <row r="18" ht="15" customHeight="1" s="779" thickBot="1">
      <c r="C18" s="578" t="inlineStr">
        <is>
          <t>Total</t>
        </is>
      </c>
      <c r="D18" s="841">
        <f>+D17</f>
        <v/>
      </c>
      <c r="E18" s="841">
        <f>+E17</f>
        <v/>
      </c>
    </row>
    <row r="20">
      <c r="C20" s="509" t="n"/>
      <c r="D20" s="976" t="n">
        <v>0</v>
      </c>
      <c r="E20" s="976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rgb="FF00B0F0"/>
    <outlinePr summaryBelow="1" summaryRight="1"/>
    <pageSetUpPr/>
  </sheetPr>
  <dimension ref="B3:K91"/>
  <sheetViews>
    <sheetView showGridLines="0" topLeftCell="B70" workbookViewId="0">
      <selection activeCell="D70" sqref="D70:E70"/>
    </sheetView>
  </sheetViews>
  <sheetFormatPr baseColWidth="10" defaultRowHeight="14.4"/>
  <cols>
    <col width="46" customWidth="1" style="779" min="3" max="3"/>
  </cols>
  <sheetData>
    <row r="3">
      <c r="C3" s="1192" t="inlineStr">
        <is>
          <t xml:space="preserve"> NOTA DE IMPUESTOS DIFERIDOS</t>
        </is>
      </c>
    </row>
    <row r="5" ht="33.6" customHeight="1" s="779">
      <c r="B5" s="598" t="inlineStr">
        <is>
          <t>1)</t>
        </is>
      </c>
      <c r="C5" s="1193" t="inlineStr">
        <is>
          <t>Los saldos acumulados netos de las diferencias temporarias originaron activos y pasivos por impuestos diferidos, cuyo detalle es el siguiente:</t>
        </is>
      </c>
      <c r="D5" s="797" t="n"/>
      <c r="E5" s="797" t="n"/>
      <c r="F5" s="797" t="n"/>
      <c r="G5" s="797" t="n"/>
    </row>
    <row r="6" ht="15.6" customHeight="1" s="779">
      <c r="B6" s="599" t="n"/>
      <c r="C6" s="463" t="n"/>
    </row>
    <row r="7" ht="15.6" customHeight="1" s="779">
      <c r="B7" s="599" t="n"/>
      <c r="C7" s="117" t="n"/>
      <c r="D7" s="1194" t="n">
        <v>46203</v>
      </c>
      <c r="E7" s="572" t="n"/>
      <c r="F7" s="572" t="n">
        <v>46022</v>
      </c>
      <c r="G7" s="572" t="n"/>
      <c r="H7" s="572" t="n"/>
      <c r="I7" s="572" t="n"/>
      <c r="J7" s="572" t="n"/>
      <c r="K7" s="814" t="n"/>
    </row>
    <row r="8" ht="15.6" customHeight="1" s="779">
      <c r="B8" s="599" t="n"/>
      <c r="C8" s="117" t="n"/>
      <c r="D8" s="116" t="inlineStr">
        <is>
          <t>Activos</t>
        </is>
      </c>
      <c r="E8" s="189" t="inlineStr">
        <is>
          <t>Pasivos</t>
        </is>
      </c>
      <c r="F8" s="116" t="inlineStr">
        <is>
          <t>Activos</t>
        </is>
      </c>
      <c r="G8" s="189" t="inlineStr">
        <is>
          <t>Pasivos</t>
        </is>
      </c>
      <c r="H8" s="189" t="n"/>
      <c r="I8" s="189" t="n"/>
      <c r="K8" s="814" t="n"/>
    </row>
    <row r="9" ht="15.6" customHeight="1" s="779">
      <c r="B9" s="599" t="n"/>
      <c r="C9" s="117" t="n"/>
      <c r="D9" s="114" t="inlineStr">
        <is>
          <t>M$</t>
        </is>
      </c>
      <c r="E9" s="814" t="inlineStr">
        <is>
          <t>M$</t>
        </is>
      </c>
      <c r="F9" s="114" t="inlineStr">
        <is>
          <t>M$</t>
        </is>
      </c>
      <c r="G9" s="814" t="inlineStr">
        <is>
          <t>M$</t>
        </is>
      </c>
      <c r="H9" s="814" t="n"/>
      <c r="I9" s="814" t="n"/>
      <c r="K9" s="814" t="n"/>
    </row>
    <row r="10" ht="15.6" customHeight="1" s="779">
      <c r="B10" s="599" t="n"/>
      <c r="C10" s="1179" t="inlineStr">
        <is>
          <t>Provisión vacaciones</t>
        </is>
      </c>
      <c r="D10" s="977" t="n"/>
      <c r="E10" s="978" t="n"/>
      <c r="F10" s="977" t="n"/>
      <c r="G10" s="978" t="n"/>
      <c r="H10" s="978" t="n"/>
      <c r="I10" s="978" t="n"/>
      <c r="K10" s="198" t="n"/>
    </row>
    <row r="11" ht="15.6" customHeight="1" s="779">
      <c r="B11" s="599" t="n"/>
      <c r="C11" s="1179" t="inlineStr">
        <is>
          <t>Activos en leasing netos</t>
        </is>
      </c>
      <c r="D11" s="977" t="n"/>
      <c r="E11" s="978" t="n"/>
      <c r="F11" s="977" t="n"/>
      <c r="G11" s="978" t="n"/>
      <c r="H11" s="978" t="n"/>
      <c r="I11" s="978" t="n"/>
      <c r="K11" s="198" t="n"/>
    </row>
    <row r="12" ht="15.6" customHeight="1" s="779">
      <c r="B12" s="599" t="n"/>
      <c r="C12" s="1179" t="inlineStr">
        <is>
          <t>Provisión de incobrables</t>
        </is>
      </c>
      <c r="D12" s="977" t="n"/>
      <c r="E12" s="978" t="n"/>
      <c r="F12" s="977" t="n"/>
      <c r="G12" s="978" t="n"/>
      <c r="H12" s="978" t="n"/>
      <c r="I12" s="978" t="n"/>
      <c r="K12" s="198" t="n"/>
    </row>
    <row r="13" ht="15.6" customHeight="1" s="779">
      <c r="B13" s="599" t="n"/>
      <c r="C13" s="1179" t="inlineStr">
        <is>
          <t xml:space="preserve">Propiedades, planta y equipos (1) </t>
        </is>
      </c>
      <c r="D13" s="977" t="n"/>
      <c r="E13" s="978" t="n"/>
      <c r="F13" s="977" t="n"/>
      <c r="G13" s="978" t="n"/>
      <c r="H13" s="978" t="n"/>
      <c r="I13" s="978" t="n"/>
      <c r="K13" s="198" t="n"/>
    </row>
    <row r="14" ht="15.6" customHeight="1" s="779">
      <c r="B14" s="599" t="n"/>
      <c r="C14" s="1179" t="inlineStr">
        <is>
          <t>Intangibles (2)</t>
        </is>
      </c>
      <c r="D14" s="977" t="n"/>
      <c r="E14" s="978" t="n"/>
      <c r="F14" s="977" t="n"/>
      <c r="G14" s="978" t="n"/>
      <c r="H14" s="978" t="n"/>
      <c r="I14" s="978" t="n"/>
      <c r="K14" s="198" t="n"/>
    </row>
    <row r="15" ht="15.6" customHeight="1" s="779">
      <c r="B15" s="599" t="n"/>
      <c r="C15" s="1179" t="inlineStr">
        <is>
          <t>Provisión obsolescencia</t>
        </is>
      </c>
      <c r="D15" s="977" t="n"/>
      <c r="E15" s="978" t="n"/>
      <c r="F15" s="977" t="n"/>
      <c r="G15" s="978" t="n"/>
      <c r="H15" s="978" t="n"/>
      <c r="I15" s="978" t="n"/>
      <c r="K15" s="198" t="n"/>
    </row>
    <row r="16" ht="15.6" customHeight="1" s="779">
      <c r="B16" s="599" t="n"/>
      <c r="C16" s="1179" t="inlineStr">
        <is>
          <t>Instrumento de cobertura</t>
        </is>
      </c>
      <c r="D16" s="977" t="n"/>
      <c r="E16" s="978" t="n"/>
      <c r="F16" s="977" t="n"/>
      <c r="G16" s="978" t="n"/>
      <c r="H16" s="978" t="n"/>
      <c r="I16" s="978" t="n"/>
      <c r="K16" s="198" t="inlineStr">
        <is>
          <t xml:space="preserve"> </t>
        </is>
      </c>
    </row>
    <row r="17" ht="15.6" customHeight="1" s="779">
      <c r="B17" s="599" t="n"/>
      <c r="C17" s="1179" t="inlineStr">
        <is>
          <t>Arrendamiento (IFRS 16)</t>
        </is>
      </c>
      <c r="D17" s="977" t="n"/>
      <c r="E17" s="978" t="n"/>
      <c r="F17" s="977" t="n"/>
      <c r="G17" s="978" t="n"/>
      <c r="H17" s="978" t="n"/>
      <c r="I17" s="978" t="n"/>
      <c r="K17" s="198" t="n"/>
    </row>
    <row r="18" ht="15.6" customHeight="1" s="779">
      <c r="B18" s="599" t="n"/>
      <c r="C18" s="1179" t="inlineStr">
        <is>
          <t>Costos financieros créditos</t>
        </is>
      </c>
      <c r="D18" s="977" t="n"/>
      <c r="E18" s="978" t="n"/>
      <c r="F18" s="977" t="n"/>
      <c r="G18" s="978" t="n"/>
      <c r="H18" s="978" t="n"/>
      <c r="I18" s="978" t="n"/>
      <c r="K18" s="198" t="n"/>
    </row>
    <row r="19" ht="15.6" customHeight="1" s="779">
      <c r="B19" s="599" t="n"/>
      <c r="C19" s="1179" t="inlineStr">
        <is>
          <t>Provisiones y anticipos</t>
        </is>
      </c>
      <c r="D19" s="977" t="n"/>
      <c r="E19" s="978" t="n"/>
      <c r="F19" s="977" t="n"/>
      <c r="G19" s="978" t="n"/>
      <c r="H19" s="978" t="n"/>
      <c r="I19" s="978" t="n"/>
      <c r="K19" s="198" t="n"/>
    </row>
    <row r="20" ht="15.6" customHeight="1" s="779">
      <c r="B20" s="599" t="n"/>
      <c r="C20" s="1179" t="inlineStr">
        <is>
          <t>Ingresos percibidos por adelantado</t>
        </is>
      </c>
      <c r="D20" s="977" t="n"/>
      <c r="E20" s="978" t="n"/>
      <c r="F20" s="977" t="n"/>
      <c r="G20" s="978" t="n"/>
      <c r="H20" s="978" t="n"/>
      <c r="I20" s="978" t="n"/>
      <c r="K20" s="198" t="n"/>
    </row>
    <row r="21" ht="16.2" customHeight="1" s="779" thickBot="1">
      <c r="B21" s="599" t="n"/>
      <c r="C21" s="1179" t="inlineStr">
        <is>
          <t xml:space="preserve">Perdida tributaria </t>
        </is>
      </c>
      <c r="D21" s="979" t="n"/>
      <c r="E21" s="978" t="n"/>
      <c r="F21" s="979" t="n"/>
      <c r="G21" s="978" t="n"/>
      <c r="H21" s="978" t="n"/>
      <c r="I21" s="978" t="n"/>
      <c r="K21" s="198" t="n"/>
    </row>
    <row r="22" ht="16.2" customHeight="1" s="779" thickBot="1">
      <c r="B22" s="599" t="n"/>
      <c r="C22" s="1179" t="inlineStr">
        <is>
          <t>Totales</t>
        </is>
      </c>
      <c r="D22" s="980">
        <f>SUM(D10:D21)</f>
        <v/>
      </c>
      <c r="E22" s="980">
        <f>SUM(E10:E21)</f>
        <v/>
      </c>
      <c r="F22" s="980">
        <f>SUM(F10:F21)</f>
        <v/>
      </c>
      <c r="G22" s="980">
        <f>SUM(G10:G21)</f>
        <v/>
      </c>
      <c r="H22" s="978" t="n"/>
      <c r="I22" s="978" t="n"/>
      <c r="K22" s="198" t="n"/>
    </row>
    <row r="23" ht="16.2" customHeight="1" s="779" thickBot="1">
      <c r="B23" s="599" t="n"/>
      <c r="C23" s="1179" t="inlineStr">
        <is>
          <t>reclasificación</t>
        </is>
      </c>
      <c r="D23" s="980" t="n"/>
      <c r="E23" s="981" t="n"/>
      <c r="F23" s="980" t="n"/>
      <c r="G23" s="981" t="n"/>
      <c r="H23" s="978" t="n"/>
      <c r="I23" s="978" t="n"/>
      <c r="K23" s="198" t="n"/>
    </row>
    <row r="24" ht="16.2" customHeight="1" s="779" thickBot="1">
      <c r="B24" s="599" t="n"/>
      <c r="C24" s="1179" t="inlineStr">
        <is>
          <t xml:space="preserve">Total neto </t>
        </is>
      </c>
      <c r="D24" s="982">
        <f>+D22+D23</f>
        <v/>
      </c>
      <c r="E24" s="982">
        <f>+E22+E23</f>
        <v/>
      </c>
      <c r="F24" s="982">
        <f>+F22+F23</f>
        <v/>
      </c>
      <c r="G24" s="982">
        <f>+G22+G23</f>
        <v/>
      </c>
      <c r="H24" s="977" t="n"/>
      <c r="I24" s="977" t="n"/>
      <c r="K24" s="198" t="n"/>
    </row>
    <row r="25" ht="16.2" customHeight="1" s="779" thickTop="1">
      <c r="B25" s="599" t="n"/>
    </row>
    <row r="26" ht="15.6" customHeight="1" s="779">
      <c r="B26" s="599" t="n"/>
      <c r="D26" s="833" t="n">
        <v>0</v>
      </c>
    </row>
    <row r="27" ht="15.6" customHeight="1" s="779">
      <c r="B27" s="599" t="n"/>
    </row>
    <row r="28" ht="26.4" customHeight="1" s="779">
      <c r="B28" s="598" t="inlineStr">
        <is>
          <t>2)</t>
        </is>
      </c>
      <c r="C28" s="1195" t="inlineStr">
        <is>
          <t>Conciliación del saldo inicial y final de impuestos diferidos al 31 de diciembre de 2025 y 2024</t>
        </is>
      </c>
      <c r="D28" s="797" t="n"/>
      <c r="E28" s="797" t="n"/>
    </row>
    <row r="29" ht="15.6" customHeight="1" s="779">
      <c r="B29" s="599" t="n"/>
      <c r="C29" s="463" t="n"/>
    </row>
    <row r="30" ht="15.6" customHeight="1" s="779">
      <c r="B30" s="599" t="n"/>
      <c r="C30" s="574" t="inlineStr">
        <is>
          <t>Concepto</t>
        </is>
      </c>
      <c r="D30" s="1194" t="n">
        <v>46387</v>
      </c>
      <c r="E30" s="1194" t="n">
        <v>46022</v>
      </c>
    </row>
    <row r="31" ht="15.6" customHeight="1" s="779">
      <c r="B31" s="599" t="n"/>
      <c r="C31" s="130" t="n"/>
      <c r="D31" s="189" t="inlineStr">
        <is>
          <t>M$</t>
        </is>
      </c>
      <c r="E31" s="189" t="inlineStr">
        <is>
          <t>M$</t>
        </is>
      </c>
    </row>
    <row r="32" ht="15.6" customHeight="1" s="779">
      <c r="B32" s="599" t="n"/>
      <c r="C32" s="1152" t="inlineStr">
        <is>
          <t xml:space="preserve">Saldo inicial impuestos diferidos al 1 de enero </t>
        </is>
      </c>
      <c r="D32" s="978">
        <f>+E41</f>
        <v/>
      </c>
      <c r="E32" s="978" t="n">
        <v>0</v>
      </c>
    </row>
    <row r="33" ht="15.6" customHeight="1" s="779">
      <c r="B33" s="599" t="n"/>
      <c r="C33" s="130" t="n"/>
      <c r="D33" s="983" t="n"/>
      <c r="E33" s="983" t="n"/>
    </row>
    <row r="34" ht="15.6" customHeight="1" s="779">
      <c r="B34" s="599" t="n"/>
      <c r="C34" s="1152" t="inlineStr">
        <is>
          <t>(cargos)/abonos que no afectaron resultado:</t>
        </is>
      </c>
      <c r="D34" s="983" t="n"/>
      <c r="E34" s="983" t="n"/>
    </row>
    <row r="35" ht="22.8" customHeight="1" s="779">
      <c r="B35" s="599" t="n"/>
      <c r="C35" s="1152" t="inlineStr">
        <is>
          <t xml:space="preserve">   Variaciones por revalorización de propiedad, planta y equipos con efecto en     reservas</t>
        </is>
      </c>
      <c r="D35" s="995" t="inlineStr">
        <is>
          <t>-</t>
        </is>
      </c>
      <c r="E35" s="995" t="inlineStr">
        <is>
          <t>-</t>
        </is>
      </c>
    </row>
    <row r="36" ht="23.4" customHeight="1" s="779" thickBot="1">
      <c r="B36" s="599" t="n"/>
      <c r="C36" s="1152" t="inlineStr">
        <is>
          <t xml:space="preserve">   Variaciones por instrumento de cobertura con efecto en reservas</t>
        </is>
      </c>
      <c r="D36" s="984" t="n">
        <v>0</v>
      </c>
      <c r="E36" s="984" t="n">
        <v>0</v>
      </c>
    </row>
    <row r="37" ht="15.6" customHeight="1" s="779">
      <c r="B37" s="599" t="n"/>
      <c r="C37" s="1152" t="inlineStr">
        <is>
          <t>Sub total (cargos)/abonos que no afectaron el resultado</t>
        </is>
      </c>
      <c r="D37" s="978">
        <f>SUM(D35:D36)</f>
        <v/>
      </c>
      <c r="E37" s="978">
        <f>SUM(E35:E36)</f>
        <v/>
      </c>
    </row>
    <row r="38" ht="15.6" customHeight="1" s="779">
      <c r="B38" s="599" t="n"/>
      <c r="C38" s="130" t="n"/>
      <c r="D38" s="983" t="n"/>
      <c r="E38" s="983" t="n"/>
    </row>
    <row r="39" ht="16.2" customHeight="1" s="779" thickBot="1">
      <c r="B39" s="599" t="n"/>
      <c r="C39" s="1152" t="inlineStr">
        <is>
          <t>(cargos)/abonos que afectaron resultado:</t>
        </is>
      </c>
      <c r="D39" s="984" t="n"/>
      <c r="E39" s="984" t="n">
        <v>0</v>
      </c>
    </row>
    <row r="40" ht="16.2" customHeight="1" s="779" thickBot="1">
      <c r="B40" s="599" t="n"/>
      <c r="C40" s="130" t="n"/>
      <c r="D40" s="985" t="n"/>
      <c r="E40" s="985" t="n"/>
    </row>
    <row r="41" ht="16.2" customHeight="1" s="779" thickBot="1">
      <c r="B41" s="599" t="n"/>
      <c r="C41" s="1152" t="inlineStr">
        <is>
          <t>Saldo final impuestos diferidos al 31 de diciembre</t>
        </is>
      </c>
      <c r="D41" s="984">
        <f>+D39+D37+D32</f>
        <v/>
      </c>
      <c r="E41" s="984">
        <f>+E39+E37+E32</f>
        <v/>
      </c>
    </row>
    <row r="42" ht="15.6" customHeight="1" s="779">
      <c r="B42" s="599" t="n"/>
      <c r="C42" s="573" t="n"/>
      <c r="D42" s="833" t="n"/>
      <c r="E42" s="833" t="n"/>
    </row>
    <row r="43" ht="15.6" customHeight="1" s="779">
      <c r="B43" s="599" t="n"/>
    </row>
    <row r="44" ht="15.6" customHeight="1" s="779">
      <c r="B44" s="599" t="n"/>
    </row>
    <row r="45" ht="26.4" customHeight="1" s="779">
      <c r="B45" s="598" t="inlineStr">
        <is>
          <t>3)</t>
        </is>
      </c>
      <c r="C45" s="1195" t="inlineStr">
        <is>
          <t>Los efectos de impuestos por los ejercicios 2025 y 2024 se detallan a continuación:</t>
        </is>
      </c>
      <c r="D45" s="797" t="n"/>
      <c r="E45" s="797" t="n"/>
    </row>
    <row r="46" ht="15.6" customHeight="1" s="779">
      <c r="B46" s="599" t="n"/>
      <c r="C46" s="221" t="n"/>
    </row>
    <row r="47" ht="15.6" customHeight="1" s="779">
      <c r="B47" s="599" t="n"/>
      <c r="D47" s="1194" t="n">
        <v>46387</v>
      </c>
      <c r="E47" s="1194" t="n">
        <v>46022</v>
      </c>
    </row>
    <row r="48" ht="15.6" customHeight="1" s="779">
      <c r="B48" s="599" t="n"/>
      <c r="D48" s="577" t="inlineStr">
        <is>
          <t>M$</t>
        </is>
      </c>
      <c r="E48" s="577" t="inlineStr">
        <is>
          <t xml:space="preserve"> M$ </t>
        </is>
      </c>
    </row>
    <row r="49" ht="15.6" customHeight="1" s="779">
      <c r="B49" s="599" t="n"/>
      <c r="C49" s="579" t="inlineStr">
        <is>
          <t>Efectos en reservas de patrimonio</t>
        </is>
      </c>
    </row>
    <row r="50" ht="16.2" customHeight="1" s="779" thickBot="1">
      <c r="B50" s="599" t="n"/>
      <c r="C50" s="578" t="inlineStr">
        <is>
          <t>Efecto por impuestos diferidos</t>
        </is>
      </c>
      <c r="D50" s="986" t="n"/>
      <c r="E50" s="986" t="n"/>
    </row>
    <row r="51" ht="16.2" customHeight="1" s="779" thickBot="1">
      <c r="B51" s="599" t="n"/>
      <c r="C51" s="578" t="inlineStr">
        <is>
          <t>Total</t>
        </is>
      </c>
      <c r="D51" s="987">
        <f>+D50</f>
        <v/>
      </c>
      <c r="E51" s="987">
        <f>+E50</f>
        <v/>
      </c>
    </row>
    <row r="52" ht="16.2" customHeight="1" s="779" thickTop="1">
      <c r="B52" s="599" t="n"/>
      <c r="C52" s="579" t="inlineStr">
        <is>
          <t>Efectos en resultado</t>
        </is>
      </c>
      <c r="D52" s="988" t="n"/>
      <c r="E52" s="988" t="n"/>
    </row>
    <row r="53" ht="15.6" customHeight="1" s="779">
      <c r="B53" s="599" t="n"/>
      <c r="C53" s="578" t="inlineStr">
        <is>
          <t xml:space="preserve">Efecto de impuestos diferidos </t>
        </is>
      </c>
      <c r="D53" s="989" t="n"/>
      <c r="E53" s="989" t="n">
        <v>0</v>
      </c>
    </row>
    <row r="54" ht="16.2" customHeight="1" s="779" thickBot="1">
      <c r="B54" s="599" t="n"/>
      <c r="C54" s="578" t="inlineStr">
        <is>
          <t xml:space="preserve">Efecto por impuestos a la renta </t>
        </is>
      </c>
      <c r="D54" s="986" t="n">
        <v>0</v>
      </c>
      <c r="E54" s="986" t="n">
        <v>0</v>
      </c>
    </row>
    <row r="55" ht="16.2" customHeight="1" s="779" thickBot="1">
      <c r="B55" s="599" t="n"/>
      <c r="C55" s="578" t="inlineStr">
        <is>
          <t>Total</t>
        </is>
      </c>
      <c r="D55" s="987">
        <f>+D53+D54</f>
        <v/>
      </c>
      <c r="E55" s="987">
        <f>+E53+E54</f>
        <v/>
      </c>
    </row>
    <row r="56" ht="16.2" customHeight="1" s="779" thickTop="1">
      <c r="B56" s="599" t="n"/>
      <c r="C56" s="573" t="n"/>
      <c r="D56" s="833" t="n"/>
      <c r="E56" s="833" t="n"/>
    </row>
    <row r="57" ht="15.6" customHeight="1" s="779">
      <c r="B57" s="599" t="n"/>
    </row>
    <row r="58" ht="26.4" customHeight="1" s="779">
      <c r="B58" s="598" t="inlineStr">
        <is>
          <t>4)</t>
        </is>
      </c>
      <c r="C58" s="1196" t="inlineStr">
        <is>
          <t xml:space="preserve"> La composición del gasto por impuesto a la renta es la siguiente:</t>
        </is>
      </c>
      <c r="D58" s="797" t="n"/>
      <c r="E58" s="797" t="n"/>
    </row>
    <row r="59" ht="15.6" customHeight="1" s="779">
      <c r="B59" s="599" t="n"/>
      <c r="C59" s="573" t="n"/>
    </row>
    <row r="60" ht="15.6" customHeight="1" s="779">
      <c r="B60" s="599" t="n"/>
      <c r="C60" s="1146" t="inlineStr">
        <is>
          <t>Movimientos en activos por impuestos diferidos</t>
        </is>
      </c>
      <c r="D60" s="1194" t="n">
        <v>46387</v>
      </c>
      <c r="E60" s="1194" t="n">
        <v>46022</v>
      </c>
      <c r="F60" s="133" t="n"/>
    </row>
    <row r="61" ht="15.6" customHeight="1" s="779">
      <c r="B61" s="599" t="n"/>
      <c r="D61" s="94" t="inlineStr">
        <is>
          <t>M$</t>
        </is>
      </c>
      <c r="E61" s="94" t="inlineStr">
        <is>
          <t>M$</t>
        </is>
      </c>
      <c r="F61" s="134" t="n"/>
    </row>
    <row r="62" ht="15.6" customHeight="1" s="779">
      <c r="B62" s="599" t="n"/>
      <c r="C62" s="1147" t="inlineStr">
        <is>
          <t>Gasto por impuesto a las ganancias:</t>
        </is>
      </c>
      <c r="D62" s="94" t="n"/>
      <c r="E62" s="94" t="n"/>
      <c r="F62" s="136" t="n"/>
    </row>
    <row r="63" ht="15.6" customHeight="1" s="779">
      <c r="B63" s="599" t="n"/>
      <c r="C63" s="1147" t="inlineStr">
        <is>
          <t>Gasto por impuestos corrientes (Impuesto único)</t>
        </is>
      </c>
      <c r="D63" s="103" t="n"/>
      <c r="E63" s="103" t="n"/>
      <c r="F63" s="136" t="n"/>
    </row>
    <row r="64" ht="23.4" customHeight="1" s="779" thickBot="1">
      <c r="B64" s="599" t="n"/>
      <c r="C64" s="1147" t="inlineStr">
        <is>
          <t>Gasto por impuestos relativo a la creación y reversión de diferencias temporarias</t>
        </is>
      </c>
      <c r="D64" s="585" t="n"/>
      <c r="E64" s="585" t="n"/>
      <c r="F64" s="136" t="n"/>
    </row>
    <row r="65" ht="16.2" customHeight="1" s="779" thickBot="1">
      <c r="B65" s="599" t="n"/>
      <c r="C65" s="578" t="inlineStr">
        <is>
          <t>(Gasto) ingreso por impuesto a las ganancias</t>
        </is>
      </c>
      <c r="D65" s="585">
        <f>SUM(D63:D64)</f>
        <v/>
      </c>
      <c r="E65" s="585">
        <f>SUM(E63:E64)</f>
        <v/>
      </c>
      <c r="F65" s="136" t="n"/>
    </row>
    <row r="66" ht="15.6" customHeight="1" s="779">
      <c r="B66" s="599" t="n"/>
      <c r="D66" s="6" t="n">
        <v>0</v>
      </c>
    </row>
    <row r="67" ht="15.6" customHeight="1" s="779">
      <c r="B67" s="599" t="n"/>
    </row>
    <row r="68" ht="15.6" customHeight="1" s="779">
      <c r="B68" s="598" t="inlineStr">
        <is>
          <t>5)</t>
        </is>
      </c>
      <c r="C68" s="1195" t="inlineStr">
        <is>
          <t>Reconciliación de tasa efectiva:</t>
        </is>
      </c>
      <c r="D68" s="797" t="n"/>
      <c r="E68" s="797" t="n"/>
    </row>
    <row r="69" ht="15.6" customHeight="1" s="779">
      <c r="B69" s="599" t="n"/>
      <c r="C69" s="588" t="n"/>
    </row>
    <row r="70" ht="15.6" customHeight="1" s="779">
      <c r="B70" s="599" t="n"/>
      <c r="D70" s="1194" t="n">
        <v>46387</v>
      </c>
      <c r="E70" s="1194" t="n">
        <v>46022</v>
      </c>
    </row>
    <row r="71" ht="15.6" customHeight="1" s="779">
      <c r="B71" s="599" t="n"/>
      <c r="D71" s="178" t="inlineStr">
        <is>
          <t>M$</t>
        </is>
      </c>
      <c r="E71" s="178" t="inlineStr">
        <is>
          <t>M$</t>
        </is>
      </c>
    </row>
    <row r="72">
      <c r="C72" s="1197" t="inlineStr">
        <is>
          <t>Resultado antes de impuesto a la renta</t>
        </is>
      </c>
      <c r="D72" s="990" t="n">
        <v>-53463806.443</v>
      </c>
      <c r="E72" s="990" t="n">
        <v>-56379823</v>
      </c>
    </row>
    <row r="73">
      <c r="C73" s="589" t="n"/>
      <c r="D73" s="991" t="n"/>
      <c r="E73" s="991" t="n"/>
    </row>
    <row r="74">
      <c r="C74" s="591" t="inlineStr">
        <is>
          <t>Gasto por impuesto utilizando la tasa legal</t>
        </is>
      </c>
      <c r="D74" s="978" t="n"/>
      <c r="E74" s="978" t="n"/>
    </row>
    <row r="75">
      <c r="C75" s="591" t="inlineStr">
        <is>
          <t>Efecto corrección monetaria patrimonio tributario</t>
        </is>
      </c>
      <c r="D75" s="978" t="n"/>
      <c r="E75" s="978" t="n"/>
    </row>
    <row r="76">
      <c r="C76" s="591" t="inlineStr">
        <is>
          <t>Efecto corrección monetaria pérdida tributaria arrastre</t>
        </is>
      </c>
      <c r="D76" s="978" t="n"/>
      <c r="E76" s="978" t="n"/>
    </row>
    <row r="77">
      <c r="C77" s="1167" t="inlineStr">
        <is>
          <t>Efecto corrección monetaria inversión tributaria</t>
        </is>
      </c>
      <c r="D77" s="978" t="n"/>
      <c r="E77" s="978" t="n"/>
    </row>
    <row r="78">
      <c r="C78" s="1167" t="inlineStr">
        <is>
          <t>Efecto amortización ppa</t>
        </is>
      </c>
      <c r="D78" s="992" t="n"/>
      <c r="E78" s="992" t="n"/>
    </row>
    <row r="79">
      <c r="C79" s="1167" t="inlineStr">
        <is>
          <t>Efecto goodwill no asignado</t>
        </is>
      </c>
      <c r="D79" s="978" t="n"/>
      <c r="E79" s="978" t="n"/>
    </row>
    <row r="80">
      <c r="C80" s="1167" t="inlineStr">
        <is>
          <t>Efecto Instrumento de cobertura</t>
        </is>
      </c>
      <c r="D80" s="978" t="n"/>
      <c r="E80" s="978" t="n"/>
    </row>
    <row r="81">
      <c r="C81" s="1167" t="inlineStr">
        <is>
          <t>Efecto impositivo por cambio de regimen</t>
        </is>
      </c>
      <c r="D81" s="978" t="n"/>
      <c r="E81" s="978" t="n"/>
    </row>
    <row r="82">
      <c r="C82" s="1179" t="inlineStr">
        <is>
          <t xml:space="preserve">Efecto impositivo por fusión </t>
        </is>
      </c>
      <c r="D82" s="978" t="n"/>
      <c r="E82" s="978" t="n"/>
    </row>
    <row r="83">
      <c r="C83" s="1167" t="inlineStr">
        <is>
          <t>Efecto impositivo castigo de incobrables</t>
        </is>
      </c>
      <c r="D83" s="978" t="n"/>
      <c r="E83" s="978" t="n"/>
    </row>
    <row r="84">
      <c r="C84" s="1167" t="inlineStr">
        <is>
          <t>Efecto impositivo de otras diferencias permanentes</t>
        </is>
      </c>
      <c r="D84" s="978" t="n"/>
      <c r="E84" s="978" t="n"/>
    </row>
    <row r="85">
      <c r="C85" s="1167" t="inlineStr">
        <is>
          <t>Ajuste por reliquidación de impuesto a la renta</t>
        </is>
      </c>
      <c r="D85" s="978" t="n"/>
      <c r="E85" s="978" t="n"/>
    </row>
    <row r="86" ht="15" customHeight="1" s="779" thickBot="1">
      <c r="C86" s="1167" t="inlineStr">
        <is>
          <t>Efecto impositivo de anticipo clientes</t>
        </is>
      </c>
      <c r="D86" s="984" t="n"/>
      <c r="E86" s="984" t="n"/>
      <c r="H86" s="993" t="n"/>
    </row>
    <row r="87">
      <c r="C87" s="591" t="inlineStr">
        <is>
          <t>Gasto por impuesto utilizando la tasa efectiva</t>
        </is>
      </c>
      <c r="D87" s="994">
        <f>SUM(D74:D86)</f>
        <v/>
      </c>
      <c r="E87" s="994">
        <f>SUM(E74:E86)</f>
        <v/>
      </c>
    </row>
    <row r="88">
      <c r="C88" s="589" t="n"/>
      <c r="D88" s="995" t="n"/>
      <c r="E88" s="995" t="n"/>
    </row>
    <row r="89">
      <c r="C89" s="1197" t="inlineStr">
        <is>
          <t>Tasa efectiva</t>
        </is>
      </c>
      <c r="D89" s="993">
        <f>+D87/-D72</f>
        <v/>
      </c>
      <c r="E89" s="993">
        <f>+E87/-E72</f>
        <v/>
      </c>
    </row>
    <row r="90">
      <c r="D90" s="833" t="n"/>
      <c r="E90" s="833" t="n"/>
    </row>
    <row r="91">
      <c r="D91" s="833" t="n"/>
    </row>
  </sheetData>
  <mergeCells count="2">
    <mergeCell ref="C5:F5"/>
    <mergeCell ref="C60:C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00B0F0"/>
    <outlinePr summaryBelow="1" summaryRight="1"/>
    <pageSetUpPr/>
  </sheetPr>
  <dimension ref="B3:F7"/>
  <sheetViews>
    <sheetView showGridLines="0" tabSelected="1" workbookViewId="0">
      <selection activeCell="G15" sqref="G15"/>
    </sheetView>
  </sheetViews>
  <sheetFormatPr baseColWidth="10" defaultRowHeight="14.4"/>
  <cols>
    <col width="28" customWidth="1" style="779" min="3" max="3"/>
  </cols>
  <sheetData>
    <row r="3">
      <c r="B3" s="767" t="n"/>
    </row>
    <row r="4">
      <c r="B4" s="649" t="n"/>
      <c r="C4" s="649" t="n"/>
      <c r="D4" s="649" t="n"/>
      <c r="E4" s="1198" t="n">
        <v>46022</v>
      </c>
      <c r="F4" s="768" t="n">
        <v>45657</v>
      </c>
    </row>
    <row r="5" ht="15" customHeight="1" s="779" thickBot="1">
      <c r="B5" s="1199" t="inlineStr">
        <is>
          <t>RUT</t>
        </is>
      </c>
      <c r="C5" s="1199" t="inlineStr">
        <is>
          <t>Nombre</t>
        </is>
      </c>
      <c r="D5" s="1199" t="inlineStr">
        <is>
          <t>Participación</t>
        </is>
      </c>
      <c r="E5" s="770" t="inlineStr">
        <is>
          <t>M$</t>
        </is>
      </c>
      <c r="F5" s="770" t="inlineStr">
        <is>
          <t>M$</t>
        </is>
      </c>
    </row>
    <row r="6" ht="15" customHeight="1" s="779" thickBot="1">
      <c r="B6" s="649" t="inlineStr">
        <is>
          <t>78.079.629-4</t>
        </is>
      </c>
      <c r="C6" s="1179" t="inlineStr">
        <is>
          <t>Neoconex Fibra SpA</t>
        </is>
      </c>
      <c r="D6" s="771" t="n">
        <v>1</v>
      </c>
      <c r="E6" s="1199" t="inlineStr">
        <is>
          <t xml:space="preserve">                 - </t>
        </is>
      </c>
      <c r="F6" s="772" t="inlineStr">
        <is>
          <t xml:space="preserve">                 - </t>
        </is>
      </c>
    </row>
    <row r="7" ht="15" customHeight="1" s="779" thickBot="1">
      <c r="B7" s="649" t="n"/>
      <c r="C7" s="1167" t="inlineStr">
        <is>
          <t>Total</t>
        </is>
      </c>
      <c r="D7" s="649" t="n"/>
      <c r="E7" s="1199" t="inlineStr">
        <is>
          <t>-</t>
        </is>
      </c>
      <c r="F7" s="772" t="inlineStr">
        <is>
          <t>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/>
  </sheetPr>
  <dimension ref="C5:K51"/>
  <sheetViews>
    <sheetView showGridLines="0" workbookViewId="0">
      <selection activeCell="M24" sqref="M24"/>
    </sheetView>
  </sheetViews>
  <sheetFormatPr baseColWidth="10" defaultRowHeight="14.4"/>
  <cols>
    <col width="32.88671875" customWidth="1" style="779" min="3" max="3"/>
  </cols>
  <sheetData>
    <row r="5" ht="37.8" customHeight="1" s="779">
      <c r="C5" s="775" t="inlineStr">
        <is>
          <t>La composición del rubro de cuentas por cobrar corrientes con empresas relacionadas por los años 2026 y 2025 es el siguiente:</t>
        </is>
      </c>
    </row>
    <row r="6">
      <c r="C6" s="610" t="n"/>
      <c r="D6" s="610" t="n"/>
      <c r="E6" s="610" t="n"/>
      <c r="F6" s="610" t="n"/>
      <c r="G6" s="610" t="n"/>
      <c r="H6" s="102" t="n"/>
    </row>
    <row r="7">
      <c r="C7" s="613" t="n"/>
      <c r="D7" s="1179" t="inlineStr">
        <is>
          <t>Tipo de</t>
        </is>
      </c>
      <c r="E7" s="602" t="n"/>
      <c r="H7" s="611" t="n"/>
    </row>
    <row r="8">
      <c r="C8" s="1178" t="inlineStr">
        <is>
          <t>Nombre entidad</t>
        </is>
      </c>
      <c r="D8" s="1178" t="inlineStr">
        <is>
          <t>relación</t>
        </is>
      </c>
      <c r="E8" s="1178" t="inlineStr">
        <is>
          <t>Moneda</t>
        </is>
      </c>
      <c r="F8" s="615" t="n">
        <v>46203</v>
      </c>
      <c r="G8" s="615" t="n">
        <v>46022</v>
      </c>
      <c r="H8" s="613" t="n"/>
    </row>
    <row r="9">
      <c r="C9" s="612" t="n"/>
      <c r="D9" s="204" t="n"/>
      <c r="E9" s="602" t="n"/>
      <c r="F9" s="185" t="inlineStr">
        <is>
          <t>M$</t>
        </is>
      </c>
      <c r="G9" s="185" t="inlineStr">
        <is>
          <t>M$</t>
        </is>
      </c>
      <c r="H9" s="204" t="n"/>
    </row>
    <row r="10" ht="15" customHeight="1" s="779">
      <c r="C10" s="1179" t="inlineStr">
        <is>
          <t xml:space="preserve">DB Terra Chile Parent SpA </t>
        </is>
      </c>
      <c r="D10" s="1179" t="inlineStr">
        <is>
          <t>Accionista</t>
        </is>
      </c>
      <c r="E10" s="1179" t="inlineStr">
        <is>
          <t>US$</t>
        </is>
      </c>
      <c r="F10" s="941" t="n">
        <v>0</v>
      </c>
      <c r="G10" s="941" t="n">
        <v>0</v>
      </c>
      <c r="H10" s="616" t="n"/>
    </row>
    <row r="11" ht="15" customHeight="1" s="779" thickBot="1">
      <c r="C11" s="1179" t="inlineStr">
        <is>
          <t>Total</t>
        </is>
      </c>
      <c r="D11" s="602" t="n"/>
      <c r="E11" s="185" t="n"/>
      <c r="F11" s="996">
        <f>+F10</f>
        <v/>
      </c>
      <c r="G11" s="996">
        <f>+G10</f>
        <v/>
      </c>
      <c r="H11" s="616" t="n"/>
    </row>
    <row r="12">
      <c r="C12" s="463" t="n"/>
      <c r="H12" s="616" t="n"/>
    </row>
    <row r="13">
      <c r="C13" s="573" t="n"/>
    </row>
    <row r="14">
      <c r="C14" s="463" t="n"/>
    </row>
    <row r="15" ht="26.4" customHeight="1" s="779">
      <c r="C15" s="1200" t="inlineStr">
        <is>
          <t>a)           Transacciones significativas con empresas relacionadas</t>
        </is>
      </c>
    </row>
    <row r="16">
      <c r="C16" s="573" t="n"/>
    </row>
    <row r="17">
      <c r="C17" s="1201" t="inlineStr">
        <is>
          <t>Las principales transacciones entre empresas relacionadas durante año 2026 y 2025 son las siguientes:</t>
        </is>
      </c>
      <c r="D17" s="617" t="n"/>
      <c r="E17" s="617" t="n"/>
      <c r="F17" s="617" t="n"/>
      <c r="G17" s="617" t="n"/>
    </row>
    <row r="18">
      <c r="C18" s="463" t="n"/>
    </row>
    <row r="19">
      <c r="C19" s="603" t="n"/>
    </row>
    <row r="20" ht="14.4" customHeight="1" s="779">
      <c r="C20" s="448" t="n"/>
      <c r="D20" s="448" t="n"/>
      <c r="E20" s="448" t="n"/>
      <c r="F20" s="448" t="n"/>
      <c r="G20" s="606" t="n"/>
      <c r="H20" s="619" t="n"/>
      <c r="I20" s="619" t="n"/>
      <c r="J20" s="619" t="n"/>
    </row>
    <row r="21" ht="19.2" customHeight="1" s="779">
      <c r="C21" s="448" t="n"/>
      <c r="D21" s="448" t="n"/>
      <c r="E21" s="448" t="inlineStr">
        <is>
          <t>Naturaleza de la relación</t>
        </is>
      </c>
      <c r="F21" s="448" t="inlineStr">
        <is>
          <t xml:space="preserve">Descripción de la </t>
        </is>
      </c>
      <c r="G21" s="606" t="n"/>
      <c r="H21" s="619" t="n"/>
      <c r="I21" s="619" t="n"/>
      <c r="J21" s="619" t="n"/>
      <c r="K21" s="619" t="n"/>
    </row>
    <row r="22" ht="29.4" customHeight="1" s="779" thickBot="1">
      <c r="C22" s="604" t="inlineStr">
        <is>
          <t>R.U.T.</t>
        </is>
      </c>
      <c r="D22" s="604" t="inlineStr">
        <is>
          <t>Nombre entidad</t>
        </is>
      </c>
      <c r="E22" s="605" t="n"/>
      <c r="F22" s="604" t="inlineStr">
        <is>
          <t>Transacción</t>
        </is>
      </c>
      <c r="G22" s="607" t="inlineStr">
        <is>
          <t>Moneda</t>
        </is>
      </c>
      <c r="H22" s="615" t="n">
        <v>46203</v>
      </c>
      <c r="I22" s="615" t="n">
        <v>46022</v>
      </c>
      <c r="J22" s="619" t="inlineStr">
        <is>
          <t>Efecto en resultado cargo/(abono)</t>
        </is>
      </c>
      <c r="K22" s="620" t="n"/>
    </row>
    <row r="23">
      <c r="C23" s="471" t="n"/>
      <c r="D23" s="448" t="n"/>
      <c r="E23" s="448" t="n"/>
      <c r="F23" s="448" t="n"/>
      <c r="G23" s="606" t="n"/>
      <c r="H23" s="618" t="inlineStr">
        <is>
          <t>M$</t>
        </is>
      </c>
      <c r="I23" s="618" t="inlineStr">
        <is>
          <t>M$</t>
        </is>
      </c>
      <c r="J23" s="618" t="inlineStr">
        <is>
          <t>M$</t>
        </is>
      </c>
    </row>
    <row r="24" ht="19.2" customHeight="1" s="779">
      <c r="C24" s="471" t="inlineStr">
        <is>
          <t>77.494.542-17</t>
        </is>
      </c>
      <c r="D24" s="448" t="inlineStr">
        <is>
          <t>DB Terra Chile Parent SpA</t>
        </is>
      </c>
      <c r="E24" s="448" t="inlineStr">
        <is>
          <t>Matriz</t>
        </is>
      </c>
      <c r="F24" s="690" t="inlineStr">
        <is>
          <t>Cobro por pago proveedores , etc</t>
        </is>
      </c>
      <c r="G24" s="606" t="inlineStr">
        <is>
          <t>Pesos Chilenos</t>
        </is>
      </c>
      <c r="H24" s="941" t="n">
        <v>0</v>
      </c>
      <c r="I24" s="941" t="n">
        <v>0</v>
      </c>
      <c r="J24" s="997" t="inlineStr">
        <is>
          <t>-</t>
        </is>
      </c>
      <c r="K24" s="465" t="n"/>
    </row>
    <row r="25" ht="19.2" customHeight="1" s="779">
      <c r="C25" s="471" t="inlineStr">
        <is>
          <t>77.494.542-18</t>
        </is>
      </c>
      <c r="D25" s="448" t="inlineStr">
        <is>
          <t>DB Terra Chile Parent SpA</t>
        </is>
      </c>
      <c r="E25" s="448" t="inlineStr">
        <is>
          <t>Matriz</t>
        </is>
      </c>
      <c r="F25" s="690" t="inlineStr">
        <is>
          <t>Cobro por pago proveedores , etc</t>
        </is>
      </c>
      <c r="G25" s="606" t="inlineStr">
        <is>
          <t>Pesos Chilenos</t>
        </is>
      </c>
      <c r="H25" s="941" t="n">
        <v>0</v>
      </c>
      <c r="I25" s="941" t="n">
        <v>0</v>
      </c>
      <c r="J25" s="997" t="inlineStr">
        <is>
          <t>-</t>
        </is>
      </c>
      <c r="K25" s="465" t="n"/>
    </row>
    <row r="26" ht="19.2" customHeight="1" s="779">
      <c r="C26" s="471" t="inlineStr">
        <is>
          <t>77.494.542-17</t>
        </is>
      </c>
      <c r="D26" s="448" t="inlineStr">
        <is>
          <t>DB Terra Chile Parent SpA</t>
        </is>
      </c>
      <c r="E26" s="448" t="inlineStr">
        <is>
          <t>Matriz</t>
        </is>
      </c>
      <c r="F26" s="690" t="inlineStr">
        <is>
          <t>Cobro por pago proveedores , etc</t>
        </is>
      </c>
      <c r="G26" s="606" t="inlineStr">
        <is>
          <t>Pesos Chilenos</t>
        </is>
      </c>
      <c r="H26" s="941" t="n">
        <v>0</v>
      </c>
      <c r="I26" s="941" t="n">
        <v>0</v>
      </c>
      <c r="J26" s="997" t="inlineStr">
        <is>
          <t>-</t>
        </is>
      </c>
      <c r="K26" s="465" t="n"/>
    </row>
    <row r="27" ht="19.2" customHeight="1" s="779">
      <c r="C27" s="471" t="inlineStr">
        <is>
          <t>77.494.542-16</t>
        </is>
      </c>
      <c r="D27" s="448" t="inlineStr">
        <is>
          <t>DB Terra Chile Parent SpA</t>
        </is>
      </c>
      <c r="E27" s="448" t="inlineStr">
        <is>
          <t>Matriz</t>
        </is>
      </c>
      <c r="F27" s="690" t="inlineStr">
        <is>
          <t>Cobro por pago proveedores , etc</t>
        </is>
      </c>
      <c r="G27" s="606" t="inlineStr">
        <is>
          <t>Pesos Chilenos</t>
        </is>
      </c>
      <c r="H27" s="941" t="n">
        <v>0</v>
      </c>
      <c r="I27" s="941" t="n">
        <v>0</v>
      </c>
      <c r="J27" s="997" t="inlineStr">
        <is>
          <t>-</t>
        </is>
      </c>
      <c r="K27" s="465" t="n"/>
    </row>
    <row r="28" ht="19.2" customHeight="1" s="779">
      <c r="C28" s="471" t="inlineStr">
        <is>
          <t>77.494.542-15</t>
        </is>
      </c>
      <c r="D28" s="448" t="inlineStr">
        <is>
          <t>DB Terra Chile Parent SpA</t>
        </is>
      </c>
      <c r="E28" s="448" t="inlineStr">
        <is>
          <t>Matriz</t>
        </is>
      </c>
      <c r="F28" s="690" t="inlineStr">
        <is>
          <t>Cobro por pago proveedores , etc</t>
        </is>
      </c>
      <c r="G28" s="606" t="inlineStr">
        <is>
          <t>Pesos Chilenos</t>
        </is>
      </c>
      <c r="H28" s="941" t="n">
        <v>0</v>
      </c>
      <c r="I28" s="941" t="n">
        <v>0</v>
      </c>
      <c r="J28" s="997" t="inlineStr">
        <is>
          <t>-</t>
        </is>
      </c>
      <c r="K28" s="465" t="n"/>
    </row>
    <row r="29" ht="19.2" customHeight="1" s="779">
      <c r="C29" s="471" t="inlineStr">
        <is>
          <t>77.494.542-14</t>
        </is>
      </c>
      <c r="D29" s="448" t="inlineStr">
        <is>
          <t>DB Terra Chile Parent SpA</t>
        </is>
      </c>
      <c r="E29" s="448" t="inlineStr">
        <is>
          <t>Matriz</t>
        </is>
      </c>
      <c r="F29" s="690" t="inlineStr">
        <is>
          <t>Cobro por pago proveedores , etc</t>
        </is>
      </c>
      <c r="G29" s="606" t="inlineStr">
        <is>
          <t>Pesos Chilenos</t>
        </is>
      </c>
      <c r="H29" s="941" t="n">
        <v>0</v>
      </c>
      <c r="I29" s="941" t="n">
        <v>0</v>
      </c>
      <c r="J29" s="997" t="inlineStr">
        <is>
          <t>-</t>
        </is>
      </c>
      <c r="K29" s="465" t="n"/>
    </row>
    <row r="30" ht="19.2" customHeight="1" s="779">
      <c r="C30" s="471" t="inlineStr">
        <is>
          <t>77.494.542-13</t>
        </is>
      </c>
      <c r="D30" s="448" t="inlineStr">
        <is>
          <t>DB Terra Chile Parent SpA</t>
        </is>
      </c>
      <c r="E30" s="448" t="inlineStr">
        <is>
          <t>Matriz</t>
        </is>
      </c>
      <c r="F30" s="690" t="inlineStr">
        <is>
          <t>Cobro por pago proveedores , etc</t>
        </is>
      </c>
      <c r="G30" s="606" t="inlineStr">
        <is>
          <t>Pesos Chilenos</t>
        </is>
      </c>
      <c r="H30" s="941" t="n">
        <v>0</v>
      </c>
      <c r="I30" s="941" t="n">
        <v>0</v>
      </c>
      <c r="J30" s="997" t="inlineStr">
        <is>
          <t>-</t>
        </is>
      </c>
      <c r="K30" s="465" t="n"/>
    </row>
    <row r="31" ht="19.2" customHeight="1" s="779">
      <c r="C31" s="471" t="inlineStr">
        <is>
          <t>77.494.542-12</t>
        </is>
      </c>
      <c r="D31" s="448" t="inlineStr">
        <is>
          <t>DB Terra Chile Parent SpA</t>
        </is>
      </c>
      <c r="E31" s="448" t="inlineStr">
        <is>
          <t>Matriz</t>
        </is>
      </c>
      <c r="F31" s="690" t="inlineStr">
        <is>
          <t>Cobro por pago proveedores , etc</t>
        </is>
      </c>
      <c r="G31" s="606" t="inlineStr">
        <is>
          <t>Pesos Chilenos</t>
        </is>
      </c>
      <c r="H31" s="941" t="n">
        <v>0</v>
      </c>
      <c r="I31" s="941" t="n">
        <v>0</v>
      </c>
      <c r="J31" s="997" t="inlineStr">
        <is>
          <t>-</t>
        </is>
      </c>
      <c r="K31" s="465" t="n"/>
    </row>
    <row r="32" ht="19.2" customHeight="1" s="779">
      <c r="C32" s="471" t="inlineStr">
        <is>
          <t>77.494.542-11</t>
        </is>
      </c>
      <c r="D32" s="448" t="inlineStr">
        <is>
          <t>DB Terra Chile Parent SpA</t>
        </is>
      </c>
      <c r="E32" s="448" t="inlineStr">
        <is>
          <t>Matriz</t>
        </is>
      </c>
      <c r="F32" s="690" t="inlineStr">
        <is>
          <t>Cobro por pago proveedores , etc</t>
        </is>
      </c>
      <c r="G32" s="606" t="inlineStr">
        <is>
          <t>Pesos Chilenos</t>
        </is>
      </c>
      <c r="H32" s="941" t="n">
        <v>0</v>
      </c>
      <c r="I32" s="941" t="n">
        <v>0</v>
      </c>
      <c r="J32" s="997" t="inlineStr">
        <is>
          <t>-</t>
        </is>
      </c>
      <c r="K32" s="465" t="n"/>
    </row>
    <row r="33" ht="19.2" customHeight="1" s="779">
      <c r="C33" s="471" t="inlineStr">
        <is>
          <t>77.494.542-10</t>
        </is>
      </c>
      <c r="D33" s="448" t="inlineStr">
        <is>
          <t>DB Terra Chile Parent SpA</t>
        </is>
      </c>
      <c r="E33" s="448" t="inlineStr">
        <is>
          <t>Matriz</t>
        </is>
      </c>
      <c r="F33" s="690" t="inlineStr">
        <is>
          <t>Cobro por pago proveedores , etc</t>
        </is>
      </c>
      <c r="G33" s="606" t="inlineStr">
        <is>
          <t>Pesos Chilenos</t>
        </is>
      </c>
      <c r="H33" s="941" t="n">
        <v>0</v>
      </c>
      <c r="I33" s="941" t="n">
        <v>0</v>
      </c>
      <c r="J33" s="997" t="inlineStr">
        <is>
          <t>-</t>
        </is>
      </c>
      <c r="K33" s="465" t="n"/>
    </row>
    <row r="34" ht="19.2" customHeight="1" s="779">
      <c r="C34" s="471" t="inlineStr">
        <is>
          <t>77.494.542-9</t>
        </is>
      </c>
      <c r="D34" s="448" t="inlineStr">
        <is>
          <t>DB Terra Chile Parent SpA</t>
        </is>
      </c>
      <c r="E34" s="448" t="inlineStr">
        <is>
          <t>Matriz</t>
        </is>
      </c>
      <c r="F34" s="690" t="inlineStr">
        <is>
          <t>Cobro por pago proveedores , etc</t>
        </is>
      </c>
      <c r="G34" s="606" t="inlineStr">
        <is>
          <t>Pesos Chilenos</t>
        </is>
      </c>
      <c r="H34" s="941" t="n">
        <v>0</v>
      </c>
      <c r="I34" s="941" t="n">
        <v>0</v>
      </c>
      <c r="J34" s="997" t="inlineStr">
        <is>
          <t>-</t>
        </is>
      </c>
      <c r="K34" s="465" t="n"/>
    </row>
    <row r="35" ht="19.2" customHeight="1" s="779">
      <c r="C35" s="471" t="inlineStr">
        <is>
          <t>77.494.542-8</t>
        </is>
      </c>
      <c r="D35" s="448" t="inlineStr">
        <is>
          <t>DB Terra Chile Parent SpA</t>
        </is>
      </c>
      <c r="E35" s="448" t="inlineStr">
        <is>
          <t>Matriz</t>
        </is>
      </c>
      <c r="F35" s="690" t="inlineStr">
        <is>
          <t>Cobro por pago proveedores , etc</t>
        </is>
      </c>
      <c r="G35" s="606" t="inlineStr">
        <is>
          <t>Pesos Chilenos</t>
        </is>
      </c>
      <c r="H35" s="941" t="n">
        <v>0</v>
      </c>
      <c r="I35" s="941" t="n">
        <v>0</v>
      </c>
      <c r="J35" s="997" t="inlineStr">
        <is>
          <t>-</t>
        </is>
      </c>
      <c r="K35" s="465" t="n"/>
    </row>
    <row r="36" ht="19.2" customHeight="1" s="779">
      <c r="C36" s="471" t="inlineStr">
        <is>
          <t>77.494.542-7</t>
        </is>
      </c>
      <c r="D36" s="448" t="inlineStr">
        <is>
          <t>DB Terra Chile Parent SpA</t>
        </is>
      </c>
      <c r="E36" s="448" t="inlineStr">
        <is>
          <t>Matriz</t>
        </is>
      </c>
      <c r="F36" s="690" t="inlineStr">
        <is>
          <t>Cobro por pago proveedores , etc</t>
        </is>
      </c>
      <c r="G36" s="606" t="inlineStr">
        <is>
          <t>Pesos Chilenos</t>
        </is>
      </c>
      <c r="H36" s="941" t="n">
        <v>0</v>
      </c>
      <c r="I36" s="941" t="n">
        <v>0</v>
      </c>
      <c r="J36" s="997" t="inlineStr">
        <is>
          <t>-</t>
        </is>
      </c>
      <c r="K36" s="465" t="n"/>
    </row>
    <row r="37" ht="19.2" customHeight="1" s="779">
      <c r="C37" s="471" t="inlineStr">
        <is>
          <t>77.494.542-6</t>
        </is>
      </c>
      <c r="D37" s="448" t="inlineStr">
        <is>
          <t>DB Terra Chile Parent SpA</t>
        </is>
      </c>
      <c r="E37" s="448" t="inlineStr">
        <is>
          <t>Matriz</t>
        </is>
      </c>
      <c r="F37" s="690" t="inlineStr">
        <is>
          <t>Cobro por pago proveedores , etc</t>
        </is>
      </c>
      <c r="G37" s="606" t="inlineStr">
        <is>
          <t>Pesos Chilenos</t>
        </is>
      </c>
      <c r="H37" s="941" t="n">
        <v>0</v>
      </c>
      <c r="I37" s="941" t="n">
        <v>0</v>
      </c>
      <c r="J37" s="997" t="inlineStr">
        <is>
          <t>-</t>
        </is>
      </c>
      <c r="K37" s="465" t="n"/>
    </row>
    <row r="38" ht="19.2" customHeight="1" s="779">
      <c r="C38" s="471" t="inlineStr">
        <is>
          <t>77.494.542-5</t>
        </is>
      </c>
      <c r="D38" s="448" t="inlineStr">
        <is>
          <t>DB Terra Chile Parent SpA</t>
        </is>
      </c>
      <c r="E38" s="448" t="inlineStr">
        <is>
          <t>Matriz</t>
        </is>
      </c>
      <c r="F38" s="690" t="inlineStr">
        <is>
          <t>Cobro por pago proveedores , etc</t>
        </is>
      </c>
      <c r="G38" s="606" t="inlineStr">
        <is>
          <t>Pesos Chilenos</t>
        </is>
      </c>
      <c r="H38" s="941" t="n">
        <v>0</v>
      </c>
      <c r="I38" s="941" t="n">
        <v>0</v>
      </c>
      <c r="J38" s="997" t="inlineStr">
        <is>
          <t>-</t>
        </is>
      </c>
      <c r="K38" s="465" t="n"/>
    </row>
    <row r="39" ht="19.2" customHeight="1" s="779">
      <c r="C39" s="471" t="inlineStr">
        <is>
          <t>77.494.542-4</t>
        </is>
      </c>
      <c r="D39" s="448" t="inlineStr">
        <is>
          <t>DB Terra Chile Parent SpA</t>
        </is>
      </c>
      <c r="E39" s="448" t="inlineStr">
        <is>
          <t>Matriz</t>
        </is>
      </c>
      <c r="F39" s="690" t="inlineStr">
        <is>
          <t>Cobro por pago proveedores , etc</t>
        </is>
      </c>
      <c r="G39" s="606" t="inlineStr">
        <is>
          <t>Pesos Chilenos</t>
        </is>
      </c>
      <c r="H39" s="941" t="n">
        <v>0</v>
      </c>
      <c r="I39" s="941" t="n">
        <v>0</v>
      </c>
      <c r="J39" s="997" t="inlineStr">
        <is>
          <t>-</t>
        </is>
      </c>
      <c r="K39" s="465" t="n"/>
    </row>
    <row r="40" ht="19.2" customHeight="1" s="779">
      <c r="C40" s="471" t="inlineStr">
        <is>
          <t>77.494.542-3</t>
        </is>
      </c>
      <c r="D40" s="448" t="inlineStr">
        <is>
          <t>DB Terra Chile Parent SpA</t>
        </is>
      </c>
      <c r="E40" s="448" t="inlineStr">
        <is>
          <t>Matriz</t>
        </is>
      </c>
      <c r="F40" s="690" t="inlineStr">
        <is>
          <t>Cobro por pago proveedores , etc</t>
        </is>
      </c>
      <c r="G40" s="606" t="inlineStr">
        <is>
          <t>Pesos Chilenos</t>
        </is>
      </c>
      <c r="H40" s="941" t="n">
        <v>0</v>
      </c>
      <c r="I40" s="941" t="n">
        <v>0</v>
      </c>
      <c r="J40" s="997" t="inlineStr">
        <is>
          <t>-</t>
        </is>
      </c>
      <c r="K40" s="465" t="n"/>
    </row>
    <row r="41" ht="19.2" customHeight="1" s="779">
      <c r="C41" s="471" t="inlineStr">
        <is>
          <t>77.494.542-2</t>
        </is>
      </c>
      <c r="D41" s="448" t="inlineStr">
        <is>
          <t>DB Terra Chile Parent SpA</t>
        </is>
      </c>
      <c r="E41" s="448" t="inlineStr">
        <is>
          <t>Matriz</t>
        </is>
      </c>
      <c r="F41" s="690" t="inlineStr">
        <is>
          <t>Cobro por pago proveedores , etc</t>
        </is>
      </c>
      <c r="G41" s="606" t="inlineStr">
        <is>
          <t>Pesos Chilenos</t>
        </is>
      </c>
      <c r="H41" s="941" t="n">
        <v>0</v>
      </c>
      <c r="I41" s="941" t="n">
        <v>0</v>
      </c>
      <c r="J41" s="997" t="inlineStr">
        <is>
          <t>-</t>
        </is>
      </c>
      <c r="K41" s="465" t="n"/>
    </row>
    <row r="42" ht="19.2" customHeight="1" s="779">
      <c r="C42" s="471" t="inlineStr">
        <is>
          <t>77.494.542-1</t>
        </is>
      </c>
      <c r="D42" s="448" t="inlineStr">
        <is>
          <t>DB Terra Chile Parent SpA</t>
        </is>
      </c>
      <c r="E42" s="448" t="inlineStr">
        <is>
          <t>Matriz</t>
        </is>
      </c>
      <c r="F42" s="690" t="inlineStr">
        <is>
          <t>Cobro por pago proveedores , etc</t>
        </is>
      </c>
      <c r="G42" s="606" t="inlineStr">
        <is>
          <t>Pesos Chilenos</t>
        </is>
      </c>
      <c r="H42" s="941" t="n">
        <v>0</v>
      </c>
      <c r="I42" s="941" t="n">
        <v>0</v>
      </c>
      <c r="J42" s="997" t="inlineStr">
        <is>
          <t>-</t>
        </is>
      </c>
      <c r="K42" s="465" t="n"/>
    </row>
    <row r="43" ht="19.2" customHeight="1" s="779">
      <c r="C43" s="471" t="inlineStr">
        <is>
          <t>77.494.542-0</t>
        </is>
      </c>
      <c r="D43" s="448" t="inlineStr">
        <is>
          <t>DB Terra Chile Parent SpA</t>
        </is>
      </c>
      <c r="E43" s="448" t="inlineStr">
        <is>
          <t>Matriz</t>
        </is>
      </c>
      <c r="F43" s="690" t="inlineStr">
        <is>
          <t>Cobro por pago proveedores , etc</t>
        </is>
      </c>
      <c r="G43" s="606" t="inlineStr">
        <is>
          <t>Pesos Chilenos</t>
        </is>
      </c>
      <c r="H43" s="941" t="n">
        <v>0</v>
      </c>
      <c r="I43" s="941" t="n">
        <v>0</v>
      </c>
      <c r="J43" s="997" t="inlineStr">
        <is>
          <t>-</t>
        </is>
      </c>
      <c r="K43" s="465" t="n"/>
    </row>
    <row r="44" ht="19.2" customHeight="1" s="779">
      <c r="C44" s="471" t="inlineStr">
        <is>
          <t>77.494.542-1</t>
        </is>
      </c>
      <c r="D44" s="448" t="inlineStr">
        <is>
          <t>DB Terra Chile Parent SpA</t>
        </is>
      </c>
      <c r="E44" s="448" t="inlineStr">
        <is>
          <t>Matriz</t>
        </is>
      </c>
      <c r="F44" s="690" t="inlineStr">
        <is>
          <t>Cobro por pago proveedores , etc</t>
        </is>
      </c>
      <c r="G44" s="606" t="inlineStr">
        <is>
          <t>Pesos Chilenos</t>
        </is>
      </c>
      <c r="H44" s="941" t="n">
        <v>0</v>
      </c>
      <c r="I44" s="941" t="n">
        <v>0</v>
      </c>
      <c r="J44" s="997" t="inlineStr">
        <is>
          <t>-</t>
        </is>
      </c>
      <c r="K44" s="465" t="n"/>
    </row>
    <row r="45" ht="19.2" customHeight="1" s="779">
      <c r="C45" s="471" t="inlineStr">
        <is>
          <t>77.494.542-2</t>
        </is>
      </c>
      <c r="D45" s="448" t="inlineStr">
        <is>
          <t>DB Terra Chile Parent SpA</t>
        </is>
      </c>
      <c r="E45" s="448" t="inlineStr">
        <is>
          <t>Matriz</t>
        </is>
      </c>
      <c r="F45" s="690" t="inlineStr">
        <is>
          <t>Cobro por pago proveedores , etc</t>
        </is>
      </c>
      <c r="G45" s="606" t="inlineStr">
        <is>
          <t>Pesos Chilenos</t>
        </is>
      </c>
      <c r="H45" s="941" t="n">
        <v>0</v>
      </c>
      <c r="I45" s="941" t="n">
        <v>0</v>
      </c>
      <c r="J45" s="997" t="inlineStr">
        <is>
          <t>-</t>
        </is>
      </c>
      <c r="K45" s="465" t="n"/>
    </row>
    <row r="46" ht="19.2" customHeight="1" s="779">
      <c r="C46" s="471" t="inlineStr">
        <is>
          <t>77.494.542-3</t>
        </is>
      </c>
      <c r="D46" s="448" t="inlineStr">
        <is>
          <t>DB Terra Chile Parent SpA</t>
        </is>
      </c>
      <c r="E46" s="448" t="inlineStr">
        <is>
          <t>Matriz</t>
        </is>
      </c>
      <c r="F46" s="690" t="inlineStr">
        <is>
          <t>Cobro por pago proveedores , etc</t>
        </is>
      </c>
      <c r="G46" s="606" t="inlineStr">
        <is>
          <t>Pesos Chilenos</t>
        </is>
      </c>
      <c r="H46" s="941" t="n">
        <v>0</v>
      </c>
      <c r="I46" s="941" t="n">
        <v>0</v>
      </c>
      <c r="J46" s="997" t="inlineStr">
        <is>
          <t>-</t>
        </is>
      </c>
    </row>
    <row r="47" ht="15" customHeight="1" s="779" thickBot="1">
      <c r="C47" s="608" t="n"/>
      <c r="D47" s="604" t="n"/>
      <c r="E47" s="604" t="n"/>
      <c r="F47" s="604" t="n"/>
      <c r="G47" s="607" t="n"/>
      <c r="H47" s="464" t="n"/>
      <c r="I47" s="464" t="n"/>
      <c r="J47" s="464" t="n"/>
      <c r="K47" s="464" t="n"/>
    </row>
    <row r="48">
      <c r="C48" s="592" t="n"/>
      <c r="D48" s="591" t="n"/>
      <c r="E48" s="591" t="n"/>
      <c r="F48" s="591" t="n"/>
      <c r="G48" s="773" t="n"/>
      <c r="H48" s="774" t="n"/>
      <c r="I48" s="609" t="n"/>
      <c r="J48" s="777" t="n"/>
      <c r="K48" s="774" t="n"/>
    </row>
    <row r="49">
      <c r="C49" s="589" t="n"/>
      <c r="D49" s="589" t="n"/>
      <c r="E49" s="589" t="n"/>
      <c r="F49" s="589" t="n"/>
      <c r="G49" s="589" t="n"/>
      <c r="H49" s="589" t="n"/>
      <c r="I49" s="589" t="n"/>
      <c r="J49" s="589" t="n"/>
      <c r="K49" s="589" t="n"/>
    </row>
    <row r="50">
      <c r="C50" s="463" t="n"/>
    </row>
    <row r="51">
      <c r="C51" s="463" t="n"/>
    </row>
  </sheetData>
  <mergeCells count="3">
    <mergeCell ref="G48:H48"/>
    <mergeCell ref="J48:K48"/>
    <mergeCell ref="C5:J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00B0F0"/>
    <outlinePr summaryBelow="1" summaryRight="1"/>
    <pageSetUpPr/>
  </sheetPr>
  <dimension ref="C6:G20"/>
  <sheetViews>
    <sheetView showGridLines="0" workbookViewId="0">
      <selection activeCell="I24" sqref="I24"/>
    </sheetView>
  </sheetViews>
  <sheetFormatPr baseColWidth="10" defaultRowHeight="14.4"/>
  <cols>
    <col width="26.44140625" customWidth="1" style="779" min="3" max="3"/>
    <col width="15.5546875" customWidth="1" style="779" min="4" max="4"/>
    <col width="13.77734375" customWidth="1" style="779" min="5" max="5"/>
    <col width="15" customWidth="1" style="779" min="6" max="6"/>
    <col width="13.88671875" customWidth="1" style="779" min="7" max="7"/>
  </cols>
  <sheetData>
    <row r="6">
      <c r="C6" s="617" t="n"/>
    </row>
    <row r="9">
      <c r="C9" s="750" t="n"/>
      <c r="D9" s="1202" t="n">
        <v>46022</v>
      </c>
      <c r="F9" s="756" t="n">
        <v>45657</v>
      </c>
    </row>
    <row r="10">
      <c r="C10" s="757" t="inlineStr">
        <is>
          <t>Nombre del accionista</t>
        </is>
      </c>
      <c r="D10" s="757" t="inlineStr">
        <is>
          <t>N° de acciones</t>
        </is>
      </c>
      <c r="E10" s="757" t="inlineStr">
        <is>
          <t>% participacion</t>
        </is>
      </c>
      <c r="F10" s="757" t="inlineStr">
        <is>
          <t>N° de acciones</t>
        </is>
      </c>
      <c r="G10" s="757" t="inlineStr">
        <is>
          <t>% participacion</t>
        </is>
      </c>
    </row>
    <row r="11">
      <c r="C11" s="752" t="inlineStr">
        <is>
          <t>DB Terra Chile Parent SpA.</t>
        </is>
      </c>
      <c r="D11" s="760" t="n">
        <v>50334500</v>
      </c>
      <c r="E11" s="761" t="n">
        <v>1</v>
      </c>
      <c r="F11" s="760" t="n">
        <v>50334500</v>
      </c>
      <c r="G11" s="761" t="n">
        <v>1</v>
      </c>
    </row>
    <row r="12">
      <c r="C12" s="758" t="inlineStr">
        <is>
          <t>Totales</t>
        </is>
      </c>
      <c r="D12" s="759" t="n">
        <v>50334500</v>
      </c>
      <c r="E12" s="762" t="n">
        <v>1</v>
      </c>
      <c r="F12" s="759" t="n">
        <v>50334500</v>
      </c>
      <c r="G12" s="762" t="n">
        <v>1</v>
      </c>
    </row>
    <row r="13">
      <c r="C13" s="751" t="n"/>
    </row>
    <row r="16">
      <c r="C16" s="752" t="inlineStr">
        <is>
          <t>Movimiento de acciones</t>
        </is>
      </c>
      <c r="D16" s="753" t="n">
        <v>46022</v>
      </c>
      <c r="E16" s="753" t="n">
        <v>45657</v>
      </c>
    </row>
    <row r="17">
      <c r="C17" s="797" t="n"/>
      <c r="D17" s="797" t="n"/>
      <c r="E17" s="797" t="n"/>
    </row>
    <row r="18" ht="20.4" customHeight="1" s="779">
      <c r="C18" s="754" t="inlineStr">
        <is>
          <t>Saldo inicial acciones DB Terra Chile Holdco SpA.</t>
        </is>
      </c>
      <c r="D18" s="755" t="n">
        <v>50334500</v>
      </c>
      <c r="E18" s="755" t="n">
        <v>50334500</v>
      </c>
    </row>
    <row r="19">
      <c r="C19" s="764" t="inlineStr">
        <is>
          <t>Adiciones (bajas)</t>
        </is>
      </c>
      <c r="D19" s="755" t="n">
        <v>0</v>
      </c>
      <c r="E19" s="755" t="n">
        <v>0</v>
      </c>
    </row>
    <row r="20">
      <c r="C20" s="765" t="inlineStr">
        <is>
          <t>Saldo final</t>
        </is>
      </c>
      <c r="D20" s="763" t="n">
        <v>50334500</v>
      </c>
      <c r="E20" s="763" t="n">
        <v>50334500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92D050"/>
    <outlinePr summaryBelow="1" summaryRight="1"/>
    <pageSetUpPr/>
  </sheetPr>
  <dimension ref="C2:E50"/>
  <sheetViews>
    <sheetView showGridLines="0" topLeftCell="C1" zoomScale="80" zoomScaleNormal="80" workbookViewId="0">
      <selection activeCell="D4" sqref="D4:E4"/>
    </sheetView>
  </sheetViews>
  <sheetFormatPr baseColWidth="10" defaultRowHeight="14.4"/>
  <cols>
    <col width="19.44140625" bestFit="1" customWidth="1" style="779" min="1" max="1"/>
    <col width="51" customWidth="1" style="779" min="3" max="3"/>
    <col width="16.44140625" customWidth="1" style="779" min="4" max="4"/>
    <col width="13.88671875" customWidth="1" style="779" min="5" max="5"/>
  </cols>
  <sheetData>
    <row r="2">
      <c r="C2" s="1142" t="inlineStr">
        <is>
          <t>INGRESOS  DE LA OPERACIÓN</t>
        </is>
      </c>
    </row>
    <row r="4">
      <c r="C4" s="806" t="n"/>
      <c r="D4" s="160" t="inlineStr">
        <is>
          <t>30.06.2026</t>
        </is>
      </c>
      <c r="E4" s="160" t="inlineStr">
        <is>
          <t>31.12.2025</t>
        </is>
      </c>
    </row>
    <row r="5">
      <c r="D5" s="95" t="inlineStr">
        <is>
          <t>M$</t>
        </is>
      </c>
      <c r="E5" s="95" t="inlineStr">
        <is>
          <t>M$</t>
        </is>
      </c>
    </row>
    <row r="6">
      <c r="C6" s="578" t="inlineStr">
        <is>
          <t>Ingresos por servicios de televisión</t>
        </is>
      </c>
      <c r="D6" s="949" t="n"/>
      <c r="E6" s="949" t="n"/>
    </row>
    <row r="7">
      <c r="C7" s="578" t="inlineStr">
        <is>
          <t>Ingresos por servicios de internet</t>
        </is>
      </c>
      <c r="D7" s="949" t="n"/>
      <c r="E7" s="949" t="n"/>
    </row>
    <row r="8">
      <c r="C8" s="578" t="inlineStr">
        <is>
          <t xml:space="preserve">Ingresos por servicios domiciliarios </t>
        </is>
      </c>
      <c r="D8" s="949" t="n"/>
      <c r="E8" s="949" t="n"/>
    </row>
    <row r="9">
      <c r="C9" s="578" t="inlineStr">
        <is>
          <t xml:space="preserve">Ingresos por servicios de telefonía móvil </t>
        </is>
      </c>
      <c r="D9" s="949" t="n"/>
      <c r="E9" s="949" t="n"/>
    </row>
    <row r="10">
      <c r="C10" s="578" t="inlineStr">
        <is>
          <t>Ingresos por servicios a empresas</t>
        </is>
      </c>
      <c r="D10" s="949" t="n"/>
      <c r="E10" s="949" t="n"/>
    </row>
    <row r="11">
      <c r="C11" s="578" t="inlineStr">
        <is>
          <t>Otros ingresos de explotación</t>
        </is>
      </c>
      <c r="D11" s="949" t="n"/>
      <c r="E11" s="949" t="n"/>
    </row>
    <row r="12">
      <c r="C12" s="578" t="inlineStr">
        <is>
          <t>Ingresos por servicios IC</t>
        </is>
      </c>
      <c r="D12" s="949" t="n"/>
      <c r="E12" s="949" t="n"/>
    </row>
    <row r="13">
      <c r="C13" s="578" t="inlineStr">
        <is>
          <t>Ingresos intercompañía</t>
        </is>
      </c>
      <c r="D13" s="966" t="n"/>
      <c r="E13" s="966" t="n"/>
    </row>
    <row r="14" ht="15" customHeight="1" s="779" thickBot="1">
      <c r="C14" s="578" t="inlineStr">
        <is>
          <t>Total ingresos</t>
        </is>
      </c>
      <c r="D14" s="859">
        <f>SUM(D6:D13)</f>
        <v/>
      </c>
      <c r="E14" s="859">
        <f>SUM(E6:E13)</f>
        <v/>
      </c>
    </row>
    <row r="15">
      <c r="D15" s="853" t="n"/>
      <c r="E15" s="853" t="n"/>
    </row>
    <row r="17">
      <c r="C17" s="101" t="n"/>
      <c r="E17" s="101" t="n"/>
    </row>
    <row r="18">
      <c r="E18" s="101" t="n"/>
    </row>
    <row r="19">
      <c r="C19" s="1173" t="inlineStr">
        <is>
          <t>COSTOS DE LA OPERACIÓN</t>
        </is>
      </c>
      <c r="E19" s="101" t="n"/>
    </row>
    <row r="20">
      <c r="C20" s="101" t="n"/>
      <c r="D20" s="160" t="inlineStr">
        <is>
          <t>30.06.2026</t>
        </is>
      </c>
      <c r="E20" s="160" t="inlineStr">
        <is>
          <t>31.12.2025</t>
        </is>
      </c>
    </row>
    <row r="21">
      <c r="C21" s="101" t="n"/>
      <c r="D21" s="95" t="inlineStr">
        <is>
          <t xml:space="preserve">  M$</t>
        </is>
      </c>
      <c r="E21" s="101" t="inlineStr">
        <is>
          <t>M$</t>
        </is>
      </c>
    </row>
    <row r="22">
      <c r="C22" s="101" t="n"/>
      <c r="D22" s="95" t="n"/>
      <c r="E22" s="101" t="n"/>
    </row>
    <row r="23">
      <c r="C23" s="578" t="inlineStr">
        <is>
          <t>Costos por servicios de televisión</t>
        </is>
      </c>
      <c r="D23" s="998" t="n"/>
      <c r="E23" s="999" t="n"/>
    </row>
    <row r="24">
      <c r="C24" s="578" t="inlineStr">
        <is>
          <t>Costos por servicios de internet</t>
        </is>
      </c>
      <c r="D24" s="998" t="n"/>
      <c r="E24" s="999" t="n"/>
    </row>
    <row r="25">
      <c r="C25" s="578" t="inlineStr">
        <is>
          <t>Costos por servicios de telefonía</t>
        </is>
      </c>
      <c r="D25" s="998" t="n"/>
      <c r="E25" s="999" t="n"/>
    </row>
    <row r="26">
      <c r="C26" s="578" t="inlineStr">
        <is>
          <t>Costos por servicios de internet, television y telefonía</t>
        </is>
      </c>
      <c r="D26" s="998" t="n"/>
      <c r="E26" s="1000" t="n"/>
    </row>
    <row r="27">
      <c r="C27" s="578" t="inlineStr">
        <is>
          <t>Costos por red de transmisión</t>
        </is>
      </c>
      <c r="D27" s="998" t="n"/>
      <c r="E27" s="1000" t="n"/>
    </row>
    <row r="28">
      <c r="C28" s="578" t="inlineStr">
        <is>
          <t>Costos por red domiciliaria</t>
        </is>
      </c>
      <c r="D28" s="998" t="n"/>
      <c r="E28" s="1000" t="n"/>
    </row>
    <row r="29">
      <c r="C29" s="578" t="inlineStr">
        <is>
          <t>Costos por remuneraciones</t>
        </is>
      </c>
      <c r="D29" s="998" t="n"/>
      <c r="E29" s="1000" t="n"/>
    </row>
    <row r="30">
      <c r="C30" s="578" t="inlineStr">
        <is>
          <t>Costo por indemnizaciones del personal</t>
        </is>
      </c>
      <c r="D30" s="998" t="n"/>
      <c r="E30" s="1000" t="n"/>
    </row>
    <row r="31" ht="15" customHeight="1" s="779">
      <c r="C31" s="578" t="inlineStr">
        <is>
          <t>Costos por servicios externos</t>
        </is>
      </c>
      <c r="D31" s="998" t="n"/>
      <c r="E31" s="1000" t="n"/>
    </row>
    <row r="32">
      <c r="C32" s="578" t="inlineStr">
        <is>
          <t>Costos flota</t>
        </is>
      </c>
      <c r="D32" s="998" t="n"/>
      <c r="E32" s="1000" t="n"/>
    </row>
    <row r="33" ht="15" customHeight="1" s="779">
      <c r="C33" s="578" t="inlineStr">
        <is>
          <t>Costos arriendos</t>
        </is>
      </c>
      <c r="D33" s="998" t="n"/>
      <c r="E33" s="1000" t="n"/>
    </row>
    <row r="34" ht="15" customHeight="1" s="779">
      <c r="C34" s="578" t="inlineStr">
        <is>
          <t>Costos venta de materiales IC</t>
        </is>
      </c>
      <c r="D34" s="998" t="n"/>
      <c r="E34" s="1000" t="n"/>
    </row>
    <row r="35">
      <c r="C35" s="578" t="inlineStr">
        <is>
          <t>Costos por servicios básicos</t>
        </is>
      </c>
      <c r="D35" s="998" t="n"/>
      <c r="E35" s="1000" t="n"/>
    </row>
    <row r="36">
      <c r="C36" s="578" t="inlineStr">
        <is>
          <t>Costo por venta de materiales e inventarios</t>
        </is>
      </c>
      <c r="D36" s="998" t="n"/>
      <c r="E36" s="1000" t="n"/>
    </row>
    <row r="37" ht="15" customHeight="1" s="779" thickBot="1">
      <c r="C37" s="578" t="inlineStr">
        <is>
          <t>Otros costos por servicios</t>
        </is>
      </c>
      <c r="D37" s="998" t="n"/>
      <c r="E37" s="1001" t="n"/>
    </row>
    <row r="38" ht="15" customHeight="1" s="779" thickBot="1">
      <c r="C38" s="578" t="inlineStr">
        <is>
          <t>Total costos</t>
        </is>
      </c>
      <c r="D38" s="1002">
        <f>SUM(D23:D37)</f>
        <v/>
      </c>
      <c r="E38" s="1002">
        <f>SUM(E23:E37)</f>
        <v/>
      </c>
    </row>
    <row r="39">
      <c r="D39" s="853" t="n"/>
      <c r="E39" s="853" t="n"/>
    </row>
    <row r="41">
      <c r="C41" s="1150" t="inlineStr">
        <is>
          <t>DEPRECIACION OPERACIONAL</t>
        </is>
      </c>
    </row>
    <row r="42">
      <c r="C42" s="806" t="n"/>
    </row>
    <row r="43">
      <c r="C43" s="578" t="inlineStr">
        <is>
          <t>Depreciacion operacional</t>
        </is>
      </c>
      <c r="D43" s="998" t="n"/>
      <c r="E43" s="1000" t="n"/>
    </row>
    <row r="44" ht="15" customHeight="1" s="779" thickBot="1">
      <c r="C44" s="578" t="inlineStr">
        <is>
          <t>Amortización derechos de uso</t>
        </is>
      </c>
      <c r="D44" s="1003" t="n"/>
      <c r="E44" s="1000" t="n"/>
    </row>
    <row r="45" ht="15" customHeight="1" s="779" thickBot="1">
      <c r="C45" s="578" t="inlineStr">
        <is>
          <t>Total Depreciacion</t>
        </is>
      </c>
      <c r="D45" s="1002">
        <f>SUM(D43:D44)</f>
        <v/>
      </c>
      <c r="E45" s="1002">
        <f>SUM(E43:E44)</f>
        <v/>
      </c>
    </row>
    <row r="46">
      <c r="E46" s="853" t="n"/>
    </row>
    <row r="47">
      <c r="C47" s="1173" t="inlineStr">
        <is>
          <t>ARRIENDO DE FIBRA IC</t>
        </is>
      </c>
      <c r="D47" s="853" t="n"/>
      <c r="E47" s="853" t="n"/>
    </row>
    <row r="48">
      <c r="C48" s="578" t="inlineStr">
        <is>
          <t>Costos arriendos IC</t>
        </is>
      </c>
      <c r="D48" s="998" t="n"/>
    </row>
    <row r="49" ht="15" customHeight="1" s="779" thickBot="1">
      <c r="C49" s="1142" t="inlineStr">
        <is>
          <t>Ingresos de arriendo fibra optica</t>
        </is>
      </c>
      <c r="D49" s="797" t="n"/>
      <c r="E49" s="966" t="n"/>
    </row>
    <row r="50" ht="15" customHeight="1" s="779" thickBot="1">
      <c r="C50" s="578" t="inlineStr">
        <is>
          <t>Costos uso fibra optica</t>
        </is>
      </c>
      <c r="D50" s="1002">
        <f>SUM(D48:D49)</f>
        <v/>
      </c>
      <c r="E50" s="1002">
        <f>SUM(E48:E49)</f>
        <v/>
      </c>
    </row>
  </sheetData>
  <mergeCells count="1">
    <mergeCell ref="C4:C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AB62"/>
  <sheetViews>
    <sheetView showGridLines="0" zoomScaleNormal="100" workbookViewId="0">
      <selection activeCell="E6" sqref="E6"/>
    </sheetView>
  </sheetViews>
  <sheetFormatPr baseColWidth="10" defaultRowHeight="14.4"/>
  <cols>
    <col width="41" bestFit="1" customWidth="1" style="779" min="2" max="2"/>
    <col width="11" bestFit="1" customWidth="1" style="1004" min="3" max="3"/>
    <col width="1.44140625" customWidth="1" style="1004" min="4" max="4"/>
    <col width="10.77734375" bestFit="1" customWidth="1" style="1004" min="5" max="5"/>
    <col width="1.44140625" customWidth="1" style="1004" min="6" max="6"/>
    <col width="10" bestFit="1" customWidth="1" style="779" min="7" max="7"/>
    <col width="15.44140625" bestFit="1" customWidth="1" style="779" min="8" max="8"/>
    <col width="12" bestFit="1" customWidth="1" style="779" min="9" max="9"/>
    <col width="18.6640625" bestFit="1" customWidth="1" style="779" min="11" max="11"/>
    <col width="11.6640625" bestFit="1" customWidth="1" style="813" min="12" max="12"/>
    <col width="12.33203125" bestFit="1" customWidth="1" style="813" min="13" max="13"/>
    <col width="15.21875" bestFit="1" customWidth="1" style="813" min="14" max="14"/>
    <col width="13.21875" bestFit="1" customWidth="1" style="813" min="15" max="15"/>
    <col width="15.21875" bestFit="1" customWidth="1" style="813" min="16" max="18"/>
    <col width="13.88671875" bestFit="1" customWidth="1" style="813" min="19" max="19"/>
    <col width="14.77734375" bestFit="1" customWidth="1" style="779" min="20" max="20"/>
    <col width="15.44140625" bestFit="1" customWidth="1" style="779" min="21" max="21"/>
    <col width="16.109375" bestFit="1" customWidth="1" style="779" min="22" max="22"/>
    <col width="14.77734375" bestFit="1" customWidth="1" style="779" min="24" max="24"/>
    <col width="15.6640625" bestFit="1" customWidth="1" style="779" min="25" max="25"/>
    <col width="15.44140625" bestFit="1" customWidth="1" style="779" min="27" max="27"/>
    <col width="14.44140625" bestFit="1" customWidth="1" style="779" min="28" max="28"/>
  </cols>
  <sheetData>
    <row r="1">
      <c r="B1" s="254" t="inlineStr">
        <is>
          <t>Estados consolidados de situación financiera</t>
        </is>
      </c>
      <c r="L1" s="812" t="inlineStr">
        <is>
          <t>RESUMEN RETASACION</t>
        </is>
      </c>
      <c r="U1" s="417" t="inlineStr">
        <is>
          <t>Contable</t>
        </is>
      </c>
      <c r="V1" s="417" t="inlineStr">
        <is>
          <t>Efecto neto en PPA</t>
        </is>
      </c>
      <c r="W1" s="789" t="n"/>
      <c r="X1" s="789" t="n"/>
      <c r="Y1" s="789" t="n"/>
      <c r="Z1" s="789" t="n"/>
      <c r="AA1" s="418" t="inlineStr">
        <is>
          <t>Extracontable</t>
        </is>
      </c>
      <c r="AB1" s="418" t="inlineStr">
        <is>
          <t>Diferido</t>
        </is>
      </c>
    </row>
    <row r="2" ht="20.4" customHeight="1" s="779">
      <c r="B2" s="813" t="n"/>
      <c r="C2" s="1203" t="inlineStr">
        <is>
          <t>Actual</t>
        </is>
      </c>
      <c r="D2" s="1005" t="n"/>
      <c r="E2" s="1203" t="inlineStr">
        <is>
          <t>Anterior al cambio</t>
        </is>
      </c>
      <c r="F2" s="1006" t="n"/>
      <c r="G2" s="1005" t="inlineStr">
        <is>
          <t>Variacion</t>
        </is>
      </c>
      <c r="L2" s="224" t="inlineStr">
        <is>
          <t>TODOS LOS BIENES DE MANERA PROPORCIONAL</t>
        </is>
      </c>
      <c r="O2" s="1007" t="n"/>
      <c r="P2" s="1007" t="n"/>
      <c r="Q2" s="1007" t="n"/>
      <c r="R2" s="1007" t="n"/>
      <c r="S2" s="1007" t="n"/>
      <c r="U2" s="1008" t="n">
        <v>136587387718.4149</v>
      </c>
      <c r="V2" s="1009" t="n">
        <v>153436742317.39</v>
      </c>
      <c r="W2" s="1010" t="n"/>
      <c r="X2" s="1010" t="inlineStr">
        <is>
          <t>Ejercicio 2022</t>
        </is>
      </c>
      <c r="Y2" s="1010" t="n"/>
      <c r="Z2" s="1010" t="n"/>
      <c r="AA2" s="1008" t="n">
        <v>210187318243</v>
      </c>
      <c r="AB2" s="1010" t="n">
        <v>56750575925.61</v>
      </c>
    </row>
    <row r="3">
      <c r="C3" s="1204" t="inlineStr">
        <is>
          <t>31/12/2023</t>
        </is>
      </c>
      <c r="D3" s="1005" t="n"/>
      <c r="E3" s="1204" t="inlineStr">
        <is>
          <t>31/12/2023</t>
        </is>
      </c>
      <c r="F3" s="1006" t="n"/>
      <c r="G3" s="1011" t="inlineStr">
        <is>
          <t>31/12/2023</t>
        </is>
      </c>
      <c r="N3" s="807" t="inlineStr">
        <is>
          <t>VLN de Bs tasados</t>
        </is>
      </c>
      <c r="O3" s="807" t="inlineStr">
        <is>
          <t>PPA</t>
        </is>
      </c>
      <c r="P3" s="807" t="inlineStr">
        <is>
          <t>VLN + PPA</t>
        </is>
      </c>
      <c r="Q3" s="810" t="inlineStr">
        <is>
          <t>REEMPLAZO
(valor Retasado)</t>
        </is>
      </c>
      <c r="R3" s="810" t="inlineStr">
        <is>
          <t>TASA
(ajuste retasación)</t>
        </is>
      </c>
      <c r="S3" s="810" t="inlineStr">
        <is>
          <t>Depreciación 6 meses a FV</t>
        </is>
      </c>
      <c r="U3" s="809" t="inlineStr">
        <is>
          <t>RETASACIÓN</t>
        </is>
      </c>
      <c r="V3" s="811" t="inlineStr">
        <is>
          <t>Depreciación 2023
6 meses</t>
        </is>
      </c>
      <c r="W3" s="1010" t="n"/>
      <c r="X3" s="809" t="inlineStr">
        <is>
          <t>PLUSVALIA</t>
        </is>
      </c>
      <c r="Y3" s="811" t="inlineStr">
        <is>
          <t>Depreciación 2022</t>
        </is>
      </c>
      <c r="Z3" s="1010" t="n"/>
      <c r="AA3" s="809" t="inlineStr">
        <is>
          <t>PPA</t>
        </is>
      </c>
      <c r="AB3" s="811" t="inlineStr">
        <is>
          <t>Depreciación 2023
6 meses</t>
        </is>
      </c>
    </row>
    <row r="4">
      <c r="B4" s="236" t="n"/>
      <c r="C4" s="1005" t="inlineStr">
        <is>
          <t>M$</t>
        </is>
      </c>
      <c r="D4" s="1005" t="n"/>
      <c r="E4" s="1005" t="inlineStr">
        <is>
          <t>M$</t>
        </is>
      </c>
      <c r="F4" s="1006" t="n"/>
      <c r="G4" s="1005" t="inlineStr">
        <is>
          <t>M$</t>
        </is>
      </c>
      <c r="N4" s="808" t="n"/>
      <c r="O4" s="808" t="n"/>
      <c r="P4" s="808" t="n"/>
      <c r="Q4" s="808" t="n"/>
      <c r="R4" s="808" t="n"/>
      <c r="S4" s="808" t="n"/>
      <c r="U4" s="808" t="n"/>
      <c r="V4" s="808" t="n"/>
      <c r="W4" s="1010" t="n"/>
      <c r="X4" s="808" t="n"/>
      <c r="Y4" s="808" t="n"/>
      <c r="Z4" s="1010" t="n"/>
      <c r="AA4" s="808" t="n"/>
      <c r="AB4" s="808" t="n"/>
    </row>
    <row r="5" ht="15" customHeight="1" s="779">
      <c r="B5" s="1205" t="inlineStr">
        <is>
          <t>Activos corrientes</t>
        </is>
      </c>
      <c r="C5" s="1012" t="n"/>
      <c r="D5" s="1012" t="n"/>
      <c r="E5" s="1012" t="n"/>
      <c r="F5" s="1006" t="n"/>
      <c r="N5" s="226" t="inlineStr">
        <is>
          <t>CLP</t>
        </is>
      </c>
      <c r="O5" s="226" t="inlineStr">
        <is>
          <t>CLP</t>
        </is>
      </c>
      <c r="P5" s="226" t="inlineStr">
        <is>
          <t>CLP</t>
        </is>
      </c>
      <c r="Q5" s="226" t="inlineStr">
        <is>
          <t>CLP</t>
        </is>
      </c>
      <c r="R5" s="226" t="inlineStr">
        <is>
          <t>CLP</t>
        </is>
      </c>
      <c r="S5" s="226" t="inlineStr">
        <is>
          <t>CLP</t>
        </is>
      </c>
      <c r="U5" s="422" t="inlineStr">
        <is>
          <t>CLP</t>
        </is>
      </c>
      <c r="V5" s="422" t="inlineStr">
        <is>
          <t>CLP</t>
        </is>
      </c>
      <c r="W5" s="1010" t="n"/>
      <c r="X5" s="422" t="inlineStr">
        <is>
          <t>CLP</t>
        </is>
      </c>
      <c r="Y5" s="422" t="inlineStr">
        <is>
          <t>CLP</t>
        </is>
      </c>
      <c r="Z5" s="1010" t="n"/>
      <c r="AA5" s="422" t="inlineStr">
        <is>
          <t>CLP</t>
        </is>
      </c>
      <c r="AB5" s="422" t="inlineStr">
        <is>
          <t>CLP</t>
        </is>
      </c>
    </row>
    <row r="6" ht="15" customHeight="1" s="779">
      <c r="B6" s="1206" t="inlineStr">
        <is>
          <t>Efectivo y efectivo equivalente</t>
        </is>
      </c>
      <c r="C6" s="1013">
        <f>ROUND(+#REF!,0)</f>
        <v/>
      </c>
      <c r="D6" s="1012" t="n"/>
      <c r="E6" s="1013">
        <f>+C6</f>
        <v/>
      </c>
      <c r="F6" s="1006" t="n"/>
      <c r="G6" s="865">
        <f>+C6-E6</f>
        <v/>
      </c>
      <c r="L6" s="813" t="n">
        <v>1209302</v>
      </c>
      <c r="M6" s="813" t="inlineStr">
        <is>
          <t>Plantas Transmisoras</t>
        </is>
      </c>
      <c r="N6" s="1014" t="n">
        <v>46585925679.92675</v>
      </c>
      <c r="O6" s="1014">
        <f>-669559356.883437*0</f>
        <v/>
      </c>
      <c r="P6" s="1014">
        <f>+N6+O6</f>
        <v/>
      </c>
      <c r="Q6" s="1014" t="n">
        <v>36824898692</v>
      </c>
      <c r="R6" s="1015">
        <f>+Q6-P6</f>
        <v/>
      </c>
      <c r="S6" s="1015" t="n">
        <v>537666361</v>
      </c>
      <c r="U6" s="1016" t="n">
        <v>-3844666738.404528</v>
      </c>
      <c r="V6" s="1016" t="n">
        <v>211778722</v>
      </c>
      <c r="W6" s="1010" t="n"/>
      <c r="X6" s="1016" t="n">
        <v>-4105126544.37219</v>
      </c>
      <c r="Y6" s="1016" t="n">
        <v>352357124</v>
      </c>
      <c r="Z6" s="1010" t="n"/>
      <c r="AA6" s="1016" t="n">
        <v>-5916360266.926766</v>
      </c>
      <c r="AB6" s="1016" t="n">
        <v>325887639</v>
      </c>
    </row>
    <row r="7" ht="15" customHeight="1" s="779">
      <c r="B7" s="1206" t="inlineStr">
        <is>
          <t>Otros activos no financieros, corrientes</t>
        </is>
      </c>
      <c r="C7" s="1013">
        <f>ROUND(+#REF!,0)+1</f>
        <v/>
      </c>
      <c r="D7" s="1012" t="n"/>
      <c r="E7" s="1013">
        <f>+C7</f>
        <v/>
      </c>
      <c r="F7" s="1006" t="n"/>
      <c r="G7" s="865">
        <f>+C7-E7</f>
        <v/>
      </c>
      <c r="L7" s="813" t="n">
        <v>1209306</v>
      </c>
      <c r="M7" s="813" t="inlineStr">
        <is>
          <t>OLT</t>
        </is>
      </c>
      <c r="N7" s="1014" t="n">
        <v>1420995501.275</v>
      </c>
      <c r="O7" s="1014">
        <f>-20423353.6219699*0</f>
        <v/>
      </c>
      <c r="P7" s="1014">
        <f>+N7+O7</f>
        <v/>
      </c>
      <c r="Q7" s="1014" t="n">
        <v>1123258042</v>
      </c>
      <c r="R7" s="1015">
        <f>+Q7-P7</f>
        <v/>
      </c>
      <c r="S7" s="1015" t="n">
        <v>19597515</v>
      </c>
      <c r="U7" s="1016" t="n">
        <v>-117272630.0078392</v>
      </c>
      <c r="V7" s="1016" t="n">
        <v>7719509</v>
      </c>
      <c r="W7" s="1010" t="n"/>
      <c r="X7" s="1016" t="n">
        <v>-125217351.4974928</v>
      </c>
      <c r="Y7" s="1016" t="n">
        <v>25834715</v>
      </c>
      <c r="Z7" s="1010" t="n"/>
      <c r="AA7" s="1016" t="n">
        <v>-180464868.275</v>
      </c>
      <c r="AB7" s="1016" t="n">
        <v>11878006</v>
      </c>
    </row>
    <row r="8" ht="15" customHeight="1" s="779">
      <c r="B8" s="1206" t="inlineStr">
        <is>
          <t>Deudores comerciales y otras cuentas por cobrar, corrientes</t>
        </is>
      </c>
      <c r="C8" s="1013">
        <f>ROUND(+#REF!,0)</f>
        <v/>
      </c>
      <c r="D8" s="1012" t="n"/>
      <c r="E8" s="1013">
        <f>+C8</f>
        <v/>
      </c>
      <c r="F8" s="1006" t="n"/>
      <c r="G8" s="865">
        <f>+C8-E8</f>
        <v/>
      </c>
      <c r="N8" s="1017" t="n"/>
      <c r="O8" s="1014" t="n"/>
      <c r="P8" s="1014" t="n"/>
      <c r="Q8" s="1014" t="n"/>
      <c r="R8" s="1015" t="n"/>
      <c r="S8" s="1014" t="n"/>
      <c r="U8" s="1016" t="n"/>
      <c r="V8" s="1018" t="n"/>
      <c r="W8" s="1010" t="n"/>
      <c r="X8" s="1016" t="n"/>
      <c r="Y8" s="1018" t="n"/>
      <c r="Z8" s="1010" t="n"/>
      <c r="AA8" s="1016" t="n"/>
      <c r="AB8" s="1018" t="n"/>
    </row>
    <row r="9" ht="15" customHeight="1" s="779" thickBot="1">
      <c r="B9" s="1206" t="inlineStr">
        <is>
          <t>Inventarios</t>
        </is>
      </c>
      <c r="C9" s="1019">
        <f>ROUND(+#REF!,0)</f>
        <v/>
      </c>
      <c r="D9" s="1012" t="n"/>
      <c r="E9" s="1013">
        <f>+C9</f>
        <v/>
      </c>
      <c r="F9" s="1006" t="n"/>
      <c r="G9" s="865">
        <f>+C9-E9</f>
        <v/>
      </c>
      <c r="H9" s="1013">
        <f>+Q28/1000</f>
        <v/>
      </c>
      <c r="I9" t="inlineStr">
        <is>
          <t>Retasacion full</t>
        </is>
      </c>
      <c r="L9" s="230" t="inlineStr">
        <is>
          <t>PLANTAS FTTH</t>
        </is>
      </c>
      <c r="N9" s="1020" t="n">
        <v>48006921181.20175</v>
      </c>
      <c r="O9" s="1020">
        <f>+O6+O7</f>
        <v/>
      </c>
      <c r="P9" s="1020" t="n">
        <v>47316938470.69634</v>
      </c>
      <c r="Q9" s="1020" t="n">
        <v>37948156734</v>
      </c>
      <c r="R9" s="1021">
        <f>+R6+R7</f>
        <v/>
      </c>
      <c r="S9" s="1021" t="n">
        <v>557263876</v>
      </c>
      <c r="U9" s="1022" t="n">
        <v>-3961939368.412367</v>
      </c>
      <c r="V9" s="1022" t="n">
        <v>219498231</v>
      </c>
      <c r="W9" s="1010" t="n"/>
      <c r="X9" s="1022" t="n">
        <v>-4230343895.869683</v>
      </c>
      <c r="Y9" s="1022" t="n">
        <v>378191839</v>
      </c>
      <c r="Z9" s="1010" t="n"/>
      <c r="AA9" s="1022" t="n">
        <v>-6096825135.201766</v>
      </c>
      <c r="AB9" s="1022" t="n">
        <v>337765645</v>
      </c>
    </row>
    <row r="10" ht="15" customHeight="1" s="779" thickBot="1">
      <c r="B10" s="1207" t="inlineStr">
        <is>
          <t xml:space="preserve">   Activos corrientes totales</t>
        </is>
      </c>
      <c r="C10" s="1023">
        <f>SUM(C6:C9)</f>
        <v/>
      </c>
      <c r="D10" s="1012" t="n"/>
      <c r="E10" s="1023">
        <f>SUM(E6:E9)</f>
        <v/>
      </c>
      <c r="F10" s="1006" t="n"/>
      <c r="G10" s="1023">
        <f>SUM(G6:G9)</f>
        <v/>
      </c>
      <c r="H10" s="1013">
        <f>-O28/1000</f>
        <v/>
      </c>
      <c r="I10" t="inlineStr">
        <is>
          <t>PPA de Bs revalorizados</t>
        </is>
      </c>
      <c r="N10" s="1014" t="n"/>
      <c r="O10" s="1014" t="n"/>
      <c r="P10" s="1014" t="n"/>
      <c r="Q10" s="1014" t="n"/>
      <c r="R10" s="1014" t="n"/>
      <c r="S10" s="1014" t="n"/>
      <c r="U10" s="1018" t="n"/>
      <c r="V10" s="1018" t="n"/>
      <c r="W10" s="1010" t="n"/>
      <c r="X10" s="1018" t="n"/>
      <c r="Y10" s="1018" t="n"/>
      <c r="Z10" s="1010" t="n"/>
      <c r="AA10" s="1018" t="n"/>
      <c r="AB10" s="1018" t="n"/>
    </row>
    <row r="11" ht="15" customHeight="1" s="779">
      <c r="B11" s="1205" t="inlineStr">
        <is>
          <t>Activos no corrientes</t>
        </is>
      </c>
      <c r="C11" s="1012" t="n"/>
      <c r="D11" s="1012" t="n"/>
      <c r="E11" s="1012" t="n"/>
      <c r="F11" s="1006" t="n"/>
      <c r="H11" s="1024">
        <f>-N28/1000</f>
        <v/>
      </c>
      <c r="I11" t="inlineStr">
        <is>
          <t>Valor libro neto de activos revalorizados</t>
        </is>
      </c>
      <c r="N11" s="807" t="inlineStr">
        <is>
          <t>VLN de Bs tasados</t>
        </is>
      </c>
      <c r="O11" s="807" t="inlineStr">
        <is>
          <t>PPA</t>
        </is>
      </c>
      <c r="P11" s="807" t="inlineStr">
        <is>
          <t>VLN + PPA</t>
        </is>
      </c>
      <c r="Q11" s="810" t="inlineStr">
        <is>
          <t>REEMPLAZO
(valor Retasado)</t>
        </is>
      </c>
      <c r="R11" s="810" t="inlineStr">
        <is>
          <t>TASA
(ajuste retasación)</t>
        </is>
      </c>
      <c r="S11" s="810" t="inlineStr">
        <is>
          <t>Depreciación 6 meses a FV</t>
        </is>
      </c>
      <c r="U11" s="809" t="inlineStr">
        <is>
          <t>RETASACIÓN</t>
        </is>
      </c>
      <c r="V11" s="811" t="inlineStr">
        <is>
          <t>Depreciación 2023
6 meses</t>
        </is>
      </c>
      <c r="W11" s="1010" t="n"/>
      <c r="X11" s="809" t="inlineStr">
        <is>
          <t>PLUSVALIA</t>
        </is>
      </c>
      <c r="Y11" s="811" t="inlineStr">
        <is>
          <t>Depreciación 2022</t>
        </is>
      </c>
      <c r="Z11" s="1010" t="n"/>
      <c r="AA11" s="809" t="inlineStr">
        <is>
          <t>PPA</t>
        </is>
      </c>
      <c r="AB11" s="811" t="inlineStr">
        <is>
          <t>Depreciación 2023
6 meses</t>
        </is>
      </c>
    </row>
    <row r="12" ht="15" customHeight="1" s="779">
      <c r="B12" s="1167" t="inlineStr">
        <is>
          <t>Cuentas por cobrar a entidades relacionadas, no corrientes</t>
        </is>
      </c>
      <c r="C12" s="1012">
        <f>ROUND(+#REF!,0)</f>
        <v/>
      </c>
      <c r="D12" s="1012" t="n"/>
      <c r="E12" s="1013">
        <f>+C12</f>
        <v/>
      </c>
      <c r="F12" s="1006" t="n"/>
      <c r="G12" s="1013">
        <f>+C12-E12</f>
        <v/>
      </c>
      <c r="H12" s="1025">
        <f>SUM(H9:H11)</f>
        <v/>
      </c>
      <c r="I12" t="inlineStr">
        <is>
          <t>Revalorizacion</t>
        </is>
      </c>
      <c r="N12" s="808" t="n"/>
      <c r="O12" s="808" t="n"/>
      <c r="P12" s="808" t="n"/>
      <c r="Q12" s="808" t="n"/>
      <c r="R12" s="808" t="n"/>
      <c r="S12" s="808" t="n"/>
      <c r="U12" s="808" t="n"/>
      <c r="V12" s="808" t="n"/>
      <c r="W12" s="1010" t="n"/>
      <c r="X12" s="808" t="n"/>
      <c r="Y12" s="808" t="n"/>
      <c r="Z12" s="1010" t="n"/>
      <c r="AA12" s="808" t="n"/>
      <c r="AB12" s="808" t="n"/>
    </row>
    <row r="13" ht="15" customHeight="1" s="779">
      <c r="B13" s="1206" t="inlineStr">
        <is>
          <t>Activos intangibles distintos de la plusvalía</t>
        </is>
      </c>
      <c r="C13" s="1012">
        <f>ROUND(+#REF!,0)</f>
        <v/>
      </c>
      <c r="D13" s="1012" t="n"/>
      <c r="E13" s="1013">
        <f>+C13</f>
        <v/>
      </c>
      <c r="F13" s="1006" t="n"/>
      <c r="G13" s="1013">
        <f>+C13-E13</f>
        <v/>
      </c>
      <c r="H13" s="1013">
        <f>(+V25)/1000</f>
        <v/>
      </c>
      <c r="I13" t="inlineStr">
        <is>
          <t>Depreciacion retasación</t>
        </is>
      </c>
      <c r="N13" s="226" t="inlineStr">
        <is>
          <t>CLP</t>
        </is>
      </c>
      <c r="O13" s="226" t="inlineStr">
        <is>
          <t>CLP</t>
        </is>
      </c>
      <c r="P13" s="226" t="inlineStr">
        <is>
          <t>CLP</t>
        </is>
      </c>
      <c r="Q13" s="226" t="inlineStr">
        <is>
          <t>CLP</t>
        </is>
      </c>
      <c r="R13" s="226" t="inlineStr">
        <is>
          <t>CLP</t>
        </is>
      </c>
      <c r="S13" s="226" t="inlineStr">
        <is>
          <t>CLP</t>
        </is>
      </c>
      <c r="U13" s="422" t="inlineStr">
        <is>
          <t>CLP</t>
        </is>
      </c>
      <c r="V13" s="422" t="inlineStr">
        <is>
          <t>CLP</t>
        </is>
      </c>
      <c r="W13" s="1010" t="n"/>
      <c r="X13" s="422" t="inlineStr">
        <is>
          <t>CLP</t>
        </is>
      </c>
      <c r="Y13" s="422" t="inlineStr">
        <is>
          <t>CLP</t>
        </is>
      </c>
      <c r="Z13" s="1010" t="n"/>
      <c r="AA13" s="422" t="inlineStr">
        <is>
          <t>CLP</t>
        </is>
      </c>
      <c r="AB13" s="422" t="inlineStr">
        <is>
          <t>CLP</t>
        </is>
      </c>
    </row>
    <row r="14" ht="15" customHeight="1" s="779" thickBot="1">
      <c r="B14" s="1206" t="inlineStr">
        <is>
          <t>Propiedades, planta y equipo</t>
        </is>
      </c>
      <c r="C14" s="1012">
        <f>ROUND(+#REF!,0)</f>
        <v/>
      </c>
      <c r="D14" s="1012" t="n"/>
      <c r="E14" s="1013">
        <f>+C14-((R25+R26)/1000)-((V25)/1000)+(P33/1000)</f>
        <v/>
      </c>
      <c r="F14" s="1006" t="n"/>
      <c r="G14" s="1026">
        <f>+C14-E14</f>
        <v/>
      </c>
      <c r="H14" s="1027">
        <f>+H12+H13</f>
        <v/>
      </c>
      <c r="J14" s="865">
        <f>+G14-H14</f>
        <v/>
      </c>
      <c r="L14" s="813" t="n">
        <v>1209301</v>
      </c>
      <c r="M14" s="813" t="inlineStr">
        <is>
          <t>Redes de transmisión</t>
        </is>
      </c>
      <c r="N14" s="1014" t="n">
        <v>136247708581.0974</v>
      </c>
      <c r="O14" s="1014">
        <f>6578757375.70908*0</f>
        <v/>
      </c>
      <c r="P14" s="1014">
        <f>+N14+O14</f>
        <v/>
      </c>
      <c r="Q14" s="1014" t="n">
        <v>393683079308</v>
      </c>
      <c r="R14" s="1015">
        <f>+Q14-P14</f>
        <v/>
      </c>
      <c r="S14" s="1015" t="n">
        <v>-7406224646</v>
      </c>
      <c r="U14" s="1016" t="n">
        <v>101398470503.8487</v>
      </c>
      <c r="V14" s="1016" t="n">
        <v>-2917156158</v>
      </c>
      <c r="W14" s="1010" t="n"/>
      <c r="X14" s="1016" t="n">
        <v>108267785258.5028</v>
      </c>
      <c r="Y14" s="1016" t="n">
        <v>-5643893012</v>
      </c>
      <c r="Z14" s="1010" t="n"/>
      <c r="AA14" s="1016" t="n">
        <v>156036900231.9026</v>
      </c>
      <c r="AB14" s="1016" t="n">
        <v>-4489068488</v>
      </c>
    </row>
    <row r="15" ht="15" customHeight="1" s="779" thickTop="1">
      <c r="B15" s="1167" t="inlineStr">
        <is>
          <t>Activo por impuestos diferidos, no corrientes</t>
        </is>
      </c>
      <c r="C15" s="1012">
        <f>ROUND(+#REF!,0)*0</f>
        <v/>
      </c>
      <c r="D15" s="1012" t="n"/>
      <c r="E15" s="1013">
        <f>+C15</f>
        <v/>
      </c>
      <c r="F15" s="1006" t="n"/>
      <c r="G15" s="1013">
        <f>+C15-E15</f>
        <v/>
      </c>
      <c r="N15" s="1017" t="n"/>
      <c r="O15" s="1014" t="n"/>
      <c r="P15" s="1014" t="n"/>
      <c r="Q15" s="1014" t="n"/>
      <c r="R15" s="1015" t="n"/>
      <c r="S15" s="1014" t="n"/>
      <c r="U15" s="1016" t="n"/>
      <c r="V15" s="1018" t="n"/>
      <c r="W15" s="1010" t="n"/>
      <c r="X15" s="1016" t="n"/>
      <c r="Y15" s="1018" t="n"/>
      <c r="Z15" s="1010" t="n"/>
      <c r="AA15" s="1016" t="n"/>
      <c r="AB15" s="1018" t="n"/>
    </row>
    <row r="16" ht="15" customHeight="1" s="779" thickBot="1">
      <c r="B16" s="1167" t="inlineStr">
        <is>
          <t xml:space="preserve">Plusvalía </t>
        </is>
      </c>
      <c r="C16" s="1028">
        <f>ROUND(+#REF!,0)</f>
        <v/>
      </c>
      <c r="D16" s="1012" t="n"/>
      <c r="E16" s="1013">
        <f>+C16+145840602*0</f>
        <v/>
      </c>
      <c r="F16" s="1006" t="n"/>
      <c r="G16" s="1013">
        <f>+C16-E16</f>
        <v/>
      </c>
      <c r="H16" s="1029" t="n"/>
      <c r="L16" s="230" t="inlineStr">
        <is>
          <t>RED DE PLANTA EXTERNA</t>
        </is>
      </c>
      <c r="N16" s="1020" t="n">
        <v>136247708581.0974</v>
      </c>
      <c r="O16" s="1020">
        <f>+O14</f>
        <v/>
      </c>
      <c r="P16" s="1020" t="n">
        <v>142826465956.8065</v>
      </c>
      <c r="Q16" s="1020" t="n">
        <v>393683079308</v>
      </c>
      <c r="R16" s="1021">
        <f>+R14</f>
        <v/>
      </c>
      <c r="S16" s="1021" t="n">
        <v>-7406224646</v>
      </c>
      <c r="U16" s="1022" t="n">
        <v>101398470503.8487</v>
      </c>
      <c r="V16" s="1022" t="n">
        <v>-2917156158</v>
      </c>
      <c r="W16" s="1010" t="n"/>
      <c r="X16" s="1022" t="n">
        <v>108267785258.5028</v>
      </c>
      <c r="Y16" s="1022" t="n">
        <v>-5643893012</v>
      </c>
      <c r="Z16" s="1010" t="n"/>
      <c r="AA16" s="1022" t="n">
        <v>156036900231.9026</v>
      </c>
      <c r="AB16" s="1022" t="n">
        <v>-4489068488</v>
      </c>
    </row>
    <row r="17" ht="15" customHeight="1" s="779" thickBot="1">
      <c r="B17" s="1207" t="inlineStr">
        <is>
          <t xml:space="preserve">   Total activos no corrientes</t>
        </is>
      </c>
      <c r="C17" s="1023">
        <f>SUM(C12:C16)</f>
        <v/>
      </c>
      <c r="D17" s="1012" t="n"/>
      <c r="E17" s="1023">
        <f>SUM(E12:E16)</f>
        <v/>
      </c>
      <c r="F17" s="1006" t="n"/>
      <c r="G17" s="1023">
        <f>SUM(G12:G16)</f>
        <v/>
      </c>
      <c r="U17" s="789" t="n"/>
      <c r="V17" s="789" t="n"/>
      <c r="W17" s="1010" t="n"/>
      <c r="X17" s="789" t="n"/>
      <c r="Y17" s="789" t="n"/>
      <c r="Z17" s="1010" t="n"/>
      <c r="AA17" s="789" t="n"/>
      <c r="AB17" s="789" t="n"/>
    </row>
    <row r="18" ht="15" customHeight="1" s="779" thickBot="1">
      <c r="B18" s="1207" t="inlineStr">
        <is>
          <t xml:space="preserve">   Total activos </t>
        </is>
      </c>
      <c r="C18" s="1023">
        <f>+C17+C10</f>
        <v/>
      </c>
      <c r="D18" s="1012" t="n"/>
      <c r="E18" s="1023">
        <f>+E17+E10</f>
        <v/>
      </c>
      <c r="F18" s="1006" t="n"/>
      <c r="G18" s="1023">
        <f>+G17+G10</f>
        <v/>
      </c>
      <c r="N18" s="807" t="inlineStr">
        <is>
          <t>VLN de Bs tasados</t>
        </is>
      </c>
      <c r="O18" s="807" t="inlineStr">
        <is>
          <t>PPA</t>
        </is>
      </c>
      <c r="P18" s="807" t="inlineStr">
        <is>
          <t>VLN + PPA</t>
        </is>
      </c>
      <c r="Q18" s="810" t="inlineStr">
        <is>
          <t>REEMPLAZO
(valor Retasado)</t>
        </is>
      </c>
      <c r="R18" s="810" t="inlineStr">
        <is>
          <t>TASA
(ajuste retasación)</t>
        </is>
      </c>
      <c r="S18" s="810" t="inlineStr">
        <is>
          <t>Depreciación 6 meses a FV</t>
        </is>
      </c>
      <c r="U18" s="809" t="inlineStr">
        <is>
          <t>RETASACIÓN</t>
        </is>
      </c>
      <c r="V18" s="811" t="inlineStr">
        <is>
          <t>Depreciación 2023
6 meses</t>
        </is>
      </c>
      <c r="W18" s="1010" t="n"/>
      <c r="X18" s="809" t="inlineStr">
        <is>
          <t>PLUSVALIA</t>
        </is>
      </c>
      <c r="Y18" s="811" t="inlineStr">
        <is>
          <t>Depreciación 2022</t>
        </is>
      </c>
      <c r="Z18" s="1010" t="n"/>
      <c r="AA18" s="809" t="inlineStr">
        <is>
          <t>PPA</t>
        </is>
      </c>
      <c r="AB18" s="811" t="inlineStr">
        <is>
          <t>Depreciación 2023
6 meses</t>
        </is>
      </c>
    </row>
    <row r="19" ht="15" customHeight="1" s="779">
      <c r="B19" s="1205" t="inlineStr">
        <is>
          <t>Pasivos corrientes</t>
        </is>
      </c>
      <c r="C19" s="1012" t="n"/>
      <c r="D19" s="1012" t="n"/>
      <c r="E19" s="1012" t="n"/>
      <c r="F19" s="1006" t="n"/>
      <c r="N19" s="808" t="n"/>
      <c r="O19" s="808" t="n"/>
      <c r="P19" s="808" t="n"/>
      <c r="Q19" s="808" t="n"/>
      <c r="R19" s="808" t="n"/>
      <c r="S19" s="808" t="n"/>
      <c r="U19" s="808" t="n"/>
      <c r="V19" s="808" t="n"/>
      <c r="W19" s="1010" t="n"/>
      <c r="X19" s="808" t="n"/>
      <c r="Y19" s="808" t="n"/>
      <c r="Z19" s="1010" t="n"/>
      <c r="AA19" s="808" t="n"/>
      <c r="AB19" s="808" t="n"/>
    </row>
    <row r="20" ht="15" customHeight="1" s="779">
      <c r="B20" s="1206" t="inlineStr">
        <is>
          <t>Otros pasivos financieros, corrientes</t>
        </is>
      </c>
      <c r="C20" s="1012">
        <f>ROUND(+#REF!,0)</f>
        <v/>
      </c>
      <c r="D20" s="1012" t="n"/>
      <c r="E20" s="1013">
        <f>+C20</f>
        <v/>
      </c>
      <c r="F20" s="1006" t="n"/>
      <c r="G20" s="1013">
        <f>+C20-E20</f>
        <v/>
      </c>
      <c r="N20" s="226" t="inlineStr">
        <is>
          <t>CLP</t>
        </is>
      </c>
      <c r="O20" s="226" t="inlineStr">
        <is>
          <t>CLP</t>
        </is>
      </c>
      <c r="P20" s="226" t="inlineStr">
        <is>
          <t>CLP</t>
        </is>
      </c>
      <c r="Q20" s="226" t="inlineStr">
        <is>
          <t>CLP</t>
        </is>
      </c>
      <c r="R20" s="226" t="inlineStr">
        <is>
          <t>CLP</t>
        </is>
      </c>
      <c r="S20" s="226" t="inlineStr">
        <is>
          <t>CLP</t>
        </is>
      </c>
      <c r="U20" s="422" t="inlineStr">
        <is>
          <t>CLP</t>
        </is>
      </c>
      <c r="V20" s="422" t="inlineStr">
        <is>
          <t>CLP</t>
        </is>
      </c>
      <c r="W20" s="789" t="n"/>
      <c r="X20" s="422" t="inlineStr">
        <is>
          <t>CLP</t>
        </is>
      </c>
      <c r="Y20" s="422" t="inlineStr">
        <is>
          <t>CLP</t>
        </is>
      </c>
      <c r="Z20" s="789" t="n"/>
      <c r="AA20" s="422" t="inlineStr">
        <is>
          <t>CLP</t>
        </is>
      </c>
      <c r="AB20" s="422" t="inlineStr">
        <is>
          <t>CLP</t>
        </is>
      </c>
    </row>
    <row r="21" ht="15" customHeight="1" s="779">
      <c r="B21" s="1206" t="inlineStr">
        <is>
          <t>Cuentas comerciales y otras cuentas por pagar, corrientes</t>
        </is>
      </c>
      <c r="C21" s="1012">
        <f>ROUND(+#REF!,0)</f>
        <v/>
      </c>
      <c r="D21" s="1012" t="n"/>
      <c r="E21" s="1013">
        <f>+C21</f>
        <v/>
      </c>
      <c r="F21" s="1006" t="n"/>
      <c r="G21" s="1013">
        <f>+C21-E21</f>
        <v/>
      </c>
      <c r="H21" s="865">
        <f>+H14-G14</f>
        <v/>
      </c>
      <c r="L21" s="813" t="n">
        <v>1209304</v>
      </c>
      <c r="M21" s="813" t="inlineStr">
        <is>
          <t>Enlaces</t>
        </is>
      </c>
      <c r="N21" s="1014" t="n">
        <v>34564703244.67979</v>
      </c>
      <c r="O21" s="1014" t="n">
        <v>0</v>
      </c>
      <c r="P21" s="1014">
        <f>+N21+O21</f>
        <v/>
      </c>
      <c r="Q21" s="1014" t="n">
        <v>137083367166.4885</v>
      </c>
      <c r="R21" s="1015">
        <f>+Q21-P21</f>
        <v/>
      </c>
      <c r="S21" s="1015" t="n">
        <v>-2944952321</v>
      </c>
      <c r="U21" s="1016" t="n">
        <v>39150856582.97854</v>
      </c>
      <c r="V21" s="1016" t="n">
        <v>-1124647357</v>
      </c>
      <c r="W21" s="789" t="n"/>
      <c r="X21" s="1016" t="n">
        <v>41803160463.36689</v>
      </c>
      <c r="Y21" s="1016" t="n">
        <v>-2139116298</v>
      </c>
      <c r="Z21" s="789" t="n"/>
      <c r="AA21" s="1016" t="n">
        <v>60247243084</v>
      </c>
      <c r="AB21" s="1016" t="n">
        <v>-1730663579</v>
      </c>
    </row>
    <row r="22" ht="15" customHeight="1" s="779">
      <c r="B22" s="1206" t="inlineStr">
        <is>
          <t>Pasivos por impuestos corrientes</t>
        </is>
      </c>
      <c r="C22" s="1012">
        <f>ROUND(+#REF!-#REF!,0)</f>
        <v/>
      </c>
      <c r="D22" s="1012" t="n"/>
      <c r="E22" s="1013">
        <f>+C22</f>
        <v/>
      </c>
      <c r="F22" s="1006" t="n"/>
      <c r="G22" s="1013">
        <f>+C22-E22</f>
        <v/>
      </c>
      <c r="N22" s="1017" t="n"/>
      <c r="O22" s="1014" t="n"/>
      <c r="P22" s="1014" t="n"/>
      <c r="Q22" s="1014" t="n"/>
      <c r="R22" s="1015" t="n"/>
      <c r="S22" s="1014" t="n"/>
      <c r="U22" s="1016" t="n"/>
      <c r="V22" s="1018" t="n"/>
      <c r="W22" s="789" t="n"/>
      <c r="X22" s="1016" t="n"/>
      <c r="Y22" s="1018" t="n"/>
      <c r="Z22" s="789" t="n"/>
      <c r="AA22" s="1016" t="n"/>
      <c r="AB22" s="1018" t="n"/>
    </row>
    <row r="23" ht="15" customHeight="1" s="779" thickBot="1">
      <c r="B23" s="1206" t="inlineStr">
        <is>
          <t>Provisiones por beneficios a los empleados</t>
        </is>
      </c>
      <c r="C23" s="1012">
        <f>+#REF!</f>
        <v/>
      </c>
      <c r="D23" s="1012" t="n"/>
      <c r="E23" s="1013">
        <f>+C23</f>
        <v/>
      </c>
      <c r="F23" s="1006" t="n"/>
      <c r="G23" s="1013">
        <f>+C23-E23</f>
        <v/>
      </c>
      <c r="L23" s="230" t="inlineStr">
        <is>
          <t>RED DE TRANSPORTE</t>
        </is>
      </c>
      <c r="N23" s="1020" t="n">
        <v>34564703244.67979</v>
      </c>
      <c r="O23" s="1020">
        <f>5888774665*0+185217563951*0</f>
        <v/>
      </c>
      <c r="P23" s="1020" t="n">
        <v>34564703244.67979</v>
      </c>
      <c r="Q23" s="1020" t="n">
        <v>137083367166.4885</v>
      </c>
      <c r="R23" s="1021">
        <f>+R21</f>
        <v/>
      </c>
      <c r="S23" s="1021" t="n">
        <v>-2944952321</v>
      </c>
      <c r="U23" s="1022" t="n">
        <v>39150856582.97854</v>
      </c>
      <c r="V23" s="1022" t="n">
        <v>-1124647357</v>
      </c>
      <c r="W23" s="789" t="n"/>
      <c r="X23" s="1022" t="n">
        <v>41803160463.36689</v>
      </c>
      <c r="Y23" s="1022" t="n">
        <v>-2139116298</v>
      </c>
      <c r="Z23" s="789" t="n"/>
      <c r="AA23" s="1022" t="n">
        <v>60247243084</v>
      </c>
      <c r="AB23" s="1022" t="n">
        <v>-1730663579</v>
      </c>
    </row>
    <row r="24" ht="15" customHeight="1" s="779" thickBot="1" thickTop="1">
      <c r="B24" s="1207" t="inlineStr">
        <is>
          <t xml:space="preserve">   Pasivos corrientes totales</t>
        </is>
      </c>
      <c r="C24" s="1023">
        <f>SUM(C20:C23)</f>
        <v/>
      </c>
      <c r="D24" s="1012" t="n"/>
      <c r="E24" s="1023">
        <f>SUM(E20:E23)</f>
        <v/>
      </c>
      <c r="F24" s="1006" t="n"/>
      <c r="G24" s="1023">
        <f>SUM(G20:G23)</f>
        <v/>
      </c>
      <c r="U24" s="789" t="n"/>
      <c r="V24" s="789" t="n"/>
      <c r="W24" s="789" t="n"/>
      <c r="X24" s="789" t="n"/>
      <c r="Y24" s="789" t="n"/>
      <c r="Z24" s="789" t="n"/>
      <c r="AA24" s="789" t="n"/>
      <c r="AB24" s="789" t="n"/>
    </row>
    <row r="25" ht="15" customHeight="1" s="779" thickBot="1">
      <c r="B25" s="1205" t="inlineStr">
        <is>
          <t>Pasivos no corrientes</t>
        </is>
      </c>
      <c r="C25" s="1012" t="n"/>
      <c r="D25" s="1012" t="n"/>
      <c r="E25" s="1012" t="n"/>
      <c r="F25" s="1006" t="n"/>
      <c r="L25" s="230" t="inlineStr">
        <is>
          <t>TOTAL</t>
        </is>
      </c>
      <c r="N25" s="1017">
        <f>+N23+N16+N9</f>
        <v/>
      </c>
      <c r="O25" s="1017">
        <f>+O23+O16+O9</f>
        <v/>
      </c>
      <c r="P25" s="1017">
        <f>+P23+P16+P9</f>
        <v/>
      </c>
      <c r="Q25" s="1017">
        <f>+Q23+Q16+Q9</f>
        <v/>
      </c>
      <c r="R25" s="1030">
        <f>+R23+R16+R9</f>
        <v/>
      </c>
      <c r="S25" s="1030" t="n">
        <v>-9793913091</v>
      </c>
      <c r="U25" s="1031" t="n">
        <v>136587387718.4148</v>
      </c>
      <c r="V25" s="1032" t="n">
        <v>-3822305284</v>
      </c>
      <c r="W25" s="789" t="n"/>
      <c r="X25" s="1033" t="n">
        <v>145840601826</v>
      </c>
      <c r="Y25" s="1033" t="n">
        <v>-7404817471</v>
      </c>
      <c r="Z25" s="789" t="n"/>
      <c r="AA25" s="1033" t="n">
        <v>210187318180.7009</v>
      </c>
      <c r="AB25" s="1032" t="n">
        <v>-5881966422</v>
      </c>
    </row>
    <row r="26" ht="15" customHeight="1" s="779">
      <c r="B26" s="1206" t="inlineStr">
        <is>
          <t>Otros pasivos financieros, no corrientes</t>
        </is>
      </c>
      <c r="C26" s="1012">
        <f>ROUND(+#REF!,0)-1</f>
        <v/>
      </c>
      <c r="D26" s="1012" t="n"/>
      <c r="E26" s="1013">
        <f>+C26</f>
        <v/>
      </c>
      <c r="F26" s="1006" t="n"/>
      <c r="G26" s="1013">
        <f>+C26-E26</f>
        <v/>
      </c>
      <c r="L26" s="813" t="inlineStr">
        <is>
          <t>Ajuste kilometros</t>
        </is>
      </c>
      <c r="N26" s="1017" t="n"/>
      <c r="Q26" s="1030" t="n">
        <v>-3120564240</v>
      </c>
      <c r="R26" s="1030" t="n">
        <v>-3120564240</v>
      </c>
      <c r="S26" s="1030" t="n">
        <v>89641385</v>
      </c>
      <c r="T26" t="inlineStr">
        <is>
          <t>Ajuste por kms</t>
        </is>
      </c>
      <c r="U26" s="789" t="n"/>
      <c r="V26" s="789" t="n"/>
      <c r="W26" s="789" t="n"/>
      <c r="X26" s="789" t="n"/>
      <c r="Y26" s="789" t="n"/>
      <c r="Z26" s="789" t="n"/>
      <c r="AA26" s="789" t="n"/>
      <c r="AB26" s="789" t="n"/>
    </row>
    <row r="27" ht="15" customHeight="1" s="779">
      <c r="B27" s="1206" t="inlineStr">
        <is>
          <t>Otras provisiones, no corrientes</t>
        </is>
      </c>
      <c r="C27" s="1012">
        <f>ROUND(+#REF!,0)</f>
        <v/>
      </c>
      <c r="D27" s="1012" t="n"/>
      <c r="E27" s="1013">
        <f>+C27</f>
        <v/>
      </c>
      <c r="F27" s="1006" t="n"/>
      <c r="G27" s="1013">
        <f>+C27-E27</f>
        <v/>
      </c>
      <c r="U27" s="1016" t="n">
        <v>136587387718</v>
      </c>
      <c r="V27" s="789" t="n"/>
      <c r="W27" s="789" t="n"/>
      <c r="X27" s="1016" t="n">
        <v>145840601826</v>
      </c>
      <c r="Y27" s="789" t="n"/>
      <c r="Z27" s="789" t="n"/>
      <c r="AA27" s="1034" t="n">
        <v>210187318243</v>
      </c>
      <c r="AB27" s="789" t="n"/>
    </row>
    <row r="28" ht="15" customHeight="1" s="779" thickBot="1">
      <c r="B28" s="1206" t="inlineStr">
        <is>
          <t>Cuentas comerciales y otras cuentas por pagar, no corrientes</t>
        </is>
      </c>
      <c r="C28" s="1012">
        <f>ROUND(+#REF!,0)</f>
        <v/>
      </c>
      <c r="D28" s="1012" t="n"/>
      <c r="E28" s="1013">
        <f>+C28</f>
        <v/>
      </c>
      <c r="F28" s="1006" t="n"/>
      <c r="G28" s="1013">
        <f>+C28-E28</f>
        <v/>
      </c>
      <c r="N28" s="1035">
        <f>+N25</f>
        <v/>
      </c>
      <c r="O28" s="1036">
        <f>+P33</f>
        <v/>
      </c>
      <c r="P28" s="1036">
        <f>+N28+O28</f>
        <v/>
      </c>
      <c r="Q28" s="1035">
        <f>+Q25+Q26</f>
        <v/>
      </c>
      <c r="R28" s="1036">
        <f>+Q28-P28</f>
        <v/>
      </c>
      <c r="S28" s="1036">
        <f>+S25+S26</f>
        <v/>
      </c>
      <c r="U28" s="789" t="n"/>
      <c r="V28" s="1037" t="n"/>
      <c r="W28" s="789" t="n"/>
      <c r="X28" s="789" t="n"/>
      <c r="Y28" s="789" t="n"/>
      <c r="Z28" s="789" t="n"/>
      <c r="AA28" s="1037" t="n">
        <v>62.29910278320312</v>
      </c>
      <c r="AB28" s="789" t="n"/>
    </row>
    <row r="29" ht="15" customHeight="1" s="779" thickBot="1" thickTop="1">
      <c r="B29" s="1206" t="inlineStr">
        <is>
          <t>Pasivos por impuestos diferidos</t>
        </is>
      </c>
      <c r="C29" s="1028">
        <f>ROUND(+#REF!,0)-60638954</f>
        <v/>
      </c>
      <c r="D29" s="1012" t="n"/>
      <c r="E29" s="1013">
        <f>+C29+51926297</f>
        <v/>
      </c>
      <c r="F29" s="1006" t="n"/>
      <c r="G29" s="1026">
        <f>+C29-E29</f>
        <v/>
      </c>
      <c r="H29" s="1038">
        <f>+#REF!/1000</f>
        <v/>
      </c>
      <c r="I29" t="inlineStr">
        <is>
          <t>Pasivo impuestos diferidos retasación</t>
        </is>
      </c>
      <c r="U29" s="789" t="n"/>
      <c r="V29" s="789" t="n"/>
      <c r="W29" s="789" t="n"/>
      <c r="X29" s="789" t="n"/>
      <c r="Y29" s="789" t="n"/>
      <c r="Z29" s="789" t="n"/>
      <c r="AA29" s="789" t="n"/>
      <c r="AB29" s="1037" t="n"/>
    </row>
    <row r="30" ht="15" customHeight="1" s="779" thickBot="1">
      <c r="B30" s="1207" t="inlineStr">
        <is>
          <t>Total pasivos no corrientes</t>
        </is>
      </c>
      <c r="C30" s="1023">
        <f>SUM(C26:C29)</f>
        <v/>
      </c>
      <c r="D30" s="1012" t="n"/>
      <c r="E30" s="1023">
        <f>SUM(E26:E29)</f>
        <v/>
      </c>
      <c r="F30" s="1006" t="n"/>
      <c r="G30" s="1023">
        <f>SUM(G26:G29)</f>
        <v/>
      </c>
      <c r="O30" s="813" t="inlineStr">
        <is>
          <t>Fair value original</t>
        </is>
      </c>
      <c r="P30" s="1017" t="n">
        <v>10405671906</v>
      </c>
    </row>
    <row r="31" ht="15" customHeight="1" s="779">
      <c r="B31" s="1205" t="inlineStr">
        <is>
          <t>Patrimonio</t>
        </is>
      </c>
      <c r="C31" s="1012" t="n"/>
      <c r="D31" s="1012" t="n"/>
      <c r="E31" s="1012" t="n"/>
      <c r="F31" s="1006" t="n"/>
      <c r="O31" s="813" t="inlineStr">
        <is>
          <t>Fair value PPA</t>
        </is>
      </c>
      <c r="P31" s="1017" t="n">
        <v>145840601535.967</v>
      </c>
      <c r="Q31" s="1017" t="n"/>
      <c r="R31" s="1017" t="n"/>
      <c r="S31" s="1039">
        <f>+V25+AB25</f>
        <v/>
      </c>
    </row>
    <row r="32" ht="15" customHeight="1" s="779">
      <c r="B32" s="1206" t="inlineStr">
        <is>
          <t>Capital emitido y pagado</t>
        </is>
      </c>
      <c r="C32" s="1012">
        <f>ROUND(+#REF!,0)</f>
        <v/>
      </c>
      <c r="D32" s="1012" t="n"/>
      <c r="E32" s="1013">
        <f>+C32</f>
        <v/>
      </c>
      <c r="F32" s="1006" t="n"/>
      <c r="G32" s="1013">
        <f>+C32-E32</f>
        <v/>
      </c>
      <c r="K32" s="404" t="inlineStr">
        <is>
          <t>Efecto en otras reservas</t>
        </is>
      </c>
      <c r="O32" s="813" t="inlineStr">
        <is>
          <t>Tax Fair value</t>
        </is>
      </c>
      <c r="P32" s="1017" t="n">
        <v>53941044404</v>
      </c>
      <c r="Q32" s="1017" t="n"/>
      <c r="R32" s="1017" t="n"/>
    </row>
    <row r="33" ht="15" customHeight="1" s="779" thickBot="1">
      <c r="B33" s="1206" t="inlineStr">
        <is>
          <t>Otras reservas</t>
        </is>
      </c>
      <c r="C33" s="1012">
        <f>ROUND(+#REF!,0)</f>
        <v/>
      </c>
      <c r="D33" s="1012" t="n"/>
      <c r="E33" s="1013">
        <f>ROUND(+C33-((R25+R26)/1000)+P33/1000-#REF!/1000,0)-51926297</f>
        <v/>
      </c>
      <c r="F33" s="1006" t="n"/>
      <c r="G33" s="1013">
        <f>+C33-E33</f>
        <v/>
      </c>
      <c r="K33" s="1040">
        <f>(+Q28-P28)/1000</f>
        <v/>
      </c>
      <c r="L33" s="813" t="inlineStr">
        <is>
          <t>Efecto de revaloriacion en Activos fijos</t>
        </is>
      </c>
      <c r="P33" s="1036">
        <f>SUM(P30:P32)</f>
        <v/>
      </c>
    </row>
    <row r="34" ht="15" customHeight="1" s="779" thickBot="1" thickTop="1">
      <c r="B34" s="1206" t="inlineStr">
        <is>
          <t>Pérdidas acumuladas</t>
        </is>
      </c>
      <c r="C34" s="1028">
        <f>ROUND(+#REF!,0)</f>
        <v/>
      </c>
      <c r="D34" s="1012" t="n"/>
      <c r="E34" s="1028">
        <f>ROUND(+C34-((V25)/1000),0)+('Calculo RLI'!M58/1000)*0</f>
        <v/>
      </c>
      <c r="F34" s="1006" t="n"/>
      <c r="G34" s="1028">
        <f>+C34-E34</f>
        <v/>
      </c>
      <c r="H34" s="3" t="inlineStr">
        <is>
          <t>Efecto de la retasacion menos FV de activos fijos</t>
        </is>
      </c>
      <c r="K34" s="1041" t="n">
        <v>51926297</v>
      </c>
      <c r="L34" s="813" t="inlineStr">
        <is>
          <t>Efecto por impuestos en revalorizacion</t>
        </is>
      </c>
    </row>
    <row r="35" ht="15" customHeight="1" s="779" thickBot="1">
      <c r="B35" s="1207" t="inlineStr">
        <is>
          <t xml:space="preserve">   Patrimonio total</t>
        </is>
      </c>
      <c r="C35" s="1042">
        <f>SUM(C32:C34)</f>
        <v/>
      </c>
      <c r="D35" s="1012" t="n"/>
      <c r="E35" s="1042">
        <f>SUM(E32:E34)</f>
        <v/>
      </c>
      <c r="F35" s="1006" t="n"/>
      <c r="G35" s="1042">
        <f>SUM(G32:G34)</f>
        <v/>
      </c>
      <c r="H35" s="3" t="inlineStr">
        <is>
          <t>Efecto de la dep a FV por los 6 meses desde 01 Junio 2024</t>
        </is>
      </c>
      <c r="K35" s="1043">
        <f>+K33+K34</f>
        <v/>
      </c>
      <c r="L35" s="813" t="inlineStr">
        <is>
          <t>Efecto neto en otras reservas</t>
        </is>
      </c>
      <c r="P35" s="1017" t="n">
        <v>199781645200</v>
      </c>
    </row>
    <row r="36" ht="15" customHeight="1" s="779" thickBot="1">
      <c r="B36" s="1207" t="inlineStr">
        <is>
          <t xml:space="preserve">   Total patrimonio y pasivos</t>
        </is>
      </c>
      <c r="C36" s="1044">
        <f>+C35+C30+C24</f>
        <v/>
      </c>
      <c r="D36" s="1012" t="n"/>
      <c r="E36" s="1044">
        <f>+E35+E30+E24</f>
        <v/>
      </c>
      <c r="F36" s="1006" t="n"/>
      <c r="G36" s="1044">
        <f>+G35+G30+G24</f>
        <v/>
      </c>
      <c r="K36" s="813" t="n"/>
    </row>
    <row r="37" ht="15" customHeight="1" s="779" thickTop="1">
      <c r="B37" s="813" t="n"/>
      <c r="C37" s="1045" t="n"/>
      <c r="D37" s="1012" t="n"/>
      <c r="E37" s="1045" t="n"/>
      <c r="F37" s="1006" t="n"/>
      <c r="K37" s="404" t="inlineStr">
        <is>
          <t>Efecto en resultados acumulados</t>
        </is>
      </c>
      <c r="P37" s="1029">
        <f>+P31/0.73</f>
        <v/>
      </c>
    </row>
    <row r="38" ht="15" customHeight="1" s="779">
      <c r="F38" s="1006" t="n"/>
      <c r="K38" s="1040" t="n">
        <v>3822305</v>
      </c>
      <c r="L38" s="813" t="inlineStr">
        <is>
          <t>Depreciacion por revalorizacion</t>
        </is>
      </c>
    </row>
    <row r="39" ht="15" customHeight="1" s="779">
      <c r="B39" s="813" t="n"/>
      <c r="C39" s="1045" t="n"/>
      <c r="D39" s="1012" t="n"/>
      <c r="E39" s="1045" t="n"/>
      <c r="F39" s="1006" t="n"/>
      <c r="K39" s="1041">
        <f>-G61</f>
        <v/>
      </c>
      <c r="L39" s="813" t="inlineStr">
        <is>
          <t>Efecto de impuestos diferidos revalorización</t>
        </is>
      </c>
      <c r="P39" s="1046">
        <f>+P37*0.27</f>
        <v/>
      </c>
    </row>
    <row r="40" ht="15" customHeight="1" s="779" thickBot="1">
      <c r="B40" s="1206" t="inlineStr">
        <is>
          <t>Validacion</t>
        </is>
      </c>
      <c r="C40" s="1045">
        <f>+C18-C36</f>
        <v/>
      </c>
      <c r="D40" s="1012" t="n"/>
      <c r="E40" s="1045">
        <f>+E18-E36</f>
        <v/>
      </c>
      <c r="F40" s="1006" t="n"/>
      <c r="G40" s="1045">
        <f>+G18-G36</f>
        <v/>
      </c>
      <c r="K40" s="1043">
        <f>+K38+K39</f>
        <v/>
      </c>
      <c r="L40" s="813" t="inlineStr">
        <is>
          <t>Efecto neto en resultados acumulados</t>
        </is>
      </c>
      <c r="P40" s="1047">
        <f>+P37-P39</f>
        <v/>
      </c>
    </row>
    <row r="41" ht="15" customHeight="1" s="779" thickTop="1">
      <c r="K41" s="813" t="n"/>
    </row>
    <row r="42" ht="15" customHeight="1" s="779">
      <c r="B42" s="813" t="n"/>
      <c r="C42" s="1045" t="n"/>
      <c r="D42" s="1012" t="n"/>
      <c r="E42" s="1045" t="n"/>
      <c r="F42" s="1006" t="n"/>
      <c r="K42" s="813" t="n"/>
    </row>
    <row r="43" ht="15" customHeight="1" s="779">
      <c r="B43" s="254" t="inlineStr">
        <is>
          <t>Estados consolidados de resultados</t>
        </is>
      </c>
      <c r="C43" s="1045" t="n"/>
      <c r="D43" s="1012" t="n"/>
      <c r="E43" s="1045" t="n"/>
      <c r="F43" s="1006" t="n"/>
      <c r="K43" s="1048" t="n"/>
    </row>
    <row r="44" ht="15" customHeight="1" s="779">
      <c r="B44" s="813" t="n"/>
      <c r="C44" s="1045" t="n"/>
      <c r="D44" s="1012" t="n"/>
      <c r="E44" s="1045" t="n"/>
      <c r="F44" s="1006" t="n"/>
      <c r="K44" s="853" t="n"/>
      <c r="P44" s="1049" t="n"/>
    </row>
    <row r="45" ht="20.4" customHeight="1" s="779">
      <c r="C45" s="1203" t="inlineStr">
        <is>
          <t>Actual</t>
        </is>
      </c>
      <c r="D45" s="1005" t="n"/>
      <c r="E45" s="1203" t="inlineStr">
        <is>
          <t>Anterior al cambio</t>
        </is>
      </c>
      <c r="F45" s="1006" t="n"/>
      <c r="G45" s="1005" t="inlineStr">
        <is>
          <t>Variacion</t>
        </is>
      </c>
      <c r="K45" s="1048" t="n"/>
    </row>
    <row r="46">
      <c r="C46" s="1208" t="inlineStr">
        <is>
          <t>31/12/2023</t>
        </is>
      </c>
      <c r="D46" s="1050" t="n"/>
      <c r="E46" s="1208" t="inlineStr">
        <is>
          <t>31/12/2023</t>
        </is>
      </c>
      <c r="F46" s="1006" t="n"/>
      <c r="G46" s="247" t="inlineStr">
        <is>
          <t>31/12/2023</t>
        </is>
      </c>
    </row>
    <row r="47" ht="24" customHeight="1" s="779">
      <c r="B47" s="246" t="n"/>
      <c r="C47" s="248" t="inlineStr">
        <is>
          <t>M$</t>
        </is>
      </c>
      <c r="D47" s="1050" t="n"/>
      <c r="E47" s="248" t="inlineStr">
        <is>
          <t>M$</t>
        </is>
      </c>
      <c r="F47" s="1006" t="n"/>
      <c r="G47" s="248" t="inlineStr">
        <is>
          <t>M$</t>
        </is>
      </c>
    </row>
    <row r="49">
      <c r="B49" s="1206" t="inlineStr">
        <is>
          <t>Ingresos de actividades ordinarias</t>
        </is>
      </c>
      <c r="C49" s="1051">
        <f>+#REF!</f>
        <v/>
      </c>
      <c r="D49" s="1012" t="n"/>
      <c r="E49" s="1051">
        <f>+C49</f>
        <v/>
      </c>
      <c r="F49" s="1006" t="n"/>
      <c r="G49" s="1051">
        <f>+C49-E49</f>
        <v/>
      </c>
    </row>
    <row r="50" ht="15" customHeight="1" s="779" thickBot="1">
      <c r="B50" s="1206" t="inlineStr">
        <is>
          <t>Costo de ventas</t>
        </is>
      </c>
      <c r="C50" s="1052">
        <f>+#REF!</f>
        <v/>
      </c>
      <c r="D50" s="1053" t="n"/>
      <c r="E50" s="1052">
        <f>ROUND(+C50-V25/1000,0)</f>
        <v/>
      </c>
      <c r="F50" s="1054" t="n"/>
      <c r="G50" s="1052">
        <f>+C50-E50</f>
        <v/>
      </c>
      <c r="H50" s="3" t="inlineStr">
        <is>
          <t>Efecto de la dep a FV por los 6 meses desde 01 Junio 2024</t>
        </is>
      </c>
    </row>
    <row r="51">
      <c r="B51" s="1206" t="inlineStr">
        <is>
          <t xml:space="preserve">   Ganancia bruta</t>
        </is>
      </c>
      <c r="C51" s="1051">
        <f>SUM(C49:C50)</f>
        <v/>
      </c>
      <c r="D51" s="1012" t="n"/>
      <c r="E51" s="1051">
        <f>SUM(E49:E50)</f>
        <v/>
      </c>
      <c r="F51" s="1006" t="n"/>
      <c r="G51" s="1051">
        <f>SUM(G49:G50)</f>
        <v/>
      </c>
    </row>
    <row r="52">
      <c r="B52" s="246" t="n"/>
      <c r="C52" s="1051" t="n"/>
      <c r="D52" s="1012" t="n"/>
      <c r="E52" s="1051">
        <f>+C52</f>
        <v/>
      </c>
      <c r="F52" s="1006" t="n"/>
      <c r="G52" s="1051" t="n"/>
    </row>
    <row r="53">
      <c r="B53" s="1206" t="inlineStr">
        <is>
          <t>Gastos de administración</t>
        </is>
      </c>
      <c r="C53" s="1051">
        <f>+#REF!</f>
        <v/>
      </c>
      <c r="D53" s="1012" t="n"/>
      <c r="E53" s="1051">
        <f>+C53</f>
        <v/>
      </c>
      <c r="F53" s="1006" t="n"/>
      <c r="G53" s="1051">
        <f>+C53-E53</f>
        <v/>
      </c>
    </row>
    <row r="54">
      <c r="B54" s="1206" t="inlineStr">
        <is>
          <t>Otros ingresos por función</t>
        </is>
      </c>
      <c r="C54" s="1051">
        <f>+#REF!</f>
        <v/>
      </c>
      <c r="D54" s="1012" t="n"/>
      <c r="E54" s="1051">
        <f>+C54</f>
        <v/>
      </c>
      <c r="F54" s="1006" t="n"/>
      <c r="G54" s="1051">
        <f>+C54-E54</f>
        <v/>
      </c>
    </row>
    <row r="55">
      <c r="B55" s="1206" t="inlineStr">
        <is>
          <t>Otros egresos por función</t>
        </is>
      </c>
      <c r="C55" s="1051">
        <f>+#REF!</f>
        <v/>
      </c>
      <c r="D55" s="1012" t="n"/>
      <c r="E55" s="1051">
        <f>+C55</f>
        <v/>
      </c>
      <c r="F55" s="1006" t="n"/>
      <c r="G55" s="1051">
        <f>+C55-E55</f>
        <v/>
      </c>
    </row>
    <row r="56">
      <c r="B56" s="1206" t="inlineStr">
        <is>
          <t>Ingresos financieros</t>
        </is>
      </c>
      <c r="C56" s="1051">
        <f>+#REF!</f>
        <v/>
      </c>
      <c r="D56" s="1012" t="n"/>
      <c r="E56" s="1051">
        <f>+C56</f>
        <v/>
      </c>
      <c r="F56" s="1006" t="n"/>
      <c r="G56" s="1051">
        <f>+C56-E56</f>
        <v/>
      </c>
    </row>
    <row r="57">
      <c r="B57" s="1206" t="inlineStr">
        <is>
          <t>Costos financieros</t>
        </is>
      </c>
      <c r="C57" s="1051">
        <f>+#REF!</f>
        <v/>
      </c>
      <c r="D57" s="1012" t="n"/>
      <c r="E57" s="1051">
        <f>+C57</f>
        <v/>
      </c>
      <c r="F57" s="1006" t="n"/>
      <c r="G57" s="1051">
        <f>+C57-E57</f>
        <v/>
      </c>
    </row>
    <row r="58">
      <c r="B58" s="1206" t="inlineStr">
        <is>
          <t>Diferencias de cambio</t>
        </is>
      </c>
      <c r="C58" s="1051">
        <f>+#REF!</f>
        <v/>
      </c>
      <c r="D58" s="1012" t="n"/>
      <c r="E58" s="1051">
        <f>+C58</f>
        <v/>
      </c>
      <c r="F58" s="1006" t="n"/>
      <c r="G58" s="1051">
        <f>+C58-E58</f>
        <v/>
      </c>
    </row>
    <row r="59" ht="15" customHeight="1" s="779" thickBot="1">
      <c r="B59" s="1206" t="inlineStr">
        <is>
          <t>Resultados por unidades de reajuste</t>
        </is>
      </c>
      <c r="C59" s="1055">
        <f>+#REF!</f>
        <v/>
      </c>
      <c r="D59" s="1012" t="n"/>
      <c r="E59" s="1055">
        <f>+C59</f>
        <v/>
      </c>
      <c r="F59" s="1006" t="n"/>
      <c r="G59" s="1055">
        <f>+C59-E59</f>
        <v/>
      </c>
    </row>
    <row r="60">
      <c r="B60" s="1206" t="inlineStr">
        <is>
          <t xml:space="preserve">  (Gasto) antes de impuestos</t>
        </is>
      </c>
      <c r="C60" s="1051">
        <f>SUM(C51:C59)</f>
        <v/>
      </c>
      <c r="D60" s="1012" t="n"/>
      <c r="E60" s="1051">
        <f>SUM(E51:E59)</f>
        <v/>
      </c>
      <c r="F60" s="1006" t="n"/>
      <c r="G60" s="1051">
        <f>SUM(G51:G59)</f>
        <v/>
      </c>
    </row>
    <row r="61" ht="15" customHeight="1" s="779" thickBot="1">
      <c r="B61" s="1206" t="inlineStr">
        <is>
          <t>Ingreso por impuestos a las ganancias</t>
        </is>
      </c>
      <c r="C61" s="1055">
        <f>+#REF!</f>
        <v/>
      </c>
      <c r="D61" s="1012" t="n"/>
      <c r="E61" s="1055">
        <f>+C61</f>
        <v/>
      </c>
      <c r="F61" s="1006" t="n"/>
      <c r="G61" s="1055">
        <f>+C61-E61</f>
        <v/>
      </c>
    </row>
    <row r="62" ht="15" customHeight="1" s="779" thickBot="1">
      <c r="B62" s="1206" t="inlineStr">
        <is>
          <t>(Perdida) del ejercicio</t>
        </is>
      </c>
      <c r="C62" s="1056">
        <f>+C60+C61</f>
        <v/>
      </c>
      <c r="D62" s="1012" t="n"/>
      <c r="E62" s="1056">
        <f>+E60+E61</f>
        <v/>
      </c>
      <c r="F62" s="1006" t="n"/>
      <c r="G62" s="1056">
        <f>+G60+G61</f>
        <v/>
      </c>
    </row>
  </sheetData>
  <mergeCells count="37">
    <mergeCell ref="S11:S12"/>
    <mergeCell ref="S18:S19"/>
    <mergeCell ref="O18:O19"/>
    <mergeCell ref="U11:U12"/>
    <mergeCell ref="N18:N19"/>
    <mergeCell ref="N3:N4"/>
    <mergeCell ref="X3:X4"/>
    <mergeCell ref="Q18:Q19"/>
    <mergeCell ref="Y11:Y12"/>
    <mergeCell ref="P11:P12"/>
    <mergeCell ref="U3:U4"/>
    <mergeCell ref="V11:V12"/>
    <mergeCell ref="AB11:AB12"/>
    <mergeCell ref="X18:X19"/>
    <mergeCell ref="U18:U19"/>
    <mergeCell ref="AA3:AA4"/>
    <mergeCell ref="P3:P4"/>
    <mergeCell ref="R18:R19"/>
    <mergeCell ref="O11:O12"/>
    <mergeCell ref="R3:R4"/>
    <mergeCell ref="L1:S1"/>
    <mergeCell ref="Q11:Q12"/>
    <mergeCell ref="AB3:AB4"/>
    <mergeCell ref="P18:P19"/>
    <mergeCell ref="Y18:Y19"/>
    <mergeCell ref="N11:N12"/>
    <mergeCell ref="AA18:AA19"/>
    <mergeCell ref="AA11:AA12"/>
    <mergeCell ref="O3:O4"/>
    <mergeCell ref="V3:V4"/>
    <mergeCell ref="Q3:Q4"/>
    <mergeCell ref="S3:S4"/>
    <mergeCell ref="Y3:Y4"/>
    <mergeCell ref="R11:R12"/>
    <mergeCell ref="X11:X12"/>
    <mergeCell ref="AB18:AB19"/>
    <mergeCell ref="V18:V1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D7:H11"/>
  <sheetViews>
    <sheetView showGridLines="0" workbookViewId="0">
      <selection activeCell="E24" sqref="E24"/>
    </sheetView>
  </sheetViews>
  <sheetFormatPr baseColWidth="10" defaultRowHeight="11.4"/>
  <cols>
    <col width="11.5546875" customWidth="1" style="213" min="1" max="3"/>
    <col width="16.5546875" customWidth="1" style="213" min="4" max="4"/>
    <col width="34.21875" bestFit="1" customWidth="1" style="213" min="5" max="5"/>
    <col width="14" customWidth="1" style="213" min="6" max="6"/>
    <col width="13.77734375" customWidth="1" style="213" min="7" max="7"/>
    <col width="18.5546875" customWidth="1" style="213" min="8" max="8"/>
    <col width="11.5546875" customWidth="1" style="213" min="9" max="10"/>
    <col width="11.5546875" customWidth="1" style="213" min="11" max="16384"/>
  </cols>
  <sheetData>
    <row r="7" ht="34.2" customHeight="1" s="779">
      <c r="D7" s="1209" t="inlineStr">
        <is>
          <t>Clasificacion</t>
        </is>
      </c>
      <c r="E7" s="1209" t="inlineStr">
        <is>
          <t>Rubro</t>
        </is>
      </c>
      <c r="F7" s="411" t="inlineStr">
        <is>
          <t>Saldo reportado
31.12.2021</t>
        </is>
      </c>
      <c r="G7" s="411" t="inlineStr">
        <is>
          <t>Saldo reexpresado
01.01.2022</t>
        </is>
      </c>
      <c r="H7" s="411" t="inlineStr">
        <is>
          <t>Efectos por correccion de error</t>
        </is>
      </c>
    </row>
    <row r="8">
      <c r="F8" s="412" t="inlineStr">
        <is>
          <t>M$</t>
        </is>
      </c>
      <c r="G8" s="412" t="inlineStr">
        <is>
          <t>M$</t>
        </is>
      </c>
      <c r="H8" s="412" t="inlineStr">
        <is>
          <t>M$</t>
        </is>
      </c>
    </row>
    <row r="9">
      <c r="D9" s="1147" t="inlineStr">
        <is>
          <t>Activo</t>
        </is>
      </c>
      <c r="E9" s="172" t="inlineStr">
        <is>
          <t>Propiedades. planta y equipo</t>
        </is>
      </c>
      <c r="F9" s="1057" t="n">
        <v>287761544</v>
      </c>
      <c r="G9" s="1058">
        <f>+F9+H9</f>
        <v/>
      </c>
      <c r="H9" s="1057">
        <f>(+'Nota Cambios contables'!P31+'Nota Cambios contables'!P32)/1000</f>
        <v/>
      </c>
    </row>
    <row r="10">
      <c r="D10" s="1147" t="inlineStr">
        <is>
          <t>Activo</t>
        </is>
      </c>
      <c r="E10" s="172" t="inlineStr">
        <is>
          <t xml:space="preserve">Plusvalía </t>
        </is>
      </c>
      <c r="F10" s="1057" t="n">
        <v>227303275</v>
      </c>
      <c r="G10" s="1058">
        <f>+F10+H10</f>
        <v/>
      </c>
      <c r="H10" s="1057">
        <f>-+'Nota Cambios contables'!P31/1000</f>
        <v/>
      </c>
    </row>
    <row r="11">
      <c r="D11" s="1209" t="inlineStr">
        <is>
          <t>Pasivo</t>
        </is>
      </c>
      <c r="E11" s="1210" t="inlineStr">
        <is>
          <t>Pasivos por impuestos diferidos no corrientes</t>
        </is>
      </c>
      <c r="F11" s="1059" t="n">
        <v>47435922</v>
      </c>
      <c r="G11" s="1059">
        <f>+F11+H11</f>
        <v/>
      </c>
      <c r="H11" s="1059">
        <f>+'Nota Cambios contables'!P32/1000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92D050"/>
    <outlinePr summaryBelow="1" summaryRight="1"/>
    <pageSetUpPr/>
  </sheetPr>
  <dimension ref="B5:D38"/>
  <sheetViews>
    <sheetView showGridLines="0" topLeftCell="A18" workbookViewId="0">
      <selection activeCell="C32" sqref="C32:D32"/>
    </sheetView>
  </sheetViews>
  <sheetFormatPr baseColWidth="10" defaultRowHeight="14.4"/>
  <cols>
    <col width="28.33203125" customWidth="1" style="779" min="1" max="1"/>
    <col width="40.6640625" customWidth="1" style="779" min="2" max="2"/>
    <col outlineLevel="1" width="15.77734375" customWidth="1" style="779" min="3" max="3"/>
    <col outlineLevel="1" width="12.6640625" customWidth="1" style="210" min="4" max="4"/>
  </cols>
  <sheetData>
    <row r="5">
      <c r="B5" s="806" t="n"/>
      <c r="C5" s="160" t="inlineStr">
        <is>
          <t>30.06.2026</t>
        </is>
      </c>
      <c r="D5" s="160" t="inlineStr">
        <is>
          <t>31.12.2025</t>
        </is>
      </c>
    </row>
    <row r="6">
      <c r="B6" s="95" t="n"/>
      <c r="C6" s="95" t="inlineStr">
        <is>
          <t>M$</t>
        </is>
      </c>
      <c r="D6" s="95" t="inlineStr">
        <is>
          <t>M$</t>
        </is>
      </c>
    </row>
    <row r="7">
      <c r="B7" s="806" t="n"/>
      <c r="C7" s="151" t="n"/>
      <c r="D7" s="209" t="n"/>
    </row>
    <row r="8">
      <c r="B8" s="578" t="inlineStr">
        <is>
          <t>Sueldos y salarios (1)</t>
        </is>
      </c>
      <c r="C8" s="949" t="n"/>
      <c r="D8" s="949" t="n"/>
    </row>
    <row r="9">
      <c r="B9" s="578" t="inlineStr">
        <is>
          <t>Gasto por indemnizaciónes del personal</t>
        </is>
      </c>
      <c r="C9" s="949" t="n"/>
      <c r="D9" s="949" t="n"/>
    </row>
    <row r="10">
      <c r="B10" s="578" t="inlineStr">
        <is>
          <t>Gastos por facturación</t>
        </is>
      </c>
      <c r="C10" s="949" t="n"/>
      <c r="D10" s="949" t="n"/>
    </row>
    <row r="11">
      <c r="B11" s="578" t="inlineStr">
        <is>
          <t>Arriendos inmuebles</t>
        </is>
      </c>
      <c r="C11" s="949" t="n"/>
      <c r="D11" s="949" t="n"/>
    </row>
    <row r="12">
      <c r="B12" s="578" t="inlineStr">
        <is>
          <t>Honorarios profesionales</t>
        </is>
      </c>
      <c r="C12" s="949" t="n"/>
      <c r="D12" s="949" t="n"/>
    </row>
    <row r="13">
      <c r="B13" s="578" t="inlineStr">
        <is>
          <t>Gastos de recaudación</t>
        </is>
      </c>
      <c r="C13" s="949" t="n"/>
      <c r="D13" s="949" t="n"/>
    </row>
    <row r="14">
      <c r="B14" s="578" t="inlineStr">
        <is>
          <t>Pérdida por deudores incobrables</t>
        </is>
      </c>
      <c r="C14" s="949" t="n"/>
      <c r="D14" s="949" t="n"/>
    </row>
    <row r="15">
      <c r="B15" s="578" t="inlineStr">
        <is>
          <t>Gastos de mantención</t>
        </is>
      </c>
      <c r="C15" s="949" t="n"/>
      <c r="D15" s="949" t="n"/>
    </row>
    <row r="16">
      <c r="B16" s="578" t="inlineStr">
        <is>
          <t>Viáticos y estadía</t>
        </is>
      </c>
      <c r="C16" s="949" t="n"/>
      <c r="D16" s="949" t="n"/>
    </row>
    <row r="17">
      <c r="B17" s="578" t="inlineStr">
        <is>
          <t>Servicios de terceros</t>
        </is>
      </c>
      <c r="C17" s="949" t="n"/>
      <c r="D17" s="949" t="n"/>
    </row>
    <row r="18">
      <c r="B18" s="578" t="inlineStr">
        <is>
          <t>Servicios básicos y gastos comunes</t>
        </is>
      </c>
      <c r="C18" s="949" t="n"/>
      <c r="D18" s="949" t="n"/>
    </row>
    <row r="19">
      <c r="B19" s="578" t="inlineStr">
        <is>
          <t>Servicios de vigilancia</t>
        </is>
      </c>
      <c r="C19" s="949" t="n"/>
      <c r="D19" s="949" t="n"/>
    </row>
    <row r="20">
      <c r="B20" s="578" t="inlineStr">
        <is>
          <t>Gastos de marketing y publicidad</t>
        </is>
      </c>
      <c r="C20" s="949" t="n"/>
      <c r="D20" s="949" t="n"/>
    </row>
    <row r="21">
      <c r="B21" s="578" t="inlineStr">
        <is>
          <t>Gastos de servicios intercompañia</t>
        </is>
      </c>
      <c r="C21" s="949" t="n"/>
      <c r="D21" s="949" t="n"/>
    </row>
    <row r="22">
      <c r="B22" s="578" t="inlineStr">
        <is>
          <t>Gastos por patentes comerciales</t>
        </is>
      </c>
      <c r="C22" s="949" t="n"/>
      <c r="D22" s="949" t="n"/>
    </row>
    <row r="23">
      <c r="B23" s="578" t="inlineStr">
        <is>
          <t>Gastos de seguros</t>
        </is>
      </c>
      <c r="C23" s="949" t="n"/>
      <c r="D23" s="949" t="n"/>
    </row>
    <row r="24">
      <c r="B24" s="578" t="inlineStr">
        <is>
          <t>Gastos legales, correo y oficina</t>
        </is>
      </c>
      <c r="C24" s="949" t="n"/>
      <c r="D24" s="949" t="n"/>
    </row>
    <row r="25" ht="15" customHeight="1" s="779" thickBot="1">
      <c r="B25" s="578" t="inlineStr">
        <is>
          <t>Otros gastos generales</t>
        </is>
      </c>
      <c r="C25" s="949" t="n"/>
      <c r="D25" s="949" t="n"/>
    </row>
    <row r="26" ht="15" customHeight="1" s="779" thickBot="1">
      <c r="B26" s="578" t="inlineStr">
        <is>
          <t>Total gastos de administración</t>
        </is>
      </c>
      <c r="C26" s="1060">
        <f>SUM(C8:C25)</f>
        <v/>
      </c>
      <c r="D26" s="1060">
        <f>SUM(D8:D25)</f>
        <v/>
      </c>
    </row>
    <row r="27">
      <c r="C27" s="853" t="n"/>
      <c r="D27" s="853" t="n"/>
    </row>
    <row r="28">
      <c r="C28" s="853" t="n"/>
      <c r="D28" s="853" t="n"/>
    </row>
    <row r="32">
      <c r="B32" s="1142" t="inlineStr">
        <is>
          <t>Depreciacion y amortizaciones</t>
        </is>
      </c>
      <c r="C32" s="160" t="inlineStr">
        <is>
          <t>30.06.2026</t>
        </is>
      </c>
      <c r="D32" s="160" t="inlineStr">
        <is>
          <t>31.12.2025</t>
        </is>
      </c>
    </row>
    <row r="33">
      <c r="C33" s="95" t="inlineStr">
        <is>
          <t>M$</t>
        </is>
      </c>
      <c r="D33" s="95" t="inlineStr">
        <is>
          <t>M$</t>
        </is>
      </c>
    </row>
    <row r="34">
      <c r="C34" s="95" t="n"/>
      <c r="D34" s="95" t="n"/>
    </row>
    <row r="35">
      <c r="B35" s="1142" t="inlineStr">
        <is>
          <t>Depreciacion en gtos de adm</t>
        </is>
      </c>
      <c r="C35" s="866" t="n"/>
      <c r="D35" s="866" t="n"/>
    </row>
    <row r="36">
      <c r="B36" s="1142" t="inlineStr">
        <is>
          <t>Amortizacion intangibles</t>
        </is>
      </c>
      <c r="C36" s="866" t="n"/>
      <c r="D36" s="866" t="n"/>
    </row>
    <row r="37">
      <c r="B37" s="1142" t="inlineStr">
        <is>
          <t>Amortizacion cartera clientes</t>
        </is>
      </c>
      <c r="C37" s="866" t="n"/>
      <c r="D37" s="866" t="n"/>
    </row>
    <row r="38" ht="15" customHeight="1" s="779" thickBot="1">
      <c r="C38" s="868">
        <f>SUM(C35:C37)</f>
        <v/>
      </c>
      <c r="D38" s="868">
        <f>SUM(D35:D37)</f>
        <v/>
      </c>
    </row>
    <row r="39" ht="15" customHeight="1" s="779" thickTop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92D050"/>
    <outlinePr summaryBelow="1" summaryRight="1"/>
    <pageSetUpPr/>
  </sheetPr>
  <dimension ref="C1:G22"/>
  <sheetViews>
    <sheetView showGridLines="0" topLeftCell="B24" zoomScale="90" zoomScaleNormal="90" workbookViewId="0">
      <selection activeCell="G7" sqref="G7"/>
    </sheetView>
  </sheetViews>
  <sheetFormatPr baseColWidth="10" defaultRowHeight="14.4"/>
  <cols>
    <col width="35.44140625" bestFit="1" customWidth="1" style="779" min="3" max="3"/>
    <col width="22.109375" customWidth="1" style="779" min="4" max="4"/>
    <col outlineLevel="1" width="11.5546875" customWidth="1" style="779" min="5" max="5"/>
    <col outlineLevel="1" width="13" customWidth="1" style="779" min="6" max="6"/>
    <col width="11.6640625" bestFit="1" customWidth="1" style="779" min="8" max="8"/>
  </cols>
  <sheetData>
    <row r="1">
      <c r="C1" s="1144" t="inlineStr">
        <is>
          <t>Diferencia de cambios</t>
        </is>
      </c>
      <c r="E1" s="108" t="n"/>
      <c r="F1" s="108" t="n"/>
    </row>
    <row r="2">
      <c r="E2" s="160" t="inlineStr">
        <is>
          <t>30.06.2026</t>
        </is>
      </c>
      <c r="F2" s="160" t="inlineStr">
        <is>
          <t>31.12.2025</t>
        </is>
      </c>
    </row>
    <row r="3">
      <c r="C3" s="117" t="n"/>
      <c r="D3" s="117" t="n"/>
      <c r="E3" s="95" t="inlineStr">
        <is>
          <t>M$</t>
        </is>
      </c>
      <c r="F3" s="95" t="inlineStr">
        <is>
          <t>M$</t>
        </is>
      </c>
    </row>
    <row r="4">
      <c r="C4" s="117" t="n"/>
      <c r="D4" s="117" t="n"/>
      <c r="E4" s="95" t="n"/>
      <c r="F4" s="95" t="n"/>
    </row>
    <row r="5">
      <c r="C5" s="202" t="inlineStr">
        <is>
          <t>Efectivo y efectivo equivalente</t>
        </is>
      </c>
      <c r="D5" s="202" t="inlineStr">
        <is>
          <t>Dólares estadounidenses</t>
        </is>
      </c>
      <c r="E5" s="949" t="n"/>
      <c r="F5" s="949" t="n"/>
      <c r="G5" s="853" t="n"/>
    </row>
    <row r="6">
      <c r="C6" s="202" t="inlineStr">
        <is>
          <t xml:space="preserve">Cuentas por pagar comerciales </t>
        </is>
      </c>
      <c r="D6" s="202" t="inlineStr">
        <is>
          <t>Dólares estadounidenses</t>
        </is>
      </c>
      <c r="E6" s="949" t="n"/>
      <c r="F6" s="949" t="n"/>
      <c r="G6" s="853" t="n"/>
    </row>
    <row r="7">
      <c r="C7" s="202" t="inlineStr">
        <is>
          <t>Pasivos financieros</t>
        </is>
      </c>
      <c r="D7" s="202" t="inlineStr">
        <is>
          <t>Dólares estadounidenses</t>
        </is>
      </c>
      <c r="E7" s="949" t="n"/>
      <c r="F7" s="949" t="n"/>
      <c r="G7" s="853" t="n"/>
    </row>
    <row r="8">
      <c r="C8" s="202" t="inlineStr">
        <is>
          <t>Derivados de cobertura</t>
        </is>
      </c>
      <c r="D8" s="202" t="inlineStr">
        <is>
          <t>Dólares estadounidenses</t>
        </is>
      </c>
      <c r="E8" s="949" t="n"/>
      <c r="F8" s="949" t="n"/>
      <c r="G8" s="853" t="n"/>
    </row>
    <row r="9">
      <c r="C9" s="578" t="inlineStr">
        <is>
          <t>Cuentas por cobrar con entidades relacionadas</t>
        </is>
      </c>
      <c r="D9" s="202" t="inlineStr">
        <is>
          <t>Dólares estadounidenses</t>
        </is>
      </c>
      <c r="E9" s="949" t="n"/>
      <c r="F9" s="949" t="n"/>
      <c r="G9" s="853" t="n"/>
    </row>
    <row r="10">
      <c r="C10" s="578" t="inlineStr">
        <is>
          <t>Otros activos financieros</t>
        </is>
      </c>
      <c r="D10" s="202" t="inlineStr">
        <is>
          <t>Dólares estadounidenses</t>
        </is>
      </c>
      <c r="E10" s="949" t="n"/>
      <c r="F10" s="949" t="n"/>
      <c r="G10" s="853" t="n"/>
    </row>
    <row r="11" ht="15" customHeight="1" s="779" thickBot="1">
      <c r="C11" s="202" t="inlineStr">
        <is>
          <t>Impuestos</t>
        </is>
      </c>
      <c r="D11" s="202" t="inlineStr">
        <is>
          <t>Dólares estadounidenses</t>
        </is>
      </c>
      <c r="E11" s="859" t="n"/>
      <c r="F11" s="859" t="n"/>
    </row>
    <row r="12" ht="15" customHeight="1" s="779" thickBot="1">
      <c r="C12" s="202" t="inlineStr">
        <is>
          <t>Total diferencia de cambio</t>
        </is>
      </c>
      <c r="D12" s="202" t="n"/>
      <c r="E12" s="859">
        <f>SUM(E5:E11)</f>
        <v/>
      </c>
      <c r="F12" s="859">
        <f>SUM(F5:F11)</f>
        <v/>
      </c>
    </row>
    <row r="13">
      <c r="E13" s="853" t="n"/>
      <c r="F13" s="853" t="n"/>
    </row>
    <row r="16">
      <c r="C16" s="1144" t="inlineStr">
        <is>
          <t>Resultados por unidad de reajustes</t>
        </is>
      </c>
      <c r="E16" s="108" t="n"/>
      <c r="F16" s="108" t="n"/>
    </row>
    <row r="17">
      <c r="C17" s="814" t="n"/>
      <c r="D17" s="814" t="n"/>
      <c r="E17" s="160" t="inlineStr">
        <is>
          <t>30.06.2026</t>
        </is>
      </c>
      <c r="F17" s="160" t="inlineStr">
        <is>
          <t>31.12.2025</t>
        </is>
      </c>
    </row>
    <row r="18">
      <c r="D18" s="1151" t="inlineStr">
        <is>
          <t>Moneda</t>
        </is>
      </c>
      <c r="E18" s="95" t="inlineStr">
        <is>
          <t>M$</t>
        </is>
      </c>
      <c r="F18" s="95" t="inlineStr">
        <is>
          <t>M$</t>
        </is>
      </c>
    </row>
    <row r="19">
      <c r="D19" s="204" t="n"/>
      <c r="E19" s="95" t="n"/>
      <c r="F19" s="95" t="n"/>
    </row>
    <row r="20">
      <c r="C20" s="202" t="inlineStr">
        <is>
          <t>Pasivos financieros.</t>
        </is>
      </c>
      <c r="D20" s="1152" t="inlineStr">
        <is>
          <t>UF</t>
        </is>
      </c>
      <c r="E20" s="949" t="n"/>
      <c r="F20" s="949" t="n"/>
    </row>
    <row r="21" ht="15" customHeight="1" s="779" thickBot="1">
      <c r="C21" s="202" t="inlineStr">
        <is>
          <t>Otros</t>
        </is>
      </c>
      <c r="D21" s="1152" t="inlineStr">
        <is>
          <t>UF</t>
        </is>
      </c>
      <c r="E21" s="859" t="n"/>
      <c r="F21" s="859" t="n"/>
    </row>
    <row r="22" ht="15" customHeight="1" s="779" thickBot="1">
      <c r="C22" s="202" t="inlineStr">
        <is>
          <t>Total resultado por unidad de reajuste</t>
        </is>
      </c>
      <c r="D22" s="814" t="n"/>
      <c r="E22" s="859">
        <f>SUM(E20:E21)</f>
        <v/>
      </c>
      <c r="F22" s="859">
        <f>SUM(F20:F21)</f>
        <v/>
      </c>
    </row>
  </sheetData>
  <mergeCells count="1">
    <mergeCell ref="C17:C1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92D050"/>
    <outlinePr summaryBelow="1" summaryRight="1"/>
    <pageSetUpPr/>
  </sheetPr>
  <dimension ref="B2:D26"/>
  <sheetViews>
    <sheetView showGridLines="0" zoomScale="80" zoomScaleNormal="80" workbookViewId="0">
      <selection activeCell="H12" sqref="H12"/>
    </sheetView>
  </sheetViews>
  <sheetFormatPr baseColWidth="10" defaultRowHeight="14.4"/>
  <cols>
    <col width="42.109375" customWidth="1" style="779" min="2" max="2"/>
    <col outlineLevel="1" width="13.109375" customWidth="1" style="779" min="3" max="3"/>
    <col outlineLevel="1" width="12.77734375" customWidth="1" style="779" min="4" max="4"/>
    <col outlineLevel="1" width="3.109375" customWidth="1" style="779" min="5" max="5"/>
  </cols>
  <sheetData>
    <row r="2">
      <c r="B2" s="1144" t="inlineStr">
        <is>
          <t>Costos financieros</t>
        </is>
      </c>
      <c r="C2" s="108" t="n"/>
      <c r="D2" s="108" t="n"/>
    </row>
    <row r="4">
      <c r="B4" s="101" t="n"/>
      <c r="C4" s="160" t="inlineStr">
        <is>
          <t>30.06.2026</t>
        </is>
      </c>
      <c r="D4" s="160" t="inlineStr">
        <is>
          <t>31.12.2025</t>
        </is>
      </c>
    </row>
    <row r="5">
      <c r="B5" s="101" t="n"/>
      <c r="C5" s="211" t="inlineStr">
        <is>
          <t>M$</t>
        </is>
      </c>
      <c r="D5" s="211" t="inlineStr">
        <is>
          <t>M$</t>
        </is>
      </c>
    </row>
    <row r="6">
      <c r="B6" s="101" t="n"/>
      <c r="C6" s="814" t="n"/>
      <c r="D6" s="814" t="n"/>
    </row>
    <row r="7">
      <c r="B7" s="578" t="inlineStr">
        <is>
          <t>Intereses préstamos bancarios</t>
        </is>
      </c>
      <c r="C7" s="949" t="n"/>
      <c r="D7" s="851" t="n"/>
    </row>
    <row r="8">
      <c r="B8" s="578" t="inlineStr">
        <is>
          <t>Amortizacion costos de emision</t>
        </is>
      </c>
      <c r="C8" s="949" t="n"/>
      <c r="D8" s="851" t="n"/>
    </row>
    <row r="9">
      <c r="B9" s="578" t="inlineStr">
        <is>
          <t>Liquidacion anticipada de coberturas</t>
        </is>
      </c>
      <c r="C9" s="949" t="n"/>
      <c r="D9" s="851" t="n"/>
    </row>
    <row r="10">
      <c r="B10" s="578" t="inlineStr">
        <is>
          <t>Intereses préstamos empresas relacionadas</t>
        </is>
      </c>
      <c r="C10" s="949" t="n"/>
      <c r="D10" s="851" t="n"/>
    </row>
    <row r="11">
      <c r="B11" s="578" t="inlineStr">
        <is>
          <t>Intereses leasing</t>
        </is>
      </c>
      <c r="C11" s="949" t="n"/>
      <c r="D11" s="949" t="n"/>
    </row>
    <row r="12">
      <c r="B12" s="578" t="inlineStr">
        <is>
          <t>Gastos y comisiones bancarias</t>
        </is>
      </c>
      <c r="C12" s="949" t="n"/>
      <c r="D12" s="949" t="n"/>
    </row>
    <row r="13">
      <c r="B13" s="578" t="inlineStr">
        <is>
          <t>Costo financiero por instrumentos de cobertura</t>
        </is>
      </c>
      <c r="C13" s="949" t="n"/>
      <c r="D13" s="949" t="n"/>
    </row>
    <row r="14">
      <c r="B14" s="578" t="inlineStr">
        <is>
          <t xml:space="preserve">Otros costos financieros </t>
        </is>
      </c>
      <c r="C14" s="851" t="n"/>
      <c r="D14" s="851" t="n"/>
    </row>
    <row r="15" ht="15" customHeight="1" s="779" thickBot="1">
      <c r="B15" s="578" t="inlineStr">
        <is>
          <t>Gastos financieros derecho de uso (2)</t>
        </is>
      </c>
      <c r="C15" s="854" t="n"/>
      <c r="D15" s="854" t="n"/>
    </row>
    <row r="16" ht="15" customHeight="1" s="779" thickBot="1">
      <c r="B16" s="578" t="inlineStr">
        <is>
          <t>Total, costos financieros</t>
        </is>
      </c>
      <c r="C16" s="854">
        <f>SUM(C7:C15)</f>
        <v/>
      </c>
      <c r="D16" s="854">
        <f>SUM(D7:D15)</f>
        <v/>
      </c>
    </row>
    <row r="17" ht="20.1" customHeight="1" s="779">
      <c r="C17" s="853" t="n"/>
      <c r="D17" s="853" t="n"/>
    </row>
    <row r="18">
      <c r="D18" s="853" t="n"/>
    </row>
    <row r="20">
      <c r="B20" s="1144" t="inlineStr">
        <is>
          <t>Ingresos financieros</t>
        </is>
      </c>
      <c r="C20" s="108" t="n"/>
      <c r="D20" s="108" t="n"/>
    </row>
    <row r="21">
      <c r="B21" s="806" t="n"/>
      <c r="C21" s="160" t="inlineStr">
        <is>
          <t>30.06.2026</t>
        </is>
      </c>
      <c r="D21" s="160" t="inlineStr">
        <is>
          <t>31.12.2025</t>
        </is>
      </c>
    </row>
    <row r="22">
      <c r="C22" s="814" t="inlineStr">
        <is>
          <t>M$</t>
        </is>
      </c>
      <c r="D22" s="814" t="inlineStr">
        <is>
          <t>M$</t>
        </is>
      </c>
    </row>
    <row r="23">
      <c r="B23" s="578" t="inlineStr">
        <is>
          <t>Ganancia en instrumentos de cobertura*</t>
        </is>
      </c>
      <c r="C23" s="949" t="n">
        <v>0</v>
      </c>
      <c r="D23" s="949" t="n">
        <v>0</v>
      </c>
    </row>
    <row r="24" ht="23.4" customHeight="1" s="779" thickBot="1">
      <c r="B24" s="578" t="inlineStr">
        <is>
          <t>Ganancia sobre inversiones en instrumentos financieros</t>
        </is>
      </c>
      <c r="C24" s="949" t="n"/>
      <c r="D24" s="949" t="n"/>
    </row>
    <row r="25" ht="15" customHeight="1" s="779" thickBot="1">
      <c r="B25" s="578" t="inlineStr">
        <is>
          <t>Total</t>
        </is>
      </c>
      <c r="C25" s="1060">
        <f>SUM(C23:C24)</f>
        <v/>
      </c>
      <c r="D25" s="1060">
        <f>SUM(D23:D24)</f>
        <v/>
      </c>
    </row>
    <row r="26">
      <c r="B26" s="140" t="n"/>
    </row>
  </sheetData>
  <mergeCells count="1">
    <mergeCell ref="B21:B2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92D050"/>
    <outlinePr summaryBelow="1" summaryRight="1"/>
    <pageSetUpPr/>
  </sheetPr>
  <dimension ref="B2:AN11"/>
  <sheetViews>
    <sheetView showGridLines="0" workbookViewId="0">
      <selection activeCell="C2" sqref="C2:D2"/>
    </sheetView>
  </sheetViews>
  <sheetFormatPr baseColWidth="10" defaultRowHeight="14.4"/>
  <cols>
    <col width="36" customWidth="1" style="779" min="2" max="2"/>
    <col outlineLevel="1" width="13.5546875" customWidth="1" style="779" min="3" max="3"/>
    <col width="13.6640625" customWidth="1" style="779" min="4" max="5"/>
    <col width="11.5546875" customWidth="1" style="779" min="6" max="13"/>
    <col width="14.77734375" customWidth="1" style="779" min="14" max="14"/>
    <col hidden="1" width="13" customWidth="1" style="779" min="15" max="38"/>
    <col width="12" customWidth="1" style="779" min="39" max="39"/>
  </cols>
  <sheetData>
    <row r="2">
      <c r="C2" s="160" t="inlineStr">
        <is>
          <t>30.06.2026</t>
        </is>
      </c>
      <c r="D2" s="160" t="inlineStr">
        <is>
          <t>31.12.2025</t>
        </is>
      </c>
    </row>
    <row r="3">
      <c r="C3" s="95" t="inlineStr">
        <is>
          <t>M$</t>
        </is>
      </c>
      <c r="D3" s="95" t="inlineStr">
        <is>
          <t>M$</t>
        </is>
      </c>
    </row>
    <row r="4">
      <c r="C4" s="95" t="n"/>
      <c r="D4" s="814" t="n"/>
    </row>
    <row r="5">
      <c r="B5" s="578" t="inlineStr">
        <is>
          <t xml:space="preserve">Indemnizaciones y  multas </t>
        </is>
      </c>
      <c r="C5" s="949" t="n"/>
      <c r="D5" s="949" t="n"/>
    </row>
    <row r="6">
      <c r="B6" s="578" t="inlineStr">
        <is>
          <t>Castigo de inventarios</t>
        </is>
      </c>
      <c r="C6" s="949" t="n"/>
      <c r="D6" s="949" t="n"/>
    </row>
    <row r="7">
      <c r="B7" s="578" t="inlineStr">
        <is>
          <t>Castigo de proyectos</t>
        </is>
      </c>
      <c r="C7" s="949" t="n"/>
      <c r="D7" s="949" t="n"/>
    </row>
    <row r="8">
      <c r="B8" s="578" t="inlineStr">
        <is>
          <t>Castigo de otros deudores</t>
        </is>
      </c>
      <c r="C8" s="949" t="n"/>
      <c r="D8" s="949" t="n"/>
    </row>
    <row r="9">
      <c r="B9" s="578" t="inlineStr">
        <is>
          <t>Provision obsolescencia</t>
        </is>
      </c>
      <c r="C9" s="949" t="n"/>
      <c r="D9" s="949" t="n"/>
    </row>
    <row r="10" ht="15" customHeight="1" s="779" thickBot="1">
      <c r="B10" s="578" t="inlineStr">
        <is>
          <t>Otros  (cta 3106104)</t>
        </is>
      </c>
      <c r="C10" s="859" t="n"/>
      <c r="D10" s="859" t="n"/>
      <c r="AN10" s="481" t="n"/>
    </row>
    <row r="11" ht="15" customHeight="1" s="779" thickBot="1">
      <c r="B11" s="578" t="inlineStr">
        <is>
          <t>Total</t>
        </is>
      </c>
      <c r="C11" s="857">
        <f>SUM(C5:C11)</f>
        <v/>
      </c>
      <c r="D11" s="857">
        <f>SUM(D5:D11)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92D050"/>
    <outlinePr summaryBelow="1" summaryRight="1"/>
    <pageSetUpPr/>
  </sheetPr>
  <dimension ref="B5:D13"/>
  <sheetViews>
    <sheetView showGridLines="0" topLeftCell="A3" workbookViewId="0">
      <selection activeCell="G14" sqref="G14"/>
    </sheetView>
  </sheetViews>
  <sheetFormatPr baseColWidth="10" defaultRowHeight="14.4"/>
  <cols>
    <col width="40.33203125" customWidth="1" style="779" min="2" max="2"/>
    <col width="13.77734375" customWidth="1" style="779" min="3" max="3"/>
    <col width="12.21875" customWidth="1" style="779" min="4" max="4"/>
  </cols>
  <sheetData>
    <row r="5">
      <c r="B5" s="806" t="n"/>
      <c r="C5" s="160" t="inlineStr">
        <is>
          <t>31.12.2025</t>
        </is>
      </c>
      <c r="D5" s="160" t="inlineStr">
        <is>
          <t>31.12.2025</t>
        </is>
      </c>
    </row>
    <row r="6">
      <c r="C6" s="95" t="inlineStr">
        <is>
          <t>M$</t>
        </is>
      </c>
      <c r="D6" s="814" t="inlineStr">
        <is>
          <t>M$</t>
        </is>
      </c>
    </row>
    <row r="7">
      <c r="B7" s="806" t="n"/>
      <c r="C7" s="95" t="n"/>
      <c r="D7" s="814" t="n"/>
    </row>
    <row r="8">
      <c r="B8" s="578" t="inlineStr">
        <is>
          <t>Venta de activos fijos</t>
        </is>
      </c>
      <c r="C8" s="949" t="n"/>
      <c r="D8" s="949" t="n"/>
    </row>
    <row r="9">
      <c r="B9" s="578" t="inlineStr">
        <is>
          <t>Venta de materiales</t>
        </is>
      </c>
      <c r="C9" s="949" t="n"/>
      <c r="D9" s="949" t="n"/>
    </row>
    <row r="10">
      <c r="B10" s="578" t="inlineStr">
        <is>
          <t>Diferencia de inventarios</t>
        </is>
      </c>
      <c r="C10" s="949" t="n"/>
      <c r="D10" s="949" t="n"/>
    </row>
    <row r="11">
      <c r="B11" s="578" t="inlineStr">
        <is>
          <t>Indemnizaciones de seguros</t>
        </is>
      </c>
      <c r="C11" s="949" t="n"/>
      <c r="D11" s="949" t="n"/>
    </row>
    <row r="12" ht="15" customHeight="1" s="779" thickBot="1">
      <c r="B12" s="578" t="inlineStr">
        <is>
          <t>Otros (cta 3103110)</t>
        </is>
      </c>
      <c r="C12" s="859" t="n"/>
      <c r="D12" s="859" t="n"/>
    </row>
    <row r="13" ht="15" customHeight="1" s="779" thickBot="1">
      <c r="B13" s="578" t="inlineStr">
        <is>
          <t>Total</t>
        </is>
      </c>
      <c r="C13" s="857">
        <f>SUM(C8:C12)</f>
        <v/>
      </c>
      <c r="D13" s="857">
        <f>SUM(D8:D12)</f>
        <v/>
      </c>
    </row>
  </sheetData>
  <mergeCells count="1">
    <mergeCell ref="B5:B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E3:H25"/>
  <sheetViews>
    <sheetView showGridLines="0" topLeftCell="D1" workbookViewId="0">
      <selection activeCell="F10" sqref="F10:F12"/>
    </sheetView>
  </sheetViews>
  <sheetFormatPr baseColWidth="10" defaultRowHeight="14.4"/>
  <cols>
    <col width="32.6640625" customWidth="1" style="779" min="5" max="5"/>
    <col width="15.21875" customWidth="1" style="779" min="6" max="6"/>
    <col width="15.109375" customWidth="1" style="779" min="7" max="8"/>
  </cols>
  <sheetData>
    <row r="3">
      <c r="E3" s="1142" t="inlineStr">
        <is>
          <t>RIESGO DE TIPO DE CAMBIO</t>
        </is>
      </c>
    </row>
    <row r="5">
      <c r="E5" s="84" t="n"/>
    </row>
    <row r="7">
      <c r="E7" s="817" t="n"/>
      <c r="F7" s="215" t="n"/>
      <c r="G7" s="215" t="inlineStr">
        <is>
          <t>Aumento</t>
        </is>
      </c>
      <c r="H7" s="215" t="inlineStr">
        <is>
          <t>Baja</t>
        </is>
      </c>
    </row>
    <row r="8">
      <c r="E8" s="818" t="n"/>
      <c r="F8" s="216" t="inlineStr">
        <is>
          <t>31.12.2025</t>
        </is>
      </c>
      <c r="G8" s="216" t="inlineStr">
        <is>
          <t>10% T/C</t>
        </is>
      </c>
      <c r="H8" s="216" t="inlineStr">
        <is>
          <t>10% de T/C</t>
        </is>
      </c>
    </row>
    <row r="9">
      <c r="E9" s="816" t="n"/>
      <c r="F9" s="217" t="inlineStr">
        <is>
          <t>M$</t>
        </is>
      </c>
      <c r="G9" s="217" t="inlineStr">
        <is>
          <t>M$</t>
        </is>
      </c>
      <c r="H9" s="217" t="inlineStr">
        <is>
          <t>M$</t>
        </is>
      </c>
    </row>
    <row r="10">
      <c r="E10" s="218" t="inlineStr">
        <is>
          <t>Saldos de pasivos en USD</t>
        </is>
      </c>
      <c r="F10" s="1061" t="n"/>
      <c r="G10" s="1061">
        <f>+F10*-0.1</f>
        <v/>
      </c>
      <c r="H10" s="1061">
        <f>+F10*0.1</f>
        <v/>
      </c>
    </row>
    <row r="11">
      <c r="E11" s="218" t="inlineStr">
        <is>
          <t>Saldos de pasivos en Euros</t>
        </is>
      </c>
      <c r="F11" s="1061" t="n"/>
      <c r="G11" s="1061">
        <f>+F11*-0.1</f>
        <v/>
      </c>
      <c r="H11" s="1061">
        <f>+F11*0.1</f>
        <v/>
      </c>
    </row>
    <row r="12">
      <c r="E12" s="218" t="inlineStr">
        <is>
          <t>Saldos de pasivos en Yuan</t>
        </is>
      </c>
      <c r="F12" s="1061" t="n"/>
      <c r="G12" s="1061">
        <f>+F12*-0.1</f>
        <v/>
      </c>
      <c r="H12" s="1061">
        <f>+F12*0.1</f>
        <v/>
      </c>
    </row>
    <row r="13" ht="22.8" customHeight="1" s="779">
      <c r="E13" s="218" t="inlineStr">
        <is>
          <t>Utilidad (pérdida) por variación de tipo de cambio</t>
        </is>
      </c>
      <c r="F13" s="1061">
        <f>SUM(F10:F12)</f>
        <v/>
      </c>
      <c r="G13" s="1061">
        <f>SUM(G10:G12)</f>
        <v/>
      </c>
      <c r="H13" s="1061">
        <f>SUM(H10:H12)</f>
        <v/>
      </c>
    </row>
    <row r="19">
      <c r="E19" s="1142" t="inlineStr">
        <is>
          <t>RIESGO DE TASAS DE INTERES</t>
        </is>
      </c>
    </row>
    <row r="22">
      <c r="E22" s="819" t="n"/>
      <c r="F22" s="815" t="inlineStr">
        <is>
          <t>Valor al cierre 
M$</t>
        </is>
      </c>
      <c r="G22" s="660" t="inlineStr">
        <is>
          <t>Aumento 10% ICP</t>
        </is>
      </c>
      <c r="H22" s="662" t="inlineStr">
        <is>
          <t>Baja 10% de ICP</t>
        </is>
      </c>
    </row>
    <row r="23">
      <c r="E23" s="816" t="n"/>
      <c r="F23" s="816" t="n"/>
      <c r="G23" s="661" t="inlineStr">
        <is>
          <t>M$</t>
        </is>
      </c>
      <c r="H23" s="661" t="inlineStr">
        <is>
          <t>M$</t>
        </is>
      </c>
    </row>
    <row r="24">
      <c r="E24" s="659" t="inlineStr">
        <is>
          <t>Saldos de desembolsos en CLP</t>
        </is>
      </c>
      <c r="F24" s="1062" t="n">
        <v>0</v>
      </c>
      <c r="G24" s="1061">
        <f>+F24*0.1</f>
        <v/>
      </c>
      <c r="H24" s="1061">
        <f>+F24*-0.1</f>
        <v/>
      </c>
    </row>
    <row r="25" ht="22.8" customHeight="1" s="779">
      <c r="E25" s="659" t="inlineStr">
        <is>
          <t>Utilidad (pérdida) por variación de tipo de cambio</t>
        </is>
      </c>
      <c r="F25" s="1063" t="n"/>
      <c r="G25" s="1061">
        <f>+G24</f>
        <v/>
      </c>
      <c r="H25" s="1061">
        <f>+H24</f>
        <v/>
      </c>
    </row>
  </sheetData>
  <mergeCells count="3">
    <mergeCell ref="F22:F23"/>
    <mergeCell ref="E7:E9"/>
    <mergeCell ref="E22:E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40" workbookViewId="0">
      <selection activeCell="L35" sqref="L35"/>
    </sheetView>
  </sheetViews>
  <sheetFormatPr baseColWidth="10" defaultRowHeight="14.4"/>
  <cols>
    <col width="65.5546875" bestFit="1" customWidth="1" style="779" min="3" max="3"/>
    <col outlineLevel="1" width="16.44140625" customWidth="1" style="779" min="4" max="5"/>
    <col outlineLevel="1" width="14.6640625" customWidth="1" style="779" min="6" max="6"/>
    <col outlineLevel="1" width="20.33203125" customWidth="1" style="779" min="7" max="7"/>
    <col outlineLevel="1" width="14.6640625" customWidth="1" style="779" min="8" max="8"/>
    <col outlineLevel="1" width="15.88671875" customWidth="1" style="779" min="9" max="9"/>
    <col outlineLevel="1" width="14.6640625" customWidth="1" style="779" min="10" max="10"/>
    <col outlineLevel="1" width="13.6640625" customWidth="1" style="779" min="11" max="11"/>
    <col width="15" customWidth="1" style="779" min="12" max="12"/>
  </cols>
  <sheetData>
    <row r="1">
      <c r="A1" s="1142" t="inlineStr">
        <is>
          <t>DB TERRA CHILE HOLDCO SPA</t>
        </is>
      </c>
    </row>
    <row r="2">
      <c r="A2" s="1142" t="inlineStr">
        <is>
          <t>Balance 8 Columnas</t>
        </is>
      </c>
    </row>
    <row r="3">
      <c r="C3" t="inlineStr">
        <is>
          <t xml:space="preserve"> </t>
        </is>
      </c>
      <c r="D3" s="1142" t="inlineStr">
        <is>
          <t>N</t>
        </is>
      </c>
      <c r="G3" t="inlineStr">
        <is>
          <t>Fecha fin:</t>
        </is>
      </c>
      <c r="H3" s="91" t="n">
        <v>44926</v>
      </c>
    </row>
    <row r="4">
      <c r="G4" t="inlineStr">
        <is>
          <t>Cifras expresados en:</t>
        </is>
      </c>
      <c r="I4" t="inlineStr">
        <is>
          <t>Moneda Local($)</t>
        </is>
      </c>
    </row>
    <row r="5">
      <c r="D5" s="1142" t="inlineStr">
        <is>
          <t>IFRS</t>
        </is>
      </c>
    </row>
    <row r="6">
      <c r="D6" s="1142" t="inlineStr">
        <is>
          <t>Debitos</t>
        </is>
      </c>
      <c r="E6" s="1142" t="inlineStr">
        <is>
          <t>Creditos</t>
        </is>
      </c>
      <c r="F6" t="inlineStr">
        <is>
          <t>Deudor</t>
        </is>
      </c>
      <c r="G6" t="inlineStr">
        <is>
          <t>Acreedor</t>
        </is>
      </c>
      <c r="H6" t="inlineStr">
        <is>
          <t>Activo</t>
        </is>
      </c>
      <c r="I6" t="inlineStr">
        <is>
          <t>Pasivo</t>
        </is>
      </c>
      <c r="J6" t="inlineStr">
        <is>
          <t>Perdidas</t>
        </is>
      </c>
      <c r="K6" t="inlineStr">
        <is>
          <t>Ganancias</t>
        </is>
      </c>
      <c r="L6" t="inlineStr">
        <is>
          <t>DR/(CR)</t>
        </is>
      </c>
    </row>
    <row r="7">
      <c r="B7" t="n">
        <v>1101301</v>
      </c>
      <c r="C7" s="1142" t="inlineStr">
        <is>
          <t>BANCOS CTA CTE $</t>
        </is>
      </c>
      <c r="D7" s="6" t="n">
        <v>271431769797</v>
      </c>
      <c r="E7" s="6" t="n">
        <v>270845206967</v>
      </c>
      <c r="F7" s="6" t="n">
        <v>586562830</v>
      </c>
      <c r="G7" t="n">
        <v>0</v>
      </c>
      <c r="H7" s="6" t="n">
        <v>586562830</v>
      </c>
      <c r="I7" t="n">
        <v>0</v>
      </c>
      <c r="J7" t="n">
        <v>0</v>
      </c>
      <c r="K7" t="n">
        <v>0</v>
      </c>
      <c r="L7" s="6">
        <f>+D7-E7</f>
        <v/>
      </c>
    </row>
    <row r="8">
      <c r="B8" t="n">
        <v>1101302</v>
      </c>
      <c r="C8" s="1142" t="inlineStr">
        <is>
          <t>BANCOS CTA CTE US$</t>
        </is>
      </c>
      <c r="D8" s="6" t="n">
        <v>83368822012</v>
      </c>
      <c r="E8" s="6" t="n">
        <v>82871218315</v>
      </c>
      <c r="F8" s="6" t="n">
        <v>497603697</v>
      </c>
      <c r="G8" t="n">
        <v>0</v>
      </c>
      <c r="H8" s="6" t="n">
        <v>497603697</v>
      </c>
      <c r="I8" t="n">
        <v>0</v>
      </c>
      <c r="J8" t="n">
        <v>0</v>
      </c>
      <c r="K8" t="n">
        <v>0</v>
      </c>
      <c r="L8" s="6">
        <f>+D8-E8</f>
        <v/>
      </c>
    </row>
    <row r="9">
      <c r="B9" t="n">
        <v>1101402</v>
      </c>
      <c r="C9" s="1142" t="inlineStr">
        <is>
          <t>INVERSION FONDOS MUTUOS RENTA FIJA</t>
        </is>
      </c>
      <c r="D9" s="6" t="n">
        <v>29122313778</v>
      </c>
      <c r="E9" s="6" t="n">
        <v>29122313778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s="6">
        <f>+D9-E9</f>
        <v/>
      </c>
    </row>
    <row r="10">
      <c r="B10" t="n">
        <v>1103204</v>
      </c>
      <c r="C10" s="1142" t="inlineStr">
        <is>
          <t>FONDOS POR RECUPERAR</t>
        </is>
      </c>
      <c r="D10" s="6" t="n">
        <v>453634600</v>
      </c>
      <c r="E10" t="n">
        <v>0</v>
      </c>
      <c r="F10" s="6" t="n">
        <v>453634600</v>
      </c>
      <c r="G10" t="n">
        <v>0</v>
      </c>
      <c r="H10" s="6" t="n">
        <v>453634600</v>
      </c>
      <c r="I10" t="n">
        <v>0</v>
      </c>
      <c r="J10" t="n">
        <v>0</v>
      </c>
      <c r="K10" t="n">
        <v>0</v>
      </c>
      <c r="L10" s="6">
        <f>+D10-E10</f>
        <v/>
      </c>
    </row>
    <row r="11">
      <c r="B11" t="n">
        <v>1104407</v>
      </c>
      <c r="C11" s="1142" t="inlineStr">
        <is>
          <t>CUENTAS POR COBRAR</t>
        </is>
      </c>
      <c r="D11" s="6" t="n">
        <v>1245453219</v>
      </c>
      <c r="E11" s="6" t="n">
        <v>70794886</v>
      </c>
      <c r="F11" s="6" t="n">
        <v>1174658333</v>
      </c>
      <c r="G11" t="n">
        <v>0</v>
      </c>
      <c r="H11" s="6" t="n">
        <v>1174658333</v>
      </c>
      <c r="I11" t="n">
        <v>0</v>
      </c>
      <c r="J11" t="n">
        <v>0</v>
      </c>
      <c r="K11" t="n">
        <v>0</v>
      </c>
      <c r="L11" s="6">
        <f>+D11-E11</f>
        <v/>
      </c>
    </row>
    <row r="12">
      <c r="B12" t="n">
        <v>1104408</v>
      </c>
      <c r="C12" s="1142" t="inlineStr">
        <is>
          <t>FACTURAS POR RECIBIR</t>
        </is>
      </c>
      <c r="D12" s="6" t="n">
        <v>1111949</v>
      </c>
      <c r="E12" s="6" t="n">
        <v>1111949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s="6">
        <f>+D12-E12</f>
        <v/>
      </c>
    </row>
    <row r="13">
      <c r="B13" t="n">
        <v>1105103</v>
      </c>
      <c r="C13" s="1142" t="inlineStr">
        <is>
          <t>CUENTA POR COBRAR EERR $ PACIFICO CABLE</t>
        </is>
      </c>
      <c r="D13" s="6" t="n">
        <v>257958034375</v>
      </c>
      <c r="E13" s="6" t="n">
        <v>12620009380</v>
      </c>
      <c r="F13" s="6" t="n">
        <v>245338024995</v>
      </c>
      <c r="G13" t="n">
        <v>0</v>
      </c>
      <c r="H13" s="6" t="n">
        <v>245338024995</v>
      </c>
      <c r="I13" t="n">
        <v>0</v>
      </c>
      <c r="J13" t="n">
        <v>0</v>
      </c>
      <c r="K13" t="n">
        <v>0</v>
      </c>
      <c r="L13" s="6">
        <f>+D13-E13</f>
        <v/>
      </c>
    </row>
    <row r="14">
      <c r="B14" t="n">
        <v>1105104</v>
      </c>
      <c r="C14" s="1142" t="inlineStr">
        <is>
          <t>CUENTA POR COBRAR EERR US$ PACIFICO CABLE</t>
        </is>
      </c>
      <c r="D14" s="6" t="n">
        <v>27668387604</v>
      </c>
      <c r="E14" s="6" t="n">
        <v>27668387604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6">
        <f>+D14-E14</f>
        <v/>
      </c>
    </row>
    <row r="15">
      <c r="B15" t="n">
        <v>1109101</v>
      </c>
      <c r="C15" s="1142" t="inlineStr">
        <is>
          <t>IVA CREDITO FISCAL (COMPRAS)</t>
        </is>
      </c>
      <c r="D15" s="6" t="n">
        <v>18860</v>
      </c>
      <c r="E15" s="6" t="n">
        <v>18860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s="6">
        <f>+D15-E15</f>
        <v/>
      </c>
    </row>
    <row r="16">
      <c r="B16" t="n">
        <v>1206101</v>
      </c>
      <c r="C16" s="1142" t="inlineStr">
        <is>
          <t>INVERSIÓN EN PACIFICO CABLE</t>
        </is>
      </c>
      <c r="D16" s="6" t="n">
        <v>193383308975</v>
      </c>
      <c r="E16" s="6" t="n">
        <v>28843034454</v>
      </c>
      <c r="F16" s="6" t="n">
        <v>164540274521</v>
      </c>
      <c r="G16" t="n">
        <v>0</v>
      </c>
      <c r="H16" s="6" t="n">
        <v>164540274521</v>
      </c>
      <c r="I16" t="n">
        <v>0</v>
      </c>
      <c r="J16" t="n">
        <v>0</v>
      </c>
      <c r="K16" t="n">
        <v>0</v>
      </c>
      <c r="L16" s="6">
        <f>+D16-E16</f>
        <v/>
      </c>
    </row>
    <row r="17">
      <c r="B17" t="n">
        <v>1207105</v>
      </c>
      <c r="C17" s="1142" t="inlineStr">
        <is>
          <t>GASTOS CREDITO</t>
        </is>
      </c>
      <c r="D17" s="6" t="n">
        <v>7885402617</v>
      </c>
      <c r="E17" s="6" t="n">
        <v>1231844369</v>
      </c>
      <c r="F17" s="6" t="n">
        <v>6653558248</v>
      </c>
      <c r="G17" t="n">
        <v>0</v>
      </c>
      <c r="H17" s="6" t="n">
        <v>6653558248</v>
      </c>
      <c r="I17" t="n">
        <v>0</v>
      </c>
      <c r="J17" t="n">
        <v>0</v>
      </c>
      <c r="K17" t="n">
        <v>0</v>
      </c>
      <c r="L17" s="6">
        <f>+D17-E17</f>
        <v/>
      </c>
    </row>
    <row r="18">
      <c r="B18" t="n">
        <v>1208101</v>
      </c>
      <c r="C18" s="1142" t="inlineStr">
        <is>
          <t>PLUSVALIA</t>
        </is>
      </c>
      <c r="D18" s="6" t="n">
        <v>221755870547</v>
      </c>
      <c r="E18" t="n">
        <v>0</v>
      </c>
      <c r="F18" s="6" t="n">
        <v>221755870547</v>
      </c>
      <c r="G18" t="n">
        <v>0</v>
      </c>
      <c r="H18" s="6" t="n">
        <v>221755870547</v>
      </c>
      <c r="I18" t="n">
        <v>0</v>
      </c>
      <c r="J18" t="n">
        <v>0</v>
      </c>
      <c r="K18" t="n">
        <v>0</v>
      </c>
      <c r="L18" s="6">
        <f>+D18-E18</f>
        <v/>
      </c>
    </row>
    <row r="19">
      <c r="B19" t="n">
        <v>1213101</v>
      </c>
      <c r="C19" s="1142" t="inlineStr">
        <is>
          <t>IMP DIFERIDO (RENTA)</t>
        </is>
      </c>
      <c r="D19" s="6" t="n">
        <v>5260769622</v>
      </c>
      <c r="E19" s="6" t="n">
        <v>5260769622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s="6">
        <f>+D19-E19</f>
        <v/>
      </c>
    </row>
    <row r="20">
      <c r="B20" t="n">
        <v>2101105</v>
      </c>
      <c r="C20" s="1142" t="inlineStr">
        <is>
          <t>PRESTAMOS BTG PACTUAL INTERES</t>
        </is>
      </c>
      <c r="D20" s="6" t="n">
        <v>9776672111</v>
      </c>
      <c r="E20" s="6" t="n">
        <v>9776672111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s="6">
        <f>+D20-E20</f>
        <v/>
      </c>
    </row>
    <row r="21">
      <c r="B21" t="n">
        <v>2101106</v>
      </c>
      <c r="C21" s="1142" t="inlineStr">
        <is>
          <t>PRESTAMOS BIN INTERES</t>
        </is>
      </c>
      <c r="D21" s="6" t="n">
        <v>1759712501</v>
      </c>
      <c r="E21" s="6" t="n">
        <v>1759712501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s="6">
        <f>+D21-E21</f>
        <v/>
      </c>
    </row>
    <row r="22">
      <c r="B22" t="n">
        <v>2101107</v>
      </c>
      <c r="C22" s="1142" t="inlineStr">
        <is>
          <t>PRESTAMOS BCI INTERES</t>
        </is>
      </c>
      <c r="D22" s="6" t="n">
        <v>4518672407</v>
      </c>
      <c r="E22" s="6" t="n">
        <v>4518672407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s="6">
        <f>+D22-E22</f>
        <v/>
      </c>
    </row>
    <row r="23">
      <c r="B23" t="n">
        <v>2101108</v>
      </c>
      <c r="C23" s="1142" t="inlineStr">
        <is>
          <t>PRESTAMOS SCOTIABANK  INTERES</t>
        </is>
      </c>
      <c r="D23" s="6" t="n">
        <v>5770697593</v>
      </c>
      <c r="E23" s="6" t="n">
        <v>5770697593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s="6">
        <f>+D23-E23</f>
        <v/>
      </c>
    </row>
    <row r="24">
      <c r="B24" t="n">
        <v>2101109</v>
      </c>
      <c r="C24" s="1142" t="inlineStr">
        <is>
          <t>PRESTAMOS SWAP BANCARIO DOLAR</t>
        </is>
      </c>
      <c r="D24" s="6" t="n">
        <v>29530863558</v>
      </c>
      <c r="E24" s="6" t="n">
        <v>29530863558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s="6">
        <f>+D24-E24</f>
        <v/>
      </c>
    </row>
    <row r="25">
      <c r="B25" s="2" t="n">
        <v>2101110</v>
      </c>
      <c r="C25" s="1211" t="inlineStr">
        <is>
          <t>DEVENGO DERIVADO PASIVO INTERES (P)</t>
        </is>
      </c>
      <c r="D25" s="265" t="n">
        <v>46582254</v>
      </c>
      <c r="E25" s="265" t="n">
        <v>670140508</v>
      </c>
      <c r="F25" s="2" t="n">
        <v>0</v>
      </c>
      <c r="G25" s="265" t="n">
        <v>623558254</v>
      </c>
      <c r="H25" s="2" t="n">
        <v>0</v>
      </c>
      <c r="I25" s="265" t="n">
        <v>623558254</v>
      </c>
      <c r="J25" s="2" t="n">
        <v>0</v>
      </c>
      <c r="K25" s="2" t="n">
        <v>0</v>
      </c>
      <c r="L25" s="265">
        <f>+D25-E25</f>
        <v/>
      </c>
    </row>
    <row r="26">
      <c r="B26" s="2" t="n">
        <v>2101111</v>
      </c>
      <c r="C26" s="1211" t="inlineStr">
        <is>
          <t>DEVENGO DERIVADO ACTIVO INTERES (A)</t>
        </is>
      </c>
      <c r="D26" s="265" t="n">
        <v>415735274</v>
      </c>
      <c r="E26" s="265" t="n">
        <v>26757913</v>
      </c>
      <c r="F26" s="265" t="n">
        <v>388977361</v>
      </c>
      <c r="G26" s="2" t="n">
        <v>0</v>
      </c>
      <c r="H26" s="265" t="n">
        <v>388977361</v>
      </c>
      <c r="I26" s="2" t="n">
        <v>0</v>
      </c>
      <c r="J26" s="2" t="n">
        <v>0</v>
      </c>
      <c r="K26" s="2" t="n">
        <v>0</v>
      </c>
      <c r="L26" s="265">
        <f>+D26-E26</f>
        <v/>
      </c>
    </row>
    <row r="27">
      <c r="B27" s="2" t="n">
        <v>2101112</v>
      </c>
      <c r="C27" s="1211" t="inlineStr">
        <is>
          <t>DEVENGO DEUDA PASIVO INTERES (P)</t>
        </is>
      </c>
      <c r="D27" s="2" t="n">
        <v>0</v>
      </c>
      <c r="E27" s="265" t="n">
        <v>388977361</v>
      </c>
      <c r="F27" s="2" t="n">
        <v>0</v>
      </c>
      <c r="G27" s="265" t="n">
        <v>388977361</v>
      </c>
      <c r="H27" s="2" t="n">
        <v>0</v>
      </c>
      <c r="I27" s="265" t="n">
        <v>388977361</v>
      </c>
      <c r="J27" s="2" t="n">
        <v>0</v>
      </c>
      <c r="K27" s="2" t="n">
        <v>0</v>
      </c>
      <c r="L27" s="265">
        <f>+D27-E27</f>
        <v/>
      </c>
    </row>
    <row r="28">
      <c r="B28" t="n">
        <v>2102103</v>
      </c>
      <c r="C28" s="1142" t="inlineStr">
        <is>
          <t>PROVEEDORES $</t>
        </is>
      </c>
      <c r="D28" s="6" t="n">
        <v>4188293144</v>
      </c>
      <c r="E28" s="6" t="n">
        <v>4252733475</v>
      </c>
      <c r="F28" t="n">
        <v>0</v>
      </c>
      <c r="G28" s="6" t="n">
        <v>64440331</v>
      </c>
      <c r="H28" t="n">
        <v>0</v>
      </c>
      <c r="I28" s="6" t="n">
        <v>64440331</v>
      </c>
      <c r="J28" t="n">
        <v>0</v>
      </c>
      <c r="K28" t="n">
        <v>0</v>
      </c>
      <c r="L28" s="6">
        <f>+D28-E28</f>
        <v/>
      </c>
    </row>
    <row r="29">
      <c r="B29" t="n">
        <v>2102104</v>
      </c>
      <c r="C29" s="1142" t="inlineStr">
        <is>
          <t>PROVEEDORES EXTRANJEROS U$S</t>
        </is>
      </c>
      <c r="D29" s="6" t="n">
        <v>638870085</v>
      </c>
      <c r="E29" s="6" t="n">
        <v>1061852604</v>
      </c>
      <c r="F29" t="n">
        <v>0</v>
      </c>
      <c r="G29" s="6" t="n">
        <v>422982519</v>
      </c>
      <c r="H29" t="n">
        <v>0</v>
      </c>
      <c r="I29" s="6" t="n">
        <v>422982519</v>
      </c>
      <c r="J29" t="n">
        <v>0</v>
      </c>
      <c r="K29" t="n">
        <v>0</v>
      </c>
      <c r="L29" s="6">
        <f>+D29-E29</f>
        <v/>
      </c>
    </row>
    <row r="30">
      <c r="B30" t="n">
        <v>2102604</v>
      </c>
      <c r="C30" s="1142" t="inlineStr">
        <is>
          <t>ACREEDORES VARIOS</t>
        </is>
      </c>
      <c r="D30" s="6" t="n">
        <v>22052660</v>
      </c>
      <c r="E30" s="6" t="n">
        <v>22052660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s="6">
        <f>+D30-E30</f>
        <v/>
      </c>
    </row>
    <row r="31">
      <c r="B31" t="n">
        <v>2102605</v>
      </c>
      <c r="C31" s="1142" t="inlineStr">
        <is>
          <t>PROVISIONES VARIAS</t>
        </is>
      </c>
      <c r="D31" s="6" t="n">
        <v>510757520</v>
      </c>
      <c r="E31" s="6" t="n">
        <v>510757520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s="6">
        <f>+D31-E31</f>
        <v/>
      </c>
    </row>
    <row r="32">
      <c r="B32" t="n">
        <v>2103103</v>
      </c>
      <c r="C32" s="1142" t="inlineStr">
        <is>
          <t>CUENTAS POR PAGAR EERR PACIFICO CABLE</t>
        </is>
      </c>
      <c r="D32" t="n">
        <v>0</v>
      </c>
      <c r="E32" s="6" t="n">
        <v>123723097</v>
      </c>
      <c r="F32" t="n">
        <v>0</v>
      </c>
      <c r="G32" s="6" t="n">
        <v>123723097</v>
      </c>
      <c r="H32" t="n">
        <v>0</v>
      </c>
      <c r="I32" s="6" t="n">
        <v>123723097</v>
      </c>
      <c r="J32" t="n">
        <v>0</v>
      </c>
      <c r="K32" t="n">
        <v>0</v>
      </c>
      <c r="L32" s="6">
        <f>+D32-E32</f>
        <v/>
      </c>
    </row>
    <row r="33">
      <c r="B33" t="n">
        <v>2105107</v>
      </c>
      <c r="C33" s="1142" t="inlineStr">
        <is>
          <t>IMPUESTO POR PAGAR FORM. 50</t>
        </is>
      </c>
      <c r="D33" s="6" t="n">
        <v>15858759100</v>
      </c>
      <c r="E33" s="6" t="n">
        <v>15858759100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s="6">
        <f>+D33-E33</f>
        <v/>
      </c>
    </row>
    <row r="34">
      <c r="B34" t="n">
        <v>2201220</v>
      </c>
      <c r="C34" s="1142" t="inlineStr">
        <is>
          <t>PRESTAMO  (P)</t>
        </is>
      </c>
      <c r="D34" t="n">
        <v>0</v>
      </c>
      <c r="E34" s="6" t="n">
        <v>24446194497</v>
      </c>
      <c r="F34" t="n">
        <v>0</v>
      </c>
      <c r="G34" s="6" t="n">
        <v>24446194497</v>
      </c>
      <c r="H34" t="n">
        <v>0</v>
      </c>
      <c r="I34" s="6" t="n">
        <v>24446194497</v>
      </c>
      <c r="J34" t="n">
        <v>0</v>
      </c>
      <c r="K34" t="n">
        <v>0</v>
      </c>
      <c r="L34" s="6">
        <f>+D34-E34</f>
        <v/>
      </c>
    </row>
    <row r="35">
      <c r="B35" s="2" t="n">
        <v>2201221</v>
      </c>
      <c r="C35" s="1211" t="inlineStr">
        <is>
          <t>DERIVADO (PASIVO)</t>
        </is>
      </c>
      <c r="D35" s="2" t="n">
        <v>0</v>
      </c>
      <c r="E35" s="265" t="n">
        <v>5445547883</v>
      </c>
      <c r="F35" s="2" t="n">
        <v>0</v>
      </c>
      <c r="G35" s="265" t="n">
        <v>5445547883</v>
      </c>
      <c r="H35" s="2" t="n">
        <v>0</v>
      </c>
      <c r="I35" s="265" t="n">
        <v>5445547883</v>
      </c>
      <c r="J35" s="2" t="n">
        <v>0</v>
      </c>
      <c r="K35" s="2" t="n">
        <v>0</v>
      </c>
      <c r="L35" s="265">
        <f>+D35-E35</f>
        <v/>
      </c>
    </row>
    <row r="36">
      <c r="B36" t="n">
        <v>2201222</v>
      </c>
      <c r="C36" s="1142" t="inlineStr">
        <is>
          <t>PRESTAMO BIN</t>
        </is>
      </c>
      <c r="D36" t="n">
        <v>0</v>
      </c>
      <c r="E36" s="6" t="n">
        <v>17000000000</v>
      </c>
      <c r="F36" t="n">
        <v>0</v>
      </c>
      <c r="G36" s="6" t="n">
        <v>17000000000</v>
      </c>
      <c r="H36" t="n">
        <v>0</v>
      </c>
      <c r="I36" s="6" t="n">
        <v>17000000000</v>
      </c>
      <c r="J36" t="n">
        <v>0</v>
      </c>
      <c r="K36" t="n">
        <v>0</v>
      </c>
      <c r="L36" s="6">
        <f>+D36-E36</f>
        <v/>
      </c>
    </row>
    <row r="37">
      <c r="B37" t="n">
        <v>2201223</v>
      </c>
      <c r="C37" s="1142" t="inlineStr">
        <is>
          <t>PRESTAMO BCI</t>
        </is>
      </c>
      <c r="D37" t="n">
        <v>0</v>
      </c>
      <c r="E37" s="6" t="n">
        <v>80833333333</v>
      </c>
      <c r="F37" t="n">
        <v>0</v>
      </c>
      <c r="G37" s="6" t="n">
        <v>80833333333</v>
      </c>
      <c r="H37" t="n">
        <v>0</v>
      </c>
      <c r="I37" s="6" t="n">
        <v>80833333333</v>
      </c>
      <c r="J37" t="n">
        <v>0</v>
      </c>
      <c r="K37" t="n">
        <v>0</v>
      </c>
      <c r="L37" s="6">
        <f>+D37-E37</f>
        <v/>
      </c>
    </row>
    <row r="38">
      <c r="B38" t="n">
        <v>2201224</v>
      </c>
      <c r="C38" s="1142" t="inlineStr">
        <is>
          <t>PRESTAMO SCOTIABANK</t>
        </is>
      </c>
      <c r="D38" t="n">
        <v>0</v>
      </c>
      <c r="E38" s="6" t="n">
        <v>89666666667</v>
      </c>
      <c r="F38" t="n">
        <v>0</v>
      </c>
      <c r="G38" s="6" t="n">
        <v>89666666667</v>
      </c>
      <c r="H38" t="n">
        <v>0</v>
      </c>
      <c r="I38" s="6" t="n">
        <v>89666666667</v>
      </c>
      <c r="J38" t="n">
        <v>0</v>
      </c>
      <c r="K38" t="n">
        <v>0</v>
      </c>
      <c r="L38" s="6">
        <f>+D38-E38</f>
        <v/>
      </c>
    </row>
    <row r="39">
      <c r="B39" t="n">
        <v>2201225</v>
      </c>
      <c r="C39" s="1142" t="inlineStr">
        <is>
          <t>PRESTAMO BTG PACTUAL</t>
        </is>
      </c>
      <c r="D39" t="n">
        <v>0</v>
      </c>
      <c r="E39" s="6" t="n">
        <v>30000000000</v>
      </c>
      <c r="F39" t="n">
        <v>0</v>
      </c>
      <c r="G39" s="6" t="n">
        <v>30000000000</v>
      </c>
      <c r="H39" t="n">
        <v>0</v>
      </c>
      <c r="I39" s="6" t="n">
        <v>30000000000</v>
      </c>
      <c r="J39" t="n">
        <v>0</v>
      </c>
      <c r="K39" t="n">
        <v>0</v>
      </c>
      <c r="L39" s="6">
        <f>+D39-E39</f>
        <v/>
      </c>
    </row>
    <row r="40">
      <c r="B40" t="n">
        <v>2201604</v>
      </c>
      <c r="C40" s="1142" t="inlineStr">
        <is>
          <t>ACTIVO/PASIVO INSTRUMENTO DE COBERTURA</t>
        </is>
      </c>
      <c r="D40" s="6" t="n">
        <v>1980660079</v>
      </c>
      <c r="E40" s="6" t="n">
        <v>1980660079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s="6">
        <f>+D40-E40</f>
        <v/>
      </c>
    </row>
    <row r="41">
      <c r="B41" t="n">
        <v>2201605</v>
      </c>
      <c r="C41" s="1142" t="inlineStr">
        <is>
          <t>AJUSTE VALOR INSTRUMENTO COBERTURA MTM</t>
        </is>
      </c>
      <c r="D41" s="6" t="n">
        <v>4108006515</v>
      </c>
      <c r="E41" s="6" t="n">
        <v>4108006515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s="6">
        <f>+D41-E41</f>
        <v/>
      </c>
    </row>
    <row r="42">
      <c r="B42" t="n">
        <v>2205101</v>
      </c>
      <c r="C42" s="1142" t="inlineStr">
        <is>
          <t>PASIVOS POR IMPUESTOS DIFERIDOS</t>
        </is>
      </c>
      <c r="D42" s="6" t="n">
        <v>1796460727</v>
      </c>
      <c r="E42" s="6" t="n">
        <v>1796460727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s="6">
        <f>+D42-E42</f>
        <v/>
      </c>
    </row>
    <row r="43">
      <c r="B43" t="n">
        <v>2301101</v>
      </c>
      <c r="C43" s="1142" t="inlineStr">
        <is>
          <t>CAPITAL</t>
        </is>
      </c>
      <c r="D43" t="n">
        <v>0</v>
      </c>
      <c r="E43" s="6" t="n">
        <v>408142387549</v>
      </c>
      <c r="F43" t="n">
        <v>0</v>
      </c>
      <c r="G43" s="6" t="n">
        <v>408142387549</v>
      </c>
      <c r="H43" t="n">
        <v>0</v>
      </c>
      <c r="I43" s="6" t="n">
        <v>408142387549</v>
      </c>
      <c r="J43" t="n">
        <v>0</v>
      </c>
      <c r="K43" t="n">
        <v>0</v>
      </c>
      <c r="L43" s="6">
        <f>+D43-E43</f>
        <v/>
      </c>
    </row>
    <row r="44">
      <c r="B44" t="n">
        <v>2305102</v>
      </c>
      <c r="C44" s="1142" t="inlineStr">
        <is>
          <t>OTRAS RESERVAS</t>
        </is>
      </c>
      <c r="D44" s="6" t="n">
        <v>5655373192</v>
      </c>
      <c r="E44" s="6" t="n">
        <v>1526950762</v>
      </c>
      <c r="F44" s="6" t="n">
        <v>4128422430</v>
      </c>
      <c r="G44" t="n">
        <v>0</v>
      </c>
      <c r="H44" s="6" t="n">
        <v>4128422430</v>
      </c>
      <c r="I44" t="n">
        <v>0</v>
      </c>
      <c r="J44" t="n">
        <v>0</v>
      </c>
      <c r="K44" t="n">
        <v>0</v>
      </c>
      <c r="L44" s="6">
        <f>+D44-E44</f>
        <v/>
      </c>
    </row>
    <row r="45">
      <c r="B45" t="n">
        <v>2305104</v>
      </c>
      <c r="C45" s="1142" t="inlineStr">
        <is>
          <t>AJUSTE VALOR INSTRUMENTO DE COBERTURA</t>
        </is>
      </c>
      <c r="D45" s="6" t="n">
        <v>7004367206</v>
      </c>
      <c r="E45" s="6" t="n">
        <v>7004367206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s="6">
        <f>+D45-E45</f>
        <v/>
      </c>
    </row>
    <row r="46">
      <c r="B46" t="n">
        <v>2305110</v>
      </c>
      <c r="C46" s="1142" t="inlineStr">
        <is>
          <t>RESERVA HEDGE DERIVADO</t>
        </is>
      </c>
      <c r="D46" s="6" t="n">
        <v>2943430980</v>
      </c>
      <c r="E46" t="n">
        <v>0</v>
      </c>
      <c r="F46" s="6" t="n">
        <v>2943430980</v>
      </c>
      <c r="G46" t="n">
        <v>0</v>
      </c>
      <c r="H46" s="6" t="n">
        <v>2943430980</v>
      </c>
      <c r="I46" t="n">
        <v>0</v>
      </c>
      <c r="J46" t="n">
        <v>0</v>
      </c>
      <c r="K46" t="n">
        <v>0</v>
      </c>
      <c r="L46" s="6">
        <f>+D46-E46</f>
        <v/>
      </c>
    </row>
    <row r="47">
      <c r="B47" t="n">
        <v>3103109</v>
      </c>
      <c r="C47" s="1142" t="inlineStr">
        <is>
          <t>GANANCIAS O PERDIDAS POR VALOR MERCADO ACTIVOS FINANCIEROS</t>
        </is>
      </c>
      <c r="D47" s="6" t="n">
        <v>28329500</v>
      </c>
      <c r="E47" s="6" t="n">
        <v>185606552</v>
      </c>
      <c r="F47" t="n">
        <v>0</v>
      </c>
      <c r="G47" s="6" t="n">
        <v>157277052</v>
      </c>
      <c r="H47" t="n">
        <v>0</v>
      </c>
      <c r="I47" t="n">
        <v>0</v>
      </c>
      <c r="J47" t="n">
        <v>0</v>
      </c>
      <c r="K47" s="6" t="n">
        <v>157277052</v>
      </c>
      <c r="L47" s="6">
        <f>+D47-E47</f>
        <v/>
      </c>
    </row>
    <row r="48">
      <c r="B48" t="n">
        <v>3103110</v>
      </c>
      <c r="C48" s="1142" t="inlineStr">
        <is>
          <t>OTROS INGRESOS</t>
        </is>
      </c>
      <c r="D48" t="n">
        <v>0</v>
      </c>
      <c r="E48" s="6" t="n">
        <v>21247528921</v>
      </c>
      <c r="F48" t="n">
        <v>0</v>
      </c>
      <c r="G48" s="6" t="n">
        <v>21247528921</v>
      </c>
      <c r="H48" t="n">
        <v>0</v>
      </c>
      <c r="I48" t="n">
        <v>0</v>
      </c>
      <c r="J48" t="n">
        <v>0</v>
      </c>
      <c r="K48" s="6" t="n">
        <v>21247528921</v>
      </c>
      <c r="L48" s="6">
        <f>+D48-E48</f>
        <v/>
      </c>
    </row>
    <row r="49">
      <c r="B49" t="n">
        <v>3105805</v>
      </c>
      <c r="C49" s="1142" t="inlineStr">
        <is>
          <t>GASTOS LEGALES Y NOTARIALES</t>
        </is>
      </c>
      <c r="D49" s="6" t="n">
        <v>175533553</v>
      </c>
      <c r="E49" t="n">
        <v>0</v>
      </c>
      <c r="F49" s="6" t="n">
        <v>175533553</v>
      </c>
      <c r="G49" t="n">
        <v>0</v>
      </c>
      <c r="H49" t="n">
        <v>0</v>
      </c>
      <c r="I49" t="n">
        <v>0</v>
      </c>
      <c r="J49" s="6" t="n">
        <v>175533553</v>
      </c>
      <c r="K49" t="n">
        <v>0</v>
      </c>
      <c r="L49" s="6">
        <f>+D49-E49</f>
        <v/>
      </c>
    </row>
    <row r="50">
      <c r="B50" t="n">
        <v>3105807</v>
      </c>
      <c r="C50" s="1142" t="inlineStr">
        <is>
          <t>GASTOS GENERALES (NO USAR)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s="6">
        <f>+D50-E50</f>
        <v/>
      </c>
    </row>
    <row r="51">
      <c r="B51" t="n">
        <v>3109102</v>
      </c>
      <c r="C51" s="1142" t="inlineStr">
        <is>
          <t>INTERESES DEVENGADOS</t>
        </is>
      </c>
      <c r="D51" s="6" t="n">
        <v>552766667</v>
      </c>
      <c r="E51" t="n">
        <v>0</v>
      </c>
      <c r="F51" s="6" t="n">
        <v>552766667</v>
      </c>
      <c r="G51" t="n">
        <v>0</v>
      </c>
      <c r="H51" t="n">
        <v>0</v>
      </c>
      <c r="I51" t="n">
        <v>0</v>
      </c>
      <c r="J51" s="6" t="n">
        <v>552766667</v>
      </c>
      <c r="K51" t="n">
        <v>0</v>
      </c>
      <c r="L51" s="6">
        <f>+D51-E51</f>
        <v/>
      </c>
    </row>
    <row r="52">
      <c r="B52" t="n">
        <v>3109160</v>
      </c>
      <c r="C52" s="1142" t="inlineStr">
        <is>
          <t>DEUDA PASIVO INTERES (R)</t>
        </is>
      </c>
      <c r="D52" s="6" t="n">
        <v>469245997</v>
      </c>
      <c r="E52" t="n">
        <v>0</v>
      </c>
      <c r="F52" s="6" t="n">
        <v>469245997</v>
      </c>
      <c r="G52" t="n">
        <v>0</v>
      </c>
      <c r="H52" t="n">
        <v>0</v>
      </c>
      <c r="I52" t="n">
        <v>0</v>
      </c>
      <c r="J52" s="6" t="n">
        <v>469245997</v>
      </c>
      <c r="K52" t="n">
        <v>0</v>
      </c>
      <c r="L52" s="6">
        <f>+D52-E52</f>
        <v/>
      </c>
    </row>
    <row r="53">
      <c r="B53" t="n">
        <v>3109161</v>
      </c>
      <c r="C53" s="1142" t="inlineStr">
        <is>
          <t>INTERES DERIVADO (RESULTADO)</t>
        </is>
      </c>
      <c r="D53" s="6" t="n">
        <v>332462493</v>
      </c>
      <c r="E53" s="6" t="n">
        <v>26757914</v>
      </c>
      <c r="F53" s="6" t="n">
        <v>305704579</v>
      </c>
      <c r="G53" t="n">
        <v>0</v>
      </c>
      <c r="H53" t="n">
        <v>0</v>
      </c>
      <c r="I53" t="n">
        <v>0</v>
      </c>
      <c r="J53" s="6" t="n">
        <v>305704579</v>
      </c>
      <c r="K53" t="n">
        <v>0</v>
      </c>
      <c r="L53" s="6">
        <f>+D53-E53</f>
        <v/>
      </c>
    </row>
    <row r="54">
      <c r="B54" t="n">
        <v>3109162</v>
      </c>
      <c r="C54" s="1142" t="inlineStr">
        <is>
          <t>GASTOS FINANCIEROS H</t>
        </is>
      </c>
      <c r="D54" s="6" t="n">
        <v>79751302</v>
      </c>
      <c r="E54" s="6" t="n">
        <v>2000000</v>
      </c>
      <c r="F54" s="6" t="n">
        <v>77751302</v>
      </c>
      <c r="G54" t="n">
        <v>0</v>
      </c>
      <c r="H54" t="n">
        <v>0</v>
      </c>
      <c r="I54" t="n">
        <v>0</v>
      </c>
      <c r="J54" s="6" t="n">
        <v>77751302</v>
      </c>
      <c r="K54" t="n">
        <v>0</v>
      </c>
      <c r="L54" s="6">
        <f>+D54-E54</f>
        <v/>
      </c>
    </row>
    <row r="55">
      <c r="B55" t="n">
        <v>3109163</v>
      </c>
      <c r="C55" s="1142" t="inlineStr">
        <is>
          <t>AMORTIZACIÓN GASTOS ANTICIPADOS</t>
        </is>
      </c>
      <c r="D55" s="6" t="n">
        <v>734698677</v>
      </c>
      <c r="E55" t="n">
        <v>4</v>
      </c>
      <c r="F55" s="6" t="n">
        <v>734698673</v>
      </c>
      <c r="G55" t="n">
        <v>0</v>
      </c>
      <c r="H55" t="n">
        <v>0</v>
      </c>
      <c r="I55" t="n">
        <v>0</v>
      </c>
      <c r="J55" s="6" t="n">
        <v>734698673</v>
      </c>
      <c r="K55" t="n">
        <v>0</v>
      </c>
      <c r="L55" s="6">
        <f>+D55-E55</f>
        <v/>
      </c>
    </row>
    <row r="56">
      <c r="B56" t="n">
        <v>3109164</v>
      </c>
      <c r="C56" s="1142" t="inlineStr">
        <is>
          <t>AMORTIZACIÓN GASTOS DIFERIDOS</t>
        </is>
      </c>
      <c r="D56" s="6" t="n">
        <v>268853610</v>
      </c>
      <c r="E56" t="n">
        <v>4</v>
      </c>
      <c r="F56" s="6" t="n">
        <v>268853606</v>
      </c>
      <c r="G56" t="n">
        <v>0</v>
      </c>
      <c r="H56" t="n">
        <v>0</v>
      </c>
      <c r="I56" t="n">
        <v>0</v>
      </c>
      <c r="J56" s="6" t="n">
        <v>268853606</v>
      </c>
      <c r="K56" t="n">
        <v>0</v>
      </c>
      <c r="L56" s="6">
        <f>+D56-E56</f>
        <v/>
      </c>
    </row>
    <row r="57">
      <c r="B57" t="n">
        <v>3109165</v>
      </c>
      <c r="C57" s="1142" t="inlineStr">
        <is>
          <t>GASTOS OPERACIONALES</t>
        </is>
      </c>
      <c r="D57" s="6" t="n">
        <v>818893284</v>
      </c>
      <c r="E57" t="n">
        <v>0</v>
      </c>
      <c r="F57" s="6" t="n">
        <v>818893284</v>
      </c>
      <c r="G57" t="n">
        <v>0</v>
      </c>
      <c r="H57" t="n">
        <v>0</v>
      </c>
      <c r="I57" t="n">
        <v>0</v>
      </c>
      <c r="J57" s="6" t="n">
        <v>818893284</v>
      </c>
      <c r="K57" t="n">
        <v>0</v>
      </c>
      <c r="L57" s="6">
        <f>+D57-E57</f>
        <v/>
      </c>
    </row>
    <row r="58">
      <c r="B58" t="n">
        <v>3109166</v>
      </c>
      <c r="C58" s="1142" t="inlineStr">
        <is>
          <t>INTERES SWAP</t>
        </is>
      </c>
      <c r="D58" s="6" t="n">
        <v>1038052632</v>
      </c>
      <c r="E58" s="6" t="n">
        <v>1038052632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s="6">
        <f>+D58-E58</f>
        <v/>
      </c>
    </row>
    <row r="59">
      <c r="B59" t="n">
        <v>3109167</v>
      </c>
      <c r="C59" s="1142" t="inlineStr">
        <is>
          <t>INTERESES DEVENGADOS SANTANDER 2 PAGARE 8</t>
        </is>
      </c>
      <c r="D59" s="6" t="n">
        <v>21825754611</v>
      </c>
      <c r="E59" t="n">
        <v>0</v>
      </c>
      <c r="F59" s="6" t="n">
        <v>21825754611</v>
      </c>
      <c r="G59" t="n">
        <v>0</v>
      </c>
      <c r="H59" t="n">
        <v>0</v>
      </c>
      <c r="I59" t="n">
        <v>0</v>
      </c>
      <c r="J59" s="6" t="n">
        <v>21825754611</v>
      </c>
      <c r="K59" t="n">
        <v>0</v>
      </c>
      <c r="L59" s="6">
        <f>+D59-E59</f>
        <v/>
      </c>
    </row>
    <row r="60">
      <c r="B60" t="n">
        <v>3109168</v>
      </c>
      <c r="C60" s="1142" t="inlineStr">
        <is>
          <t>INTERES DERIVADO (RESULTADO)</t>
        </is>
      </c>
      <c r="D60" s="6" t="n">
        <v>46582253</v>
      </c>
      <c r="E60" s="6" t="n">
        <v>46582253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s="6">
        <f>+D60-E60</f>
        <v/>
      </c>
    </row>
    <row r="61">
      <c r="B61" t="n">
        <v>3110102</v>
      </c>
      <c r="C61" s="1142" t="inlineStr">
        <is>
          <t>UTILIDAD O PERDIDA EN INVERSIÓN EERR</t>
        </is>
      </c>
      <c r="D61" s="6" t="n">
        <v>22586510481</v>
      </c>
      <c r="E61" s="6" t="n">
        <v>18352929722</v>
      </c>
      <c r="F61" s="6" t="n">
        <v>4233580759</v>
      </c>
      <c r="G61" t="n">
        <v>0</v>
      </c>
      <c r="H61" t="n">
        <v>0</v>
      </c>
      <c r="I61" t="n">
        <v>0</v>
      </c>
      <c r="J61" s="6" t="n">
        <v>4233580759</v>
      </c>
      <c r="K61" t="n">
        <v>0</v>
      </c>
      <c r="L61" s="6">
        <f>+D61-E61</f>
        <v/>
      </c>
    </row>
    <row r="62">
      <c r="B62" t="n">
        <v>3111158</v>
      </c>
      <c r="C62" s="1142" t="inlineStr">
        <is>
          <t>DIFERENCIA DE CAMBIO</t>
        </is>
      </c>
      <c r="D62" s="6" t="n">
        <v>4355581556</v>
      </c>
      <c r="E62" s="6" t="n">
        <v>3716765665</v>
      </c>
      <c r="F62" s="6" t="n">
        <v>638815891</v>
      </c>
      <c r="G62" t="n">
        <v>0</v>
      </c>
      <c r="H62" t="n">
        <v>0</v>
      </c>
      <c r="I62" t="n">
        <v>0</v>
      </c>
      <c r="J62" s="6" t="n">
        <v>638815891</v>
      </c>
      <c r="K62" t="n">
        <v>0</v>
      </c>
      <c r="L62" s="6">
        <f>+D62-E62</f>
        <v/>
      </c>
    </row>
    <row r="63">
      <c r="B63" t="n">
        <v>3111160</v>
      </c>
      <c r="C63" s="1142" t="inlineStr">
        <is>
          <t>REAJUSTE CAMBIARIO DEUDA PASIVO CAPITAL (R)</t>
        </is>
      </c>
      <c r="D63" t="n">
        <v>0</v>
      </c>
      <c r="E63" s="6" t="n">
        <v>2502116903</v>
      </c>
      <c r="F63" t="n">
        <v>0</v>
      </c>
      <c r="G63" s="6" t="n">
        <v>2502116903</v>
      </c>
      <c r="H63" t="n">
        <v>0</v>
      </c>
      <c r="I63" t="n">
        <v>0</v>
      </c>
      <c r="J63" t="n">
        <v>0</v>
      </c>
      <c r="K63" s="6" t="n">
        <v>2502116903</v>
      </c>
      <c r="L63" s="6">
        <f>+D63-E63</f>
        <v/>
      </c>
    </row>
    <row r="64">
      <c r="B64" t="n">
        <v>3111161</v>
      </c>
      <c r="C64" s="1142" t="inlineStr">
        <is>
          <t>REAJUSTE CAMBIARIO DEUDA ACTIVO CAPITAL (R)</t>
        </is>
      </c>
      <c r="D64" s="6" t="n">
        <v>2502116903</v>
      </c>
      <c r="E64" t="n">
        <v>0</v>
      </c>
      <c r="F64" s="6" t="n">
        <v>2502116903</v>
      </c>
      <c r="G64" t="n">
        <v>0</v>
      </c>
      <c r="H64" t="n">
        <v>0</v>
      </c>
      <c r="I64" t="n">
        <v>0</v>
      </c>
      <c r="J64" s="6" t="n">
        <v>2502116903</v>
      </c>
      <c r="K64" t="n">
        <v>0</v>
      </c>
      <c r="L64" s="6">
        <f>+D64-E64</f>
        <v/>
      </c>
    </row>
    <row r="65">
      <c r="B65" t="n">
        <v>3114301</v>
      </c>
      <c r="C65" s="1142" t="inlineStr">
        <is>
          <t>IMPUESTO A LA RENTA (DIFERIDO)</t>
        </is>
      </c>
      <c r="D65" s="6" t="n">
        <v>7057230349</v>
      </c>
      <c r="E65" s="6" t="n">
        <v>7057230349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6">
        <f>+D65-E65</f>
        <v/>
      </c>
    </row>
    <row r="66">
      <c r="A66" s="1142" t="inlineStr">
        <is>
          <t>Total Acumulado</t>
        </is>
      </c>
      <c r="D66" s="6" t="n">
        <v>1258933228731</v>
      </c>
      <c r="F66" s="6" t="n">
        <v>681064734367</v>
      </c>
      <c r="H66" s="6" t="n">
        <v>648461018542</v>
      </c>
      <c r="J66" s="6" t="n">
        <v>32603715825</v>
      </c>
    </row>
    <row r="67">
      <c r="E67" s="6" t="n">
        <v>1258933228731</v>
      </c>
      <c r="G67" s="6" t="n">
        <v>681064734367</v>
      </c>
      <c r="I67" s="6" t="n">
        <v>657157811491</v>
      </c>
      <c r="K67" s="6" t="n">
        <v>23906922876</v>
      </c>
    </row>
    <row r="68">
      <c r="A68" t="inlineStr">
        <is>
          <t xml:space="preserve"> </t>
        </is>
      </c>
    </row>
    <row r="69">
      <c r="A69" s="1142" t="inlineStr">
        <is>
          <t>Resultado del Ejercicio</t>
        </is>
      </c>
      <c r="H69" s="6" t="n">
        <v>8696792949</v>
      </c>
    </row>
    <row r="70">
      <c r="K70" s="6" t="n">
        <v>8696792949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122"/>
  <sheetViews>
    <sheetView showGridLines="0" topLeftCell="B33" workbookViewId="0">
      <selection activeCell="M58" sqref="M58"/>
    </sheetView>
  </sheetViews>
  <sheetFormatPr baseColWidth="10" defaultColWidth="9.109375" defaultRowHeight="10.2"/>
  <cols>
    <col width="4.6640625" customWidth="1" style="1064" min="1" max="1"/>
    <col width="9.5546875" customWidth="1" style="1064" min="2" max="2"/>
    <col width="16.109375" customWidth="1" style="1064" min="3" max="3"/>
    <col width="15.5546875" customWidth="1" style="1064" min="4" max="4"/>
    <col width="14.5546875" customWidth="1" style="1064" min="5" max="5"/>
    <col width="3.88671875" customWidth="1" style="1064" min="6" max="6"/>
    <col width="14.109375" customWidth="1" style="1064" min="7" max="7"/>
    <col width="3.6640625" customWidth="1" style="1064" min="8" max="8"/>
    <col width="14.109375" customWidth="1" style="1064" min="9" max="9"/>
    <col width="6" customWidth="1" style="1064" min="10" max="10"/>
    <col width="14" customWidth="1" style="1064" min="11" max="11"/>
    <col width="5.33203125" customWidth="1" style="1064" min="12" max="12"/>
    <col width="12.77734375" bestFit="1" customWidth="1" style="1064" min="13" max="13"/>
    <col width="1.33203125" customWidth="1" style="1064" min="14" max="14"/>
    <col width="2.5546875" customWidth="1" style="1065" min="15" max="15"/>
    <col width="30.88671875" bestFit="1" customWidth="1" style="1065" min="16" max="16"/>
    <col width="14.6640625" customWidth="1" style="1064" min="17" max="17"/>
    <col width="19.6640625" customWidth="1" style="1064" min="18" max="18"/>
    <col width="13.88671875" bestFit="1" customWidth="1" style="1064" min="19" max="19"/>
    <col width="13.88671875" customWidth="1" style="1064" min="20" max="22"/>
    <col width="16.6640625" customWidth="1" style="1064" min="23" max="23"/>
    <col width="21.5546875" customWidth="1" style="1064" min="24" max="24"/>
    <col width="9.109375" customWidth="1" style="1064" min="25" max="261"/>
    <col width="4.6640625" customWidth="1" style="1064" min="262" max="262"/>
    <col width="16.109375" customWidth="1" style="1064" min="263" max="263"/>
    <col width="22.33203125" customWidth="1" style="1064" min="264" max="264"/>
    <col hidden="1" width="13" customWidth="1" style="1064" min="265" max="265"/>
    <col width="12.5546875" customWidth="1" style="1064" min="266" max="266"/>
    <col width="14.44140625" customWidth="1" style="1064" min="267" max="267"/>
    <col width="12.44140625" customWidth="1" style="1064" min="268" max="268"/>
    <col width="14.109375" customWidth="1" style="1064" min="269" max="269"/>
    <col width="11.109375" customWidth="1" style="1064" min="270" max="270"/>
    <col width="16" customWidth="1" style="1064" min="271" max="271"/>
    <col width="3.109375" customWidth="1" style="1064" min="272" max="272"/>
    <col width="9.109375" customWidth="1" style="1064" min="273" max="273"/>
    <col width="1.33203125" customWidth="1" style="1064" min="274" max="274"/>
    <col width="9.109375" customWidth="1" style="1064" min="275" max="517"/>
    <col width="4.6640625" customWidth="1" style="1064" min="518" max="518"/>
    <col width="16.109375" customWidth="1" style="1064" min="519" max="519"/>
    <col width="22.33203125" customWidth="1" style="1064" min="520" max="520"/>
    <col hidden="1" width="13" customWidth="1" style="1064" min="521" max="521"/>
    <col width="12.5546875" customWidth="1" style="1064" min="522" max="522"/>
    <col width="14.44140625" customWidth="1" style="1064" min="523" max="523"/>
    <col width="12.44140625" customWidth="1" style="1064" min="524" max="524"/>
    <col width="14.109375" customWidth="1" style="1064" min="525" max="525"/>
    <col width="11.109375" customWidth="1" style="1064" min="526" max="526"/>
    <col width="16" customWidth="1" style="1064" min="527" max="527"/>
    <col width="3.109375" customWidth="1" style="1064" min="528" max="528"/>
    <col width="9.109375" customWidth="1" style="1064" min="529" max="529"/>
    <col width="1.33203125" customWidth="1" style="1064" min="530" max="530"/>
    <col width="9.109375" customWidth="1" style="1064" min="531" max="773"/>
    <col width="4.6640625" customWidth="1" style="1064" min="774" max="774"/>
    <col width="16.109375" customWidth="1" style="1064" min="775" max="775"/>
    <col width="22.33203125" customWidth="1" style="1064" min="776" max="776"/>
    <col hidden="1" width="13" customWidth="1" style="1064" min="777" max="777"/>
    <col width="12.5546875" customWidth="1" style="1064" min="778" max="778"/>
    <col width="14.44140625" customWidth="1" style="1064" min="779" max="779"/>
    <col width="12.44140625" customWidth="1" style="1064" min="780" max="780"/>
    <col width="14.109375" customWidth="1" style="1064" min="781" max="781"/>
    <col width="11.109375" customWidth="1" style="1064" min="782" max="782"/>
    <col width="16" customWidth="1" style="1064" min="783" max="783"/>
    <col width="3.109375" customWidth="1" style="1064" min="784" max="784"/>
    <col width="9.109375" customWidth="1" style="1064" min="785" max="785"/>
    <col width="1.33203125" customWidth="1" style="1064" min="786" max="786"/>
    <col width="9.109375" customWidth="1" style="1064" min="787" max="1029"/>
    <col width="4.6640625" customWidth="1" style="1064" min="1030" max="1030"/>
    <col width="16.109375" customWidth="1" style="1064" min="1031" max="1031"/>
    <col width="22.33203125" customWidth="1" style="1064" min="1032" max="1032"/>
    <col hidden="1" width="13" customWidth="1" style="1064" min="1033" max="1033"/>
    <col width="12.5546875" customWidth="1" style="1064" min="1034" max="1034"/>
    <col width="14.44140625" customWidth="1" style="1064" min="1035" max="1035"/>
    <col width="12.44140625" customWidth="1" style="1064" min="1036" max="1036"/>
    <col width="14.109375" customWidth="1" style="1064" min="1037" max="1037"/>
    <col width="11.109375" customWidth="1" style="1064" min="1038" max="1038"/>
    <col width="16" customWidth="1" style="1064" min="1039" max="1039"/>
    <col width="3.109375" customWidth="1" style="1064" min="1040" max="1040"/>
    <col width="9.109375" customWidth="1" style="1064" min="1041" max="1041"/>
    <col width="1.33203125" customWidth="1" style="1064" min="1042" max="1042"/>
    <col width="9.109375" customWidth="1" style="1064" min="1043" max="1285"/>
    <col width="4.6640625" customWidth="1" style="1064" min="1286" max="1286"/>
    <col width="16.109375" customWidth="1" style="1064" min="1287" max="1287"/>
    <col width="22.33203125" customWidth="1" style="1064" min="1288" max="1288"/>
    <col hidden="1" width="13" customWidth="1" style="1064" min="1289" max="1289"/>
    <col width="12.5546875" customWidth="1" style="1064" min="1290" max="1290"/>
    <col width="14.44140625" customWidth="1" style="1064" min="1291" max="1291"/>
    <col width="12.44140625" customWidth="1" style="1064" min="1292" max="1292"/>
    <col width="14.109375" customWidth="1" style="1064" min="1293" max="1293"/>
    <col width="11.109375" customWidth="1" style="1064" min="1294" max="1294"/>
    <col width="16" customWidth="1" style="1064" min="1295" max="1295"/>
    <col width="3.109375" customWidth="1" style="1064" min="1296" max="1296"/>
    <col width="9.109375" customWidth="1" style="1064" min="1297" max="1297"/>
    <col width="1.33203125" customWidth="1" style="1064" min="1298" max="1298"/>
    <col width="9.109375" customWidth="1" style="1064" min="1299" max="1541"/>
    <col width="4.6640625" customWidth="1" style="1064" min="1542" max="1542"/>
    <col width="16.109375" customWidth="1" style="1064" min="1543" max="1543"/>
    <col width="22.33203125" customWidth="1" style="1064" min="1544" max="1544"/>
    <col hidden="1" width="13" customWidth="1" style="1064" min="1545" max="1545"/>
    <col width="12.5546875" customWidth="1" style="1064" min="1546" max="1546"/>
    <col width="14.44140625" customWidth="1" style="1064" min="1547" max="1547"/>
    <col width="12.44140625" customWidth="1" style="1064" min="1548" max="1548"/>
    <col width="14.109375" customWidth="1" style="1064" min="1549" max="1549"/>
    <col width="11.109375" customWidth="1" style="1064" min="1550" max="1550"/>
    <col width="16" customWidth="1" style="1064" min="1551" max="1551"/>
    <col width="3.109375" customWidth="1" style="1064" min="1552" max="1552"/>
    <col width="9.109375" customWidth="1" style="1064" min="1553" max="1553"/>
    <col width="1.33203125" customWidth="1" style="1064" min="1554" max="1554"/>
    <col width="9.109375" customWidth="1" style="1064" min="1555" max="1797"/>
    <col width="4.6640625" customWidth="1" style="1064" min="1798" max="1798"/>
    <col width="16.109375" customWidth="1" style="1064" min="1799" max="1799"/>
    <col width="22.33203125" customWidth="1" style="1064" min="1800" max="1800"/>
    <col hidden="1" width="13" customWidth="1" style="1064" min="1801" max="1801"/>
    <col width="12.5546875" customWidth="1" style="1064" min="1802" max="1802"/>
    <col width="14.44140625" customWidth="1" style="1064" min="1803" max="1803"/>
    <col width="12.44140625" customWidth="1" style="1064" min="1804" max="1804"/>
    <col width="14.109375" customWidth="1" style="1064" min="1805" max="1805"/>
    <col width="11.109375" customWidth="1" style="1064" min="1806" max="1806"/>
    <col width="16" customWidth="1" style="1064" min="1807" max="1807"/>
    <col width="3.109375" customWidth="1" style="1064" min="1808" max="1808"/>
    <col width="9.109375" customWidth="1" style="1064" min="1809" max="1809"/>
    <col width="1.33203125" customWidth="1" style="1064" min="1810" max="1810"/>
    <col width="9.109375" customWidth="1" style="1064" min="1811" max="2053"/>
    <col width="4.6640625" customWidth="1" style="1064" min="2054" max="2054"/>
    <col width="16.109375" customWidth="1" style="1064" min="2055" max="2055"/>
    <col width="22.33203125" customWidth="1" style="1064" min="2056" max="2056"/>
    <col hidden="1" width="13" customWidth="1" style="1064" min="2057" max="2057"/>
    <col width="12.5546875" customWidth="1" style="1064" min="2058" max="2058"/>
    <col width="14.44140625" customWidth="1" style="1064" min="2059" max="2059"/>
    <col width="12.44140625" customWidth="1" style="1064" min="2060" max="2060"/>
    <col width="14.109375" customWidth="1" style="1064" min="2061" max="2061"/>
    <col width="11.109375" customWidth="1" style="1064" min="2062" max="2062"/>
    <col width="16" customWidth="1" style="1064" min="2063" max="2063"/>
    <col width="3.109375" customWidth="1" style="1064" min="2064" max="2064"/>
    <col width="9.109375" customWidth="1" style="1064" min="2065" max="2065"/>
    <col width="1.33203125" customWidth="1" style="1064" min="2066" max="2066"/>
    <col width="9.109375" customWidth="1" style="1064" min="2067" max="2309"/>
    <col width="4.6640625" customWidth="1" style="1064" min="2310" max="2310"/>
    <col width="16.109375" customWidth="1" style="1064" min="2311" max="2311"/>
    <col width="22.33203125" customWidth="1" style="1064" min="2312" max="2312"/>
    <col hidden="1" width="13" customWidth="1" style="1064" min="2313" max="2313"/>
    <col width="12.5546875" customWidth="1" style="1064" min="2314" max="2314"/>
    <col width="14.44140625" customWidth="1" style="1064" min="2315" max="2315"/>
    <col width="12.44140625" customWidth="1" style="1064" min="2316" max="2316"/>
    <col width="14.109375" customWidth="1" style="1064" min="2317" max="2317"/>
    <col width="11.109375" customWidth="1" style="1064" min="2318" max="2318"/>
    <col width="16" customWidth="1" style="1064" min="2319" max="2319"/>
    <col width="3.109375" customWidth="1" style="1064" min="2320" max="2320"/>
    <col width="9.109375" customWidth="1" style="1064" min="2321" max="2321"/>
    <col width="1.33203125" customWidth="1" style="1064" min="2322" max="2322"/>
    <col width="9.109375" customWidth="1" style="1064" min="2323" max="2565"/>
    <col width="4.6640625" customWidth="1" style="1064" min="2566" max="2566"/>
    <col width="16.109375" customWidth="1" style="1064" min="2567" max="2567"/>
    <col width="22.33203125" customWidth="1" style="1064" min="2568" max="2568"/>
    <col hidden="1" width="13" customWidth="1" style="1064" min="2569" max="2569"/>
    <col width="12.5546875" customWidth="1" style="1064" min="2570" max="2570"/>
    <col width="14.44140625" customWidth="1" style="1064" min="2571" max="2571"/>
    <col width="12.44140625" customWidth="1" style="1064" min="2572" max="2572"/>
    <col width="14.109375" customWidth="1" style="1064" min="2573" max="2573"/>
    <col width="11.109375" customWidth="1" style="1064" min="2574" max="2574"/>
    <col width="16" customWidth="1" style="1064" min="2575" max="2575"/>
    <col width="3.109375" customWidth="1" style="1064" min="2576" max="2576"/>
    <col width="9.109375" customWidth="1" style="1064" min="2577" max="2577"/>
    <col width="1.33203125" customWidth="1" style="1064" min="2578" max="2578"/>
    <col width="9.109375" customWidth="1" style="1064" min="2579" max="2821"/>
    <col width="4.6640625" customWidth="1" style="1064" min="2822" max="2822"/>
    <col width="16.109375" customWidth="1" style="1064" min="2823" max="2823"/>
    <col width="22.33203125" customWidth="1" style="1064" min="2824" max="2824"/>
    <col hidden="1" width="13" customWidth="1" style="1064" min="2825" max="2825"/>
    <col width="12.5546875" customWidth="1" style="1064" min="2826" max="2826"/>
    <col width="14.44140625" customWidth="1" style="1064" min="2827" max="2827"/>
    <col width="12.44140625" customWidth="1" style="1064" min="2828" max="2828"/>
    <col width="14.109375" customWidth="1" style="1064" min="2829" max="2829"/>
    <col width="11.109375" customWidth="1" style="1064" min="2830" max="2830"/>
    <col width="16" customWidth="1" style="1064" min="2831" max="2831"/>
    <col width="3.109375" customWidth="1" style="1064" min="2832" max="2832"/>
    <col width="9.109375" customWidth="1" style="1064" min="2833" max="2833"/>
    <col width="1.33203125" customWidth="1" style="1064" min="2834" max="2834"/>
    <col width="9.109375" customWidth="1" style="1064" min="2835" max="3077"/>
    <col width="4.6640625" customWidth="1" style="1064" min="3078" max="3078"/>
    <col width="16.109375" customWidth="1" style="1064" min="3079" max="3079"/>
    <col width="22.33203125" customWidth="1" style="1064" min="3080" max="3080"/>
    <col hidden="1" width="13" customWidth="1" style="1064" min="3081" max="3081"/>
    <col width="12.5546875" customWidth="1" style="1064" min="3082" max="3082"/>
    <col width="14.44140625" customWidth="1" style="1064" min="3083" max="3083"/>
    <col width="12.44140625" customWidth="1" style="1064" min="3084" max="3084"/>
    <col width="14.109375" customWidth="1" style="1064" min="3085" max="3085"/>
    <col width="11.109375" customWidth="1" style="1064" min="3086" max="3086"/>
    <col width="16" customWidth="1" style="1064" min="3087" max="3087"/>
    <col width="3.109375" customWidth="1" style="1064" min="3088" max="3088"/>
    <col width="9.109375" customWidth="1" style="1064" min="3089" max="3089"/>
    <col width="1.33203125" customWidth="1" style="1064" min="3090" max="3090"/>
    <col width="9.109375" customWidth="1" style="1064" min="3091" max="3333"/>
    <col width="4.6640625" customWidth="1" style="1064" min="3334" max="3334"/>
    <col width="16.109375" customWidth="1" style="1064" min="3335" max="3335"/>
    <col width="22.33203125" customWidth="1" style="1064" min="3336" max="3336"/>
    <col hidden="1" width="13" customWidth="1" style="1064" min="3337" max="3337"/>
    <col width="12.5546875" customWidth="1" style="1064" min="3338" max="3338"/>
    <col width="14.44140625" customWidth="1" style="1064" min="3339" max="3339"/>
    <col width="12.44140625" customWidth="1" style="1064" min="3340" max="3340"/>
    <col width="14.109375" customWidth="1" style="1064" min="3341" max="3341"/>
    <col width="11.109375" customWidth="1" style="1064" min="3342" max="3342"/>
    <col width="16" customWidth="1" style="1064" min="3343" max="3343"/>
    <col width="3.109375" customWidth="1" style="1064" min="3344" max="3344"/>
    <col width="9.109375" customWidth="1" style="1064" min="3345" max="3345"/>
    <col width="1.33203125" customWidth="1" style="1064" min="3346" max="3346"/>
    <col width="9.109375" customWidth="1" style="1064" min="3347" max="3589"/>
    <col width="4.6640625" customWidth="1" style="1064" min="3590" max="3590"/>
    <col width="16.109375" customWidth="1" style="1064" min="3591" max="3591"/>
    <col width="22.33203125" customWidth="1" style="1064" min="3592" max="3592"/>
    <col hidden="1" width="13" customWidth="1" style="1064" min="3593" max="3593"/>
    <col width="12.5546875" customWidth="1" style="1064" min="3594" max="3594"/>
    <col width="14.44140625" customWidth="1" style="1064" min="3595" max="3595"/>
    <col width="12.44140625" customWidth="1" style="1064" min="3596" max="3596"/>
    <col width="14.109375" customWidth="1" style="1064" min="3597" max="3597"/>
    <col width="11.109375" customWidth="1" style="1064" min="3598" max="3598"/>
    <col width="16" customWidth="1" style="1064" min="3599" max="3599"/>
    <col width="3.109375" customWidth="1" style="1064" min="3600" max="3600"/>
    <col width="9.109375" customWidth="1" style="1064" min="3601" max="3601"/>
    <col width="1.33203125" customWidth="1" style="1064" min="3602" max="3602"/>
    <col width="9.109375" customWidth="1" style="1064" min="3603" max="3845"/>
    <col width="4.6640625" customWidth="1" style="1064" min="3846" max="3846"/>
    <col width="16.109375" customWidth="1" style="1064" min="3847" max="3847"/>
    <col width="22.33203125" customWidth="1" style="1064" min="3848" max="3848"/>
    <col hidden="1" width="13" customWidth="1" style="1064" min="3849" max="3849"/>
    <col width="12.5546875" customWidth="1" style="1064" min="3850" max="3850"/>
    <col width="14.44140625" customWidth="1" style="1064" min="3851" max="3851"/>
    <col width="12.44140625" customWidth="1" style="1064" min="3852" max="3852"/>
    <col width="14.109375" customWidth="1" style="1064" min="3853" max="3853"/>
    <col width="11.109375" customWidth="1" style="1064" min="3854" max="3854"/>
    <col width="16" customWidth="1" style="1064" min="3855" max="3855"/>
    <col width="3.109375" customWidth="1" style="1064" min="3856" max="3856"/>
    <col width="9.109375" customWidth="1" style="1064" min="3857" max="3857"/>
    <col width="1.33203125" customWidth="1" style="1064" min="3858" max="3858"/>
    <col width="9.109375" customWidth="1" style="1064" min="3859" max="4101"/>
    <col width="4.6640625" customWidth="1" style="1064" min="4102" max="4102"/>
    <col width="16.109375" customWidth="1" style="1064" min="4103" max="4103"/>
    <col width="22.33203125" customWidth="1" style="1064" min="4104" max="4104"/>
    <col hidden="1" width="13" customWidth="1" style="1064" min="4105" max="4105"/>
    <col width="12.5546875" customWidth="1" style="1064" min="4106" max="4106"/>
    <col width="14.44140625" customWidth="1" style="1064" min="4107" max="4107"/>
    <col width="12.44140625" customWidth="1" style="1064" min="4108" max="4108"/>
    <col width="14.109375" customWidth="1" style="1064" min="4109" max="4109"/>
    <col width="11.109375" customWidth="1" style="1064" min="4110" max="4110"/>
    <col width="16" customWidth="1" style="1064" min="4111" max="4111"/>
    <col width="3.109375" customWidth="1" style="1064" min="4112" max="4112"/>
    <col width="9.109375" customWidth="1" style="1064" min="4113" max="4113"/>
    <col width="1.33203125" customWidth="1" style="1064" min="4114" max="4114"/>
    <col width="9.109375" customWidth="1" style="1064" min="4115" max="4357"/>
    <col width="4.6640625" customWidth="1" style="1064" min="4358" max="4358"/>
    <col width="16.109375" customWidth="1" style="1064" min="4359" max="4359"/>
    <col width="22.33203125" customWidth="1" style="1064" min="4360" max="4360"/>
    <col hidden="1" width="13" customWidth="1" style="1064" min="4361" max="4361"/>
    <col width="12.5546875" customWidth="1" style="1064" min="4362" max="4362"/>
    <col width="14.44140625" customWidth="1" style="1064" min="4363" max="4363"/>
    <col width="12.44140625" customWidth="1" style="1064" min="4364" max="4364"/>
    <col width="14.109375" customWidth="1" style="1064" min="4365" max="4365"/>
    <col width="11.109375" customWidth="1" style="1064" min="4366" max="4366"/>
    <col width="16" customWidth="1" style="1064" min="4367" max="4367"/>
    <col width="3.109375" customWidth="1" style="1064" min="4368" max="4368"/>
    <col width="9.109375" customWidth="1" style="1064" min="4369" max="4369"/>
    <col width="1.33203125" customWidth="1" style="1064" min="4370" max="4370"/>
    <col width="9.109375" customWidth="1" style="1064" min="4371" max="4613"/>
    <col width="4.6640625" customWidth="1" style="1064" min="4614" max="4614"/>
    <col width="16.109375" customWidth="1" style="1064" min="4615" max="4615"/>
    <col width="22.33203125" customWidth="1" style="1064" min="4616" max="4616"/>
    <col hidden="1" width="13" customWidth="1" style="1064" min="4617" max="4617"/>
    <col width="12.5546875" customWidth="1" style="1064" min="4618" max="4618"/>
    <col width="14.44140625" customWidth="1" style="1064" min="4619" max="4619"/>
    <col width="12.44140625" customWidth="1" style="1064" min="4620" max="4620"/>
    <col width="14.109375" customWidth="1" style="1064" min="4621" max="4621"/>
    <col width="11.109375" customWidth="1" style="1064" min="4622" max="4622"/>
    <col width="16" customWidth="1" style="1064" min="4623" max="4623"/>
    <col width="3.109375" customWidth="1" style="1064" min="4624" max="4624"/>
    <col width="9.109375" customWidth="1" style="1064" min="4625" max="4625"/>
    <col width="1.33203125" customWidth="1" style="1064" min="4626" max="4626"/>
    <col width="9.109375" customWidth="1" style="1064" min="4627" max="4869"/>
    <col width="4.6640625" customWidth="1" style="1064" min="4870" max="4870"/>
    <col width="16.109375" customWidth="1" style="1064" min="4871" max="4871"/>
    <col width="22.33203125" customWidth="1" style="1064" min="4872" max="4872"/>
    <col hidden="1" width="13" customWidth="1" style="1064" min="4873" max="4873"/>
    <col width="12.5546875" customWidth="1" style="1064" min="4874" max="4874"/>
    <col width="14.44140625" customWidth="1" style="1064" min="4875" max="4875"/>
    <col width="12.44140625" customWidth="1" style="1064" min="4876" max="4876"/>
    <col width="14.109375" customWidth="1" style="1064" min="4877" max="4877"/>
    <col width="11.109375" customWidth="1" style="1064" min="4878" max="4878"/>
    <col width="16" customWidth="1" style="1064" min="4879" max="4879"/>
    <col width="3.109375" customWidth="1" style="1064" min="4880" max="4880"/>
    <col width="9.109375" customWidth="1" style="1064" min="4881" max="4881"/>
    <col width="1.33203125" customWidth="1" style="1064" min="4882" max="4882"/>
    <col width="9.109375" customWidth="1" style="1064" min="4883" max="5125"/>
    <col width="4.6640625" customWidth="1" style="1064" min="5126" max="5126"/>
    <col width="16.109375" customWidth="1" style="1064" min="5127" max="5127"/>
    <col width="22.33203125" customWidth="1" style="1064" min="5128" max="5128"/>
    <col hidden="1" width="13" customWidth="1" style="1064" min="5129" max="5129"/>
    <col width="12.5546875" customWidth="1" style="1064" min="5130" max="5130"/>
    <col width="14.44140625" customWidth="1" style="1064" min="5131" max="5131"/>
    <col width="12.44140625" customWidth="1" style="1064" min="5132" max="5132"/>
    <col width="14.109375" customWidth="1" style="1064" min="5133" max="5133"/>
    <col width="11.109375" customWidth="1" style="1064" min="5134" max="5134"/>
    <col width="16" customWidth="1" style="1064" min="5135" max="5135"/>
    <col width="3.109375" customWidth="1" style="1064" min="5136" max="5136"/>
    <col width="9.109375" customWidth="1" style="1064" min="5137" max="5137"/>
    <col width="1.33203125" customWidth="1" style="1064" min="5138" max="5138"/>
    <col width="9.109375" customWidth="1" style="1064" min="5139" max="5381"/>
    <col width="4.6640625" customWidth="1" style="1064" min="5382" max="5382"/>
    <col width="16.109375" customWidth="1" style="1064" min="5383" max="5383"/>
    <col width="22.33203125" customWidth="1" style="1064" min="5384" max="5384"/>
    <col hidden="1" width="13" customWidth="1" style="1064" min="5385" max="5385"/>
    <col width="12.5546875" customWidth="1" style="1064" min="5386" max="5386"/>
    <col width="14.44140625" customWidth="1" style="1064" min="5387" max="5387"/>
    <col width="12.44140625" customWidth="1" style="1064" min="5388" max="5388"/>
    <col width="14.109375" customWidth="1" style="1064" min="5389" max="5389"/>
    <col width="11.109375" customWidth="1" style="1064" min="5390" max="5390"/>
    <col width="16" customWidth="1" style="1064" min="5391" max="5391"/>
    <col width="3.109375" customWidth="1" style="1064" min="5392" max="5392"/>
    <col width="9.109375" customWidth="1" style="1064" min="5393" max="5393"/>
    <col width="1.33203125" customWidth="1" style="1064" min="5394" max="5394"/>
    <col width="9.109375" customWidth="1" style="1064" min="5395" max="5637"/>
    <col width="4.6640625" customWidth="1" style="1064" min="5638" max="5638"/>
    <col width="16.109375" customWidth="1" style="1064" min="5639" max="5639"/>
    <col width="22.33203125" customWidth="1" style="1064" min="5640" max="5640"/>
    <col hidden="1" width="13" customWidth="1" style="1064" min="5641" max="5641"/>
    <col width="12.5546875" customWidth="1" style="1064" min="5642" max="5642"/>
    <col width="14.44140625" customWidth="1" style="1064" min="5643" max="5643"/>
    <col width="12.44140625" customWidth="1" style="1064" min="5644" max="5644"/>
    <col width="14.109375" customWidth="1" style="1064" min="5645" max="5645"/>
    <col width="11.109375" customWidth="1" style="1064" min="5646" max="5646"/>
    <col width="16" customWidth="1" style="1064" min="5647" max="5647"/>
    <col width="3.109375" customWidth="1" style="1064" min="5648" max="5648"/>
    <col width="9.109375" customWidth="1" style="1064" min="5649" max="5649"/>
    <col width="1.33203125" customWidth="1" style="1064" min="5650" max="5650"/>
    <col width="9.109375" customWidth="1" style="1064" min="5651" max="5893"/>
    <col width="4.6640625" customWidth="1" style="1064" min="5894" max="5894"/>
    <col width="16.109375" customWidth="1" style="1064" min="5895" max="5895"/>
    <col width="22.33203125" customWidth="1" style="1064" min="5896" max="5896"/>
    <col hidden="1" width="13" customWidth="1" style="1064" min="5897" max="5897"/>
    <col width="12.5546875" customWidth="1" style="1064" min="5898" max="5898"/>
    <col width="14.44140625" customWidth="1" style="1064" min="5899" max="5899"/>
    <col width="12.44140625" customWidth="1" style="1064" min="5900" max="5900"/>
    <col width="14.109375" customWidth="1" style="1064" min="5901" max="5901"/>
    <col width="11.109375" customWidth="1" style="1064" min="5902" max="5902"/>
    <col width="16" customWidth="1" style="1064" min="5903" max="5903"/>
    <col width="3.109375" customWidth="1" style="1064" min="5904" max="5904"/>
    <col width="9.109375" customWidth="1" style="1064" min="5905" max="5905"/>
    <col width="1.33203125" customWidth="1" style="1064" min="5906" max="5906"/>
    <col width="9.109375" customWidth="1" style="1064" min="5907" max="6149"/>
    <col width="4.6640625" customWidth="1" style="1064" min="6150" max="6150"/>
    <col width="16.109375" customWidth="1" style="1064" min="6151" max="6151"/>
    <col width="22.33203125" customWidth="1" style="1064" min="6152" max="6152"/>
    <col hidden="1" width="13" customWidth="1" style="1064" min="6153" max="6153"/>
    <col width="12.5546875" customWidth="1" style="1064" min="6154" max="6154"/>
    <col width="14.44140625" customWidth="1" style="1064" min="6155" max="6155"/>
    <col width="12.44140625" customWidth="1" style="1064" min="6156" max="6156"/>
    <col width="14.109375" customWidth="1" style="1064" min="6157" max="6157"/>
    <col width="11.109375" customWidth="1" style="1064" min="6158" max="6158"/>
    <col width="16" customWidth="1" style="1064" min="6159" max="6159"/>
    <col width="3.109375" customWidth="1" style="1064" min="6160" max="6160"/>
    <col width="9.109375" customWidth="1" style="1064" min="6161" max="6161"/>
    <col width="1.33203125" customWidth="1" style="1064" min="6162" max="6162"/>
    <col width="9.109375" customWidth="1" style="1064" min="6163" max="6405"/>
    <col width="4.6640625" customWidth="1" style="1064" min="6406" max="6406"/>
    <col width="16.109375" customWidth="1" style="1064" min="6407" max="6407"/>
    <col width="22.33203125" customWidth="1" style="1064" min="6408" max="6408"/>
    <col hidden="1" width="13" customWidth="1" style="1064" min="6409" max="6409"/>
    <col width="12.5546875" customWidth="1" style="1064" min="6410" max="6410"/>
    <col width="14.44140625" customWidth="1" style="1064" min="6411" max="6411"/>
    <col width="12.44140625" customWidth="1" style="1064" min="6412" max="6412"/>
    <col width="14.109375" customWidth="1" style="1064" min="6413" max="6413"/>
    <col width="11.109375" customWidth="1" style="1064" min="6414" max="6414"/>
    <col width="16" customWidth="1" style="1064" min="6415" max="6415"/>
    <col width="3.109375" customWidth="1" style="1064" min="6416" max="6416"/>
    <col width="9.109375" customWidth="1" style="1064" min="6417" max="6417"/>
    <col width="1.33203125" customWidth="1" style="1064" min="6418" max="6418"/>
    <col width="9.109375" customWidth="1" style="1064" min="6419" max="6661"/>
    <col width="4.6640625" customWidth="1" style="1064" min="6662" max="6662"/>
    <col width="16.109375" customWidth="1" style="1064" min="6663" max="6663"/>
    <col width="22.33203125" customWidth="1" style="1064" min="6664" max="6664"/>
    <col hidden="1" width="13" customWidth="1" style="1064" min="6665" max="6665"/>
    <col width="12.5546875" customWidth="1" style="1064" min="6666" max="6666"/>
    <col width="14.44140625" customWidth="1" style="1064" min="6667" max="6667"/>
    <col width="12.44140625" customWidth="1" style="1064" min="6668" max="6668"/>
    <col width="14.109375" customWidth="1" style="1064" min="6669" max="6669"/>
    <col width="11.109375" customWidth="1" style="1064" min="6670" max="6670"/>
    <col width="16" customWidth="1" style="1064" min="6671" max="6671"/>
    <col width="3.109375" customWidth="1" style="1064" min="6672" max="6672"/>
    <col width="9.109375" customWidth="1" style="1064" min="6673" max="6673"/>
    <col width="1.33203125" customWidth="1" style="1064" min="6674" max="6674"/>
    <col width="9.109375" customWidth="1" style="1064" min="6675" max="6917"/>
    <col width="4.6640625" customWidth="1" style="1064" min="6918" max="6918"/>
    <col width="16.109375" customWidth="1" style="1064" min="6919" max="6919"/>
    <col width="22.33203125" customWidth="1" style="1064" min="6920" max="6920"/>
    <col hidden="1" width="13" customWidth="1" style="1064" min="6921" max="6921"/>
    <col width="12.5546875" customWidth="1" style="1064" min="6922" max="6922"/>
    <col width="14.44140625" customWidth="1" style="1064" min="6923" max="6923"/>
    <col width="12.44140625" customWidth="1" style="1064" min="6924" max="6924"/>
    <col width="14.109375" customWidth="1" style="1064" min="6925" max="6925"/>
    <col width="11.109375" customWidth="1" style="1064" min="6926" max="6926"/>
    <col width="16" customWidth="1" style="1064" min="6927" max="6927"/>
    <col width="3.109375" customWidth="1" style="1064" min="6928" max="6928"/>
    <col width="9.109375" customWidth="1" style="1064" min="6929" max="6929"/>
    <col width="1.33203125" customWidth="1" style="1064" min="6930" max="6930"/>
    <col width="9.109375" customWidth="1" style="1064" min="6931" max="7173"/>
    <col width="4.6640625" customWidth="1" style="1064" min="7174" max="7174"/>
    <col width="16.109375" customWidth="1" style="1064" min="7175" max="7175"/>
    <col width="22.33203125" customWidth="1" style="1064" min="7176" max="7176"/>
    <col hidden="1" width="13" customWidth="1" style="1064" min="7177" max="7177"/>
    <col width="12.5546875" customWidth="1" style="1064" min="7178" max="7178"/>
    <col width="14.44140625" customWidth="1" style="1064" min="7179" max="7179"/>
    <col width="12.44140625" customWidth="1" style="1064" min="7180" max="7180"/>
    <col width="14.109375" customWidth="1" style="1064" min="7181" max="7181"/>
    <col width="11.109375" customWidth="1" style="1064" min="7182" max="7182"/>
    <col width="16" customWidth="1" style="1064" min="7183" max="7183"/>
    <col width="3.109375" customWidth="1" style="1064" min="7184" max="7184"/>
    <col width="9.109375" customWidth="1" style="1064" min="7185" max="7185"/>
    <col width="1.33203125" customWidth="1" style="1064" min="7186" max="7186"/>
    <col width="9.109375" customWidth="1" style="1064" min="7187" max="7429"/>
    <col width="4.6640625" customWidth="1" style="1064" min="7430" max="7430"/>
    <col width="16.109375" customWidth="1" style="1064" min="7431" max="7431"/>
    <col width="22.33203125" customWidth="1" style="1064" min="7432" max="7432"/>
    <col hidden="1" width="13" customWidth="1" style="1064" min="7433" max="7433"/>
    <col width="12.5546875" customWidth="1" style="1064" min="7434" max="7434"/>
    <col width="14.44140625" customWidth="1" style="1064" min="7435" max="7435"/>
    <col width="12.44140625" customWidth="1" style="1064" min="7436" max="7436"/>
    <col width="14.109375" customWidth="1" style="1064" min="7437" max="7437"/>
    <col width="11.109375" customWidth="1" style="1064" min="7438" max="7438"/>
    <col width="16" customWidth="1" style="1064" min="7439" max="7439"/>
    <col width="3.109375" customWidth="1" style="1064" min="7440" max="7440"/>
    <col width="9.109375" customWidth="1" style="1064" min="7441" max="7441"/>
    <col width="1.33203125" customWidth="1" style="1064" min="7442" max="7442"/>
    <col width="9.109375" customWidth="1" style="1064" min="7443" max="7685"/>
    <col width="4.6640625" customWidth="1" style="1064" min="7686" max="7686"/>
    <col width="16.109375" customWidth="1" style="1064" min="7687" max="7687"/>
    <col width="22.33203125" customWidth="1" style="1064" min="7688" max="7688"/>
    <col hidden="1" width="13" customWidth="1" style="1064" min="7689" max="7689"/>
    <col width="12.5546875" customWidth="1" style="1064" min="7690" max="7690"/>
    <col width="14.44140625" customWidth="1" style="1064" min="7691" max="7691"/>
    <col width="12.44140625" customWidth="1" style="1064" min="7692" max="7692"/>
    <col width="14.109375" customWidth="1" style="1064" min="7693" max="7693"/>
    <col width="11.109375" customWidth="1" style="1064" min="7694" max="7694"/>
    <col width="16" customWidth="1" style="1064" min="7695" max="7695"/>
    <col width="3.109375" customWidth="1" style="1064" min="7696" max="7696"/>
    <col width="9.109375" customWidth="1" style="1064" min="7697" max="7697"/>
    <col width="1.33203125" customWidth="1" style="1064" min="7698" max="7698"/>
    <col width="9.109375" customWidth="1" style="1064" min="7699" max="7941"/>
    <col width="4.6640625" customWidth="1" style="1064" min="7942" max="7942"/>
    <col width="16.109375" customWidth="1" style="1064" min="7943" max="7943"/>
    <col width="22.33203125" customWidth="1" style="1064" min="7944" max="7944"/>
    <col hidden="1" width="13" customWidth="1" style="1064" min="7945" max="7945"/>
    <col width="12.5546875" customWidth="1" style="1064" min="7946" max="7946"/>
    <col width="14.44140625" customWidth="1" style="1064" min="7947" max="7947"/>
    <col width="12.44140625" customWidth="1" style="1064" min="7948" max="7948"/>
    <col width="14.109375" customWidth="1" style="1064" min="7949" max="7949"/>
    <col width="11.109375" customWidth="1" style="1064" min="7950" max="7950"/>
    <col width="16" customWidth="1" style="1064" min="7951" max="7951"/>
    <col width="3.109375" customWidth="1" style="1064" min="7952" max="7952"/>
    <col width="9.109375" customWidth="1" style="1064" min="7953" max="7953"/>
    <col width="1.33203125" customWidth="1" style="1064" min="7954" max="7954"/>
    <col width="9.109375" customWidth="1" style="1064" min="7955" max="8197"/>
    <col width="4.6640625" customWidth="1" style="1064" min="8198" max="8198"/>
    <col width="16.109375" customWidth="1" style="1064" min="8199" max="8199"/>
    <col width="22.33203125" customWidth="1" style="1064" min="8200" max="8200"/>
    <col hidden="1" width="13" customWidth="1" style="1064" min="8201" max="8201"/>
    <col width="12.5546875" customWidth="1" style="1064" min="8202" max="8202"/>
    <col width="14.44140625" customWidth="1" style="1064" min="8203" max="8203"/>
    <col width="12.44140625" customWidth="1" style="1064" min="8204" max="8204"/>
    <col width="14.109375" customWidth="1" style="1064" min="8205" max="8205"/>
    <col width="11.109375" customWidth="1" style="1064" min="8206" max="8206"/>
    <col width="16" customWidth="1" style="1064" min="8207" max="8207"/>
    <col width="3.109375" customWidth="1" style="1064" min="8208" max="8208"/>
    <col width="9.109375" customWidth="1" style="1064" min="8209" max="8209"/>
    <col width="1.33203125" customWidth="1" style="1064" min="8210" max="8210"/>
    <col width="9.109375" customWidth="1" style="1064" min="8211" max="8453"/>
    <col width="4.6640625" customWidth="1" style="1064" min="8454" max="8454"/>
    <col width="16.109375" customWidth="1" style="1064" min="8455" max="8455"/>
    <col width="22.33203125" customWidth="1" style="1064" min="8456" max="8456"/>
    <col hidden="1" width="13" customWidth="1" style="1064" min="8457" max="8457"/>
    <col width="12.5546875" customWidth="1" style="1064" min="8458" max="8458"/>
    <col width="14.44140625" customWidth="1" style="1064" min="8459" max="8459"/>
    <col width="12.44140625" customWidth="1" style="1064" min="8460" max="8460"/>
    <col width="14.109375" customWidth="1" style="1064" min="8461" max="8461"/>
    <col width="11.109375" customWidth="1" style="1064" min="8462" max="8462"/>
    <col width="16" customWidth="1" style="1064" min="8463" max="8463"/>
    <col width="3.109375" customWidth="1" style="1064" min="8464" max="8464"/>
    <col width="9.109375" customWidth="1" style="1064" min="8465" max="8465"/>
    <col width="1.33203125" customWidth="1" style="1064" min="8466" max="8466"/>
    <col width="9.109375" customWidth="1" style="1064" min="8467" max="8709"/>
    <col width="4.6640625" customWidth="1" style="1064" min="8710" max="8710"/>
    <col width="16.109375" customWidth="1" style="1064" min="8711" max="8711"/>
    <col width="22.33203125" customWidth="1" style="1064" min="8712" max="8712"/>
    <col hidden="1" width="13" customWidth="1" style="1064" min="8713" max="8713"/>
    <col width="12.5546875" customWidth="1" style="1064" min="8714" max="8714"/>
    <col width="14.44140625" customWidth="1" style="1064" min="8715" max="8715"/>
    <col width="12.44140625" customWidth="1" style="1064" min="8716" max="8716"/>
    <col width="14.109375" customWidth="1" style="1064" min="8717" max="8717"/>
    <col width="11.109375" customWidth="1" style="1064" min="8718" max="8718"/>
    <col width="16" customWidth="1" style="1064" min="8719" max="8719"/>
    <col width="3.109375" customWidth="1" style="1064" min="8720" max="8720"/>
    <col width="9.109375" customWidth="1" style="1064" min="8721" max="8721"/>
    <col width="1.33203125" customWidth="1" style="1064" min="8722" max="8722"/>
    <col width="9.109375" customWidth="1" style="1064" min="8723" max="8965"/>
    <col width="4.6640625" customWidth="1" style="1064" min="8966" max="8966"/>
    <col width="16.109375" customWidth="1" style="1064" min="8967" max="8967"/>
    <col width="22.33203125" customWidth="1" style="1064" min="8968" max="8968"/>
    <col hidden="1" width="13" customWidth="1" style="1064" min="8969" max="8969"/>
    <col width="12.5546875" customWidth="1" style="1064" min="8970" max="8970"/>
    <col width="14.44140625" customWidth="1" style="1064" min="8971" max="8971"/>
    <col width="12.44140625" customWidth="1" style="1064" min="8972" max="8972"/>
    <col width="14.109375" customWidth="1" style="1064" min="8973" max="8973"/>
    <col width="11.109375" customWidth="1" style="1064" min="8974" max="8974"/>
    <col width="16" customWidth="1" style="1064" min="8975" max="8975"/>
    <col width="3.109375" customWidth="1" style="1064" min="8976" max="8976"/>
    <col width="9.109375" customWidth="1" style="1064" min="8977" max="8977"/>
    <col width="1.33203125" customWidth="1" style="1064" min="8978" max="8978"/>
    <col width="9.109375" customWidth="1" style="1064" min="8979" max="9221"/>
    <col width="4.6640625" customWidth="1" style="1064" min="9222" max="9222"/>
    <col width="16.109375" customWidth="1" style="1064" min="9223" max="9223"/>
    <col width="22.33203125" customWidth="1" style="1064" min="9224" max="9224"/>
    <col hidden="1" width="13" customWidth="1" style="1064" min="9225" max="9225"/>
    <col width="12.5546875" customWidth="1" style="1064" min="9226" max="9226"/>
    <col width="14.44140625" customWidth="1" style="1064" min="9227" max="9227"/>
    <col width="12.44140625" customWidth="1" style="1064" min="9228" max="9228"/>
    <col width="14.109375" customWidth="1" style="1064" min="9229" max="9229"/>
    <col width="11.109375" customWidth="1" style="1064" min="9230" max="9230"/>
    <col width="16" customWidth="1" style="1064" min="9231" max="9231"/>
    <col width="3.109375" customWidth="1" style="1064" min="9232" max="9232"/>
    <col width="9.109375" customWidth="1" style="1064" min="9233" max="9233"/>
    <col width="1.33203125" customWidth="1" style="1064" min="9234" max="9234"/>
    <col width="9.109375" customWidth="1" style="1064" min="9235" max="9477"/>
    <col width="4.6640625" customWidth="1" style="1064" min="9478" max="9478"/>
    <col width="16.109375" customWidth="1" style="1064" min="9479" max="9479"/>
    <col width="22.33203125" customWidth="1" style="1064" min="9480" max="9480"/>
    <col hidden="1" width="13" customWidth="1" style="1064" min="9481" max="9481"/>
    <col width="12.5546875" customWidth="1" style="1064" min="9482" max="9482"/>
    <col width="14.44140625" customWidth="1" style="1064" min="9483" max="9483"/>
    <col width="12.44140625" customWidth="1" style="1064" min="9484" max="9484"/>
    <col width="14.109375" customWidth="1" style="1064" min="9485" max="9485"/>
    <col width="11.109375" customWidth="1" style="1064" min="9486" max="9486"/>
    <col width="16" customWidth="1" style="1064" min="9487" max="9487"/>
    <col width="3.109375" customWidth="1" style="1064" min="9488" max="9488"/>
    <col width="9.109375" customWidth="1" style="1064" min="9489" max="9489"/>
    <col width="1.33203125" customWidth="1" style="1064" min="9490" max="9490"/>
    <col width="9.109375" customWidth="1" style="1064" min="9491" max="9733"/>
    <col width="4.6640625" customWidth="1" style="1064" min="9734" max="9734"/>
    <col width="16.109375" customWidth="1" style="1064" min="9735" max="9735"/>
    <col width="22.33203125" customWidth="1" style="1064" min="9736" max="9736"/>
    <col hidden="1" width="13" customWidth="1" style="1064" min="9737" max="9737"/>
    <col width="12.5546875" customWidth="1" style="1064" min="9738" max="9738"/>
    <col width="14.44140625" customWidth="1" style="1064" min="9739" max="9739"/>
    <col width="12.44140625" customWidth="1" style="1064" min="9740" max="9740"/>
    <col width="14.109375" customWidth="1" style="1064" min="9741" max="9741"/>
    <col width="11.109375" customWidth="1" style="1064" min="9742" max="9742"/>
    <col width="16" customWidth="1" style="1064" min="9743" max="9743"/>
    <col width="3.109375" customWidth="1" style="1064" min="9744" max="9744"/>
    <col width="9.109375" customWidth="1" style="1064" min="9745" max="9745"/>
    <col width="1.33203125" customWidth="1" style="1064" min="9746" max="9746"/>
    <col width="9.109375" customWidth="1" style="1064" min="9747" max="9989"/>
    <col width="4.6640625" customWidth="1" style="1064" min="9990" max="9990"/>
    <col width="16.109375" customWidth="1" style="1064" min="9991" max="9991"/>
    <col width="22.33203125" customWidth="1" style="1064" min="9992" max="9992"/>
    <col hidden="1" width="13" customWidth="1" style="1064" min="9993" max="9993"/>
    <col width="12.5546875" customWidth="1" style="1064" min="9994" max="9994"/>
    <col width="14.44140625" customWidth="1" style="1064" min="9995" max="9995"/>
    <col width="12.44140625" customWidth="1" style="1064" min="9996" max="9996"/>
    <col width="14.109375" customWidth="1" style="1064" min="9997" max="9997"/>
    <col width="11.109375" customWidth="1" style="1064" min="9998" max="9998"/>
    <col width="16" customWidth="1" style="1064" min="9999" max="9999"/>
    <col width="3.109375" customWidth="1" style="1064" min="10000" max="10000"/>
    <col width="9.109375" customWidth="1" style="1064" min="10001" max="10001"/>
    <col width="1.33203125" customWidth="1" style="1064" min="10002" max="10002"/>
    <col width="9.109375" customWidth="1" style="1064" min="10003" max="10245"/>
    <col width="4.6640625" customWidth="1" style="1064" min="10246" max="10246"/>
    <col width="16.109375" customWidth="1" style="1064" min="10247" max="10247"/>
    <col width="22.33203125" customWidth="1" style="1064" min="10248" max="10248"/>
    <col hidden="1" width="13" customWidth="1" style="1064" min="10249" max="10249"/>
    <col width="12.5546875" customWidth="1" style="1064" min="10250" max="10250"/>
    <col width="14.44140625" customWidth="1" style="1064" min="10251" max="10251"/>
    <col width="12.44140625" customWidth="1" style="1064" min="10252" max="10252"/>
    <col width="14.109375" customWidth="1" style="1064" min="10253" max="10253"/>
    <col width="11.109375" customWidth="1" style="1064" min="10254" max="10254"/>
    <col width="16" customWidth="1" style="1064" min="10255" max="10255"/>
    <col width="3.109375" customWidth="1" style="1064" min="10256" max="10256"/>
    <col width="9.109375" customWidth="1" style="1064" min="10257" max="10257"/>
    <col width="1.33203125" customWidth="1" style="1064" min="10258" max="10258"/>
    <col width="9.109375" customWidth="1" style="1064" min="10259" max="10501"/>
    <col width="4.6640625" customWidth="1" style="1064" min="10502" max="10502"/>
    <col width="16.109375" customWidth="1" style="1064" min="10503" max="10503"/>
    <col width="22.33203125" customWidth="1" style="1064" min="10504" max="10504"/>
    <col hidden="1" width="13" customWidth="1" style="1064" min="10505" max="10505"/>
    <col width="12.5546875" customWidth="1" style="1064" min="10506" max="10506"/>
    <col width="14.44140625" customWidth="1" style="1064" min="10507" max="10507"/>
    <col width="12.44140625" customWidth="1" style="1064" min="10508" max="10508"/>
    <col width="14.109375" customWidth="1" style="1064" min="10509" max="10509"/>
    <col width="11.109375" customWidth="1" style="1064" min="10510" max="10510"/>
    <col width="16" customWidth="1" style="1064" min="10511" max="10511"/>
    <col width="3.109375" customWidth="1" style="1064" min="10512" max="10512"/>
    <col width="9.109375" customWidth="1" style="1064" min="10513" max="10513"/>
    <col width="1.33203125" customWidth="1" style="1064" min="10514" max="10514"/>
    <col width="9.109375" customWidth="1" style="1064" min="10515" max="10757"/>
    <col width="4.6640625" customWidth="1" style="1064" min="10758" max="10758"/>
    <col width="16.109375" customWidth="1" style="1064" min="10759" max="10759"/>
    <col width="22.33203125" customWidth="1" style="1064" min="10760" max="10760"/>
    <col hidden="1" width="13" customWidth="1" style="1064" min="10761" max="10761"/>
    <col width="12.5546875" customWidth="1" style="1064" min="10762" max="10762"/>
    <col width="14.44140625" customWidth="1" style="1064" min="10763" max="10763"/>
    <col width="12.44140625" customWidth="1" style="1064" min="10764" max="10764"/>
    <col width="14.109375" customWidth="1" style="1064" min="10765" max="10765"/>
    <col width="11.109375" customWidth="1" style="1064" min="10766" max="10766"/>
    <col width="16" customWidth="1" style="1064" min="10767" max="10767"/>
    <col width="3.109375" customWidth="1" style="1064" min="10768" max="10768"/>
    <col width="9.109375" customWidth="1" style="1064" min="10769" max="10769"/>
    <col width="1.33203125" customWidth="1" style="1064" min="10770" max="10770"/>
    <col width="9.109375" customWidth="1" style="1064" min="10771" max="11013"/>
    <col width="4.6640625" customWidth="1" style="1064" min="11014" max="11014"/>
    <col width="16.109375" customWidth="1" style="1064" min="11015" max="11015"/>
    <col width="22.33203125" customWidth="1" style="1064" min="11016" max="11016"/>
    <col hidden="1" width="13" customWidth="1" style="1064" min="11017" max="11017"/>
    <col width="12.5546875" customWidth="1" style="1064" min="11018" max="11018"/>
    <col width="14.44140625" customWidth="1" style="1064" min="11019" max="11019"/>
    <col width="12.44140625" customWidth="1" style="1064" min="11020" max="11020"/>
    <col width="14.109375" customWidth="1" style="1064" min="11021" max="11021"/>
    <col width="11.109375" customWidth="1" style="1064" min="11022" max="11022"/>
    <col width="16" customWidth="1" style="1064" min="11023" max="11023"/>
    <col width="3.109375" customWidth="1" style="1064" min="11024" max="11024"/>
    <col width="9.109375" customWidth="1" style="1064" min="11025" max="11025"/>
    <col width="1.33203125" customWidth="1" style="1064" min="11026" max="11026"/>
    <col width="9.109375" customWidth="1" style="1064" min="11027" max="11269"/>
    <col width="4.6640625" customWidth="1" style="1064" min="11270" max="11270"/>
    <col width="16.109375" customWidth="1" style="1064" min="11271" max="11271"/>
    <col width="22.33203125" customWidth="1" style="1064" min="11272" max="11272"/>
    <col hidden="1" width="13" customWidth="1" style="1064" min="11273" max="11273"/>
    <col width="12.5546875" customWidth="1" style="1064" min="11274" max="11274"/>
    <col width="14.44140625" customWidth="1" style="1064" min="11275" max="11275"/>
    <col width="12.44140625" customWidth="1" style="1064" min="11276" max="11276"/>
    <col width="14.109375" customWidth="1" style="1064" min="11277" max="11277"/>
    <col width="11.109375" customWidth="1" style="1064" min="11278" max="11278"/>
    <col width="16" customWidth="1" style="1064" min="11279" max="11279"/>
    <col width="3.109375" customWidth="1" style="1064" min="11280" max="11280"/>
    <col width="9.109375" customWidth="1" style="1064" min="11281" max="11281"/>
    <col width="1.33203125" customWidth="1" style="1064" min="11282" max="11282"/>
    <col width="9.109375" customWidth="1" style="1064" min="11283" max="11525"/>
    <col width="4.6640625" customWidth="1" style="1064" min="11526" max="11526"/>
    <col width="16.109375" customWidth="1" style="1064" min="11527" max="11527"/>
    <col width="22.33203125" customWidth="1" style="1064" min="11528" max="11528"/>
    <col hidden="1" width="13" customWidth="1" style="1064" min="11529" max="11529"/>
    <col width="12.5546875" customWidth="1" style="1064" min="11530" max="11530"/>
    <col width="14.44140625" customWidth="1" style="1064" min="11531" max="11531"/>
    <col width="12.44140625" customWidth="1" style="1064" min="11532" max="11532"/>
    <col width="14.109375" customWidth="1" style="1064" min="11533" max="11533"/>
    <col width="11.109375" customWidth="1" style="1064" min="11534" max="11534"/>
    <col width="16" customWidth="1" style="1064" min="11535" max="11535"/>
    <col width="3.109375" customWidth="1" style="1064" min="11536" max="11536"/>
    <col width="9.109375" customWidth="1" style="1064" min="11537" max="11537"/>
    <col width="1.33203125" customWidth="1" style="1064" min="11538" max="11538"/>
    <col width="9.109375" customWidth="1" style="1064" min="11539" max="11781"/>
    <col width="4.6640625" customWidth="1" style="1064" min="11782" max="11782"/>
    <col width="16.109375" customWidth="1" style="1064" min="11783" max="11783"/>
    <col width="22.33203125" customWidth="1" style="1064" min="11784" max="11784"/>
    <col hidden="1" width="13" customWidth="1" style="1064" min="11785" max="11785"/>
    <col width="12.5546875" customWidth="1" style="1064" min="11786" max="11786"/>
    <col width="14.44140625" customWidth="1" style="1064" min="11787" max="11787"/>
    <col width="12.44140625" customWidth="1" style="1064" min="11788" max="11788"/>
    <col width="14.109375" customWidth="1" style="1064" min="11789" max="11789"/>
    <col width="11.109375" customWidth="1" style="1064" min="11790" max="11790"/>
    <col width="16" customWidth="1" style="1064" min="11791" max="11791"/>
    <col width="3.109375" customWidth="1" style="1064" min="11792" max="11792"/>
    <col width="9.109375" customWidth="1" style="1064" min="11793" max="11793"/>
    <col width="1.33203125" customWidth="1" style="1064" min="11794" max="11794"/>
    <col width="9.109375" customWidth="1" style="1064" min="11795" max="12037"/>
    <col width="4.6640625" customWidth="1" style="1064" min="12038" max="12038"/>
    <col width="16.109375" customWidth="1" style="1064" min="12039" max="12039"/>
    <col width="22.33203125" customWidth="1" style="1064" min="12040" max="12040"/>
    <col hidden="1" width="13" customWidth="1" style="1064" min="12041" max="12041"/>
    <col width="12.5546875" customWidth="1" style="1064" min="12042" max="12042"/>
    <col width="14.44140625" customWidth="1" style="1064" min="12043" max="12043"/>
    <col width="12.44140625" customWidth="1" style="1064" min="12044" max="12044"/>
    <col width="14.109375" customWidth="1" style="1064" min="12045" max="12045"/>
    <col width="11.109375" customWidth="1" style="1064" min="12046" max="12046"/>
    <col width="16" customWidth="1" style="1064" min="12047" max="12047"/>
    <col width="3.109375" customWidth="1" style="1064" min="12048" max="12048"/>
    <col width="9.109375" customWidth="1" style="1064" min="12049" max="12049"/>
    <col width="1.33203125" customWidth="1" style="1064" min="12050" max="12050"/>
    <col width="9.109375" customWidth="1" style="1064" min="12051" max="12293"/>
    <col width="4.6640625" customWidth="1" style="1064" min="12294" max="12294"/>
    <col width="16.109375" customWidth="1" style="1064" min="12295" max="12295"/>
    <col width="22.33203125" customWidth="1" style="1064" min="12296" max="12296"/>
    <col hidden="1" width="13" customWidth="1" style="1064" min="12297" max="12297"/>
    <col width="12.5546875" customWidth="1" style="1064" min="12298" max="12298"/>
    <col width="14.44140625" customWidth="1" style="1064" min="12299" max="12299"/>
    <col width="12.44140625" customWidth="1" style="1064" min="12300" max="12300"/>
    <col width="14.109375" customWidth="1" style="1064" min="12301" max="12301"/>
    <col width="11.109375" customWidth="1" style="1064" min="12302" max="12302"/>
    <col width="16" customWidth="1" style="1064" min="12303" max="12303"/>
    <col width="3.109375" customWidth="1" style="1064" min="12304" max="12304"/>
    <col width="9.109375" customWidth="1" style="1064" min="12305" max="12305"/>
    <col width="1.33203125" customWidth="1" style="1064" min="12306" max="12306"/>
    <col width="9.109375" customWidth="1" style="1064" min="12307" max="12549"/>
    <col width="4.6640625" customWidth="1" style="1064" min="12550" max="12550"/>
    <col width="16.109375" customWidth="1" style="1064" min="12551" max="12551"/>
    <col width="22.33203125" customWidth="1" style="1064" min="12552" max="12552"/>
    <col hidden="1" width="13" customWidth="1" style="1064" min="12553" max="12553"/>
    <col width="12.5546875" customWidth="1" style="1064" min="12554" max="12554"/>
    <col width="14.44140625" customWidth="1" style="1064" min="12555" max="12555"/>
    <col width="12.44140625" customWidth="1" style="1064" min="12556" max="12556"/>
    <col width="14.109375" customWidth="1" style="1064" min="12557" max="12557"/>
    <col width="11.109375" customWidth="1" style="1064" min="12558" max="12558"/>
    <col width="16" customWidth="1" style="1064" min="12559" max="12559"/>
    <col width="3.109375" customWidth="1" style="1064" min="12560" max="12560"/>
    <col width="9.109375" customWidth="1" style="1064" min="12561" max="12561"/>
    <col width="1.33203125" customWidth="1" style="1064" min="12562" max="12562"/>
    <col width="9.109375" customWidth="1" style="1064" min="12563" max="12805"/>
    <col width="4.6640625" customWidth="1" style="1064" min="12806" max="12806"/>
    <col width="16.109375" customWidth="1" style="1064" min="12807" max="12807"/>
    <col width="22.33203125" customWidth="1" style="1064" min="12808" max="12808"/>
    <col hidden="1" width="13" customWidth="1" style="1064" min="12809" max="12809"/>
    <col width="12.5546875" customWidth="1" style="1064" min="12810" max="12810"/>
    <col width="14.44140625" customWidth="1" style="1064" min="12811" max="12811"/>
    <col width="12.44140625" customWidth="1" style="1064" min="12812" max="12812"/>
    <col width="14.109375" customWidth="1" style="1064" min="12813" max="12813"/>
    <col width="11.109375" customWidth="1" style="1064" min="12814" max="12814"/>
    <col width="16" customWidth="1" style="1064" min="12815" max="12815"/>
    <col width="3.109375" customWidth="1" style="1064" min="12816" max="12816"/>
    <col width="9.109375" customWidth="1" style="1064" min="12817" max="12817"/>
    <col width="1.33203125" customWidth="1" style="1064" min="12818" max="12818"/>
    <col width="9.109375" customWidth="1" style="1064" min="12819" max="13061"/>
    <col width="4.6640625" customWidth="1" style="1064" min="13062" max="13062"/>
    <col width="16.109375" customWidth="1" style="1064" min="13063" max="13063"/>
    <col width="22.33203125" customWidth="1" style="1064" min="13064" max="13064"/>
    <col hidden="1" width="13" customWidth="1" style="1064" min="13065" max="13065"/>
    <col width="12.5546875" customWidth="1" style="1064" min="13066" max="13066"/>
    <col width="14.44140625" customWidth="1" style="1064" min="13067" max="13067"/>
    <col width="12.44140625" customWidth="1" style="1064" min="13068" max="13068"/>
    <col width="14.109375" customWidth="1" style="1064" min="13069" max="13069"/>
    <col width="11.109375" customWidth="1" style="1064" min="13070" max="13070"/>
    <col width="16" customWidth="1" style="1064" min="13071" max="13071"/>
    <col width="3.109375" customWidth="1" style="1064" min="13072" max="13072"/>
    <col width="9.109375" customWidth="1" style="1064" min="13073" max="13073"/>
    <col width="1.33203125" customWidth="1" style="1064" min="13074" max="13074"/>
    <col width="9.109375" customWidth="1" style="1064" min="13075" max="13317"/>
    <col width="4.6640625" customWidth="1" style="1064" min="13318" max="13318"/>
    <col width="16.109375" customWidth="1" style="1064" min="13319" max="13319"/>
    <col width="22.33203125" customWidth="1" style="1064" min="13320" max="13320"/>
    <col hidden="1" width="13" customWidth="1" style="1064" min="13321" max="13321"/>
    <col width="12.5546875" customWidth="1" style="1064" min="13322" max="13322"/>
    <col width="14.44140625" customWidth="1" style="1064" min="13323" max="13323"/>
    <col width="12.44140625" customWidth="1" style="1064" min="13324" max="13324"/>
    <col width="14.109375" customWidth="1" style="1064" min="13325" max="13325"/>
    <col width="11.109375" customWidth="1" style="1064" min="13326" max="13326"/>
    <col width="16" customWidth="1" style="1064" min="13327" max="13327"/>
    <col width="3.109375" customWidth="1" style="1064" min="13328" max="13328"/>
    <col width="9.109375" customWidth="1" style="1064" min="13329" max="13329"/>
    <col width="1.33203125" customWidth="1" style="1064" min="13330" max="13330"/>
    <col width="9.109375" customWidth="1" style="1064" min="13331" max="13573"/>
    <col width="4.6640625" customWidth="1" style="1064" min="13574" max="13574"/>
    <col width="16.109375" customWidth="1" style="1064" min="13575" max="13575"/>
    <col width="22.33203125" customWidth="1" style="1064" min="13576" max="13576"/>
    <col hidden="1" width="13" customWidth="1" style="1064" min="13577" max="13577"/>
    <col width="12.5546875" customWidth="1" style="1064" min="13578" max="13578"/>
    <col width="14.44140625" customWidth="1" style="1064" min="13579" max="13579"/>
    <col width="12.44140625" customWidth="1" style="1064" min="13580" max="13580"/>
    <col width="14.109375" customWidth="1" style="1064" min="13581" max="13581"/>
    <col width="11.109375" customWidth="1" style="1064" min="13582" max="13582"/>
    <col width="16" customWidth="1" style="1064" min="13583" max="13583"/>
    <col width="3.109375" customWidth="1" style="1064" min="13584" max="13584"/>
    <col width="9.109375" customWidth="1" style="1064" min="13585" max="13585"/>
    <col width="1.33203125" customWidth="1" style="1064" min="13586" max="13586"/>
    <col width="9.109375" customWidth="1" style="1064" min="13587" max="13829"/>
    <col width="4.6640625" customWidth="1" style="1064" min="13830" max="13830"/>
    <col width="16.109375" customWidth="1" style="1064" min="13831" max="13831"/>
    <col width="22.33203125" customWidth="1" style="1064" min="13832" max="13832"/>
    <col hidden="1" width="13" customWidth="1" style="1064" min="13833" max="13833"/>
    <col width="12.5546875" customWidth="1" style="1064" min="13834" max="13834"/>
    <col width="14.44140625" customWidth="1" style="1064" min="13835" max="13835"/>
    <col width="12.44140625" customWidth="1" style="1064" min="13836" max="13836"/>
    <col width="14.109375" customWidth="1" style="1064" min="13837" max="13837"/>
    <col width="11.109375" customWidth="1" style="1064" min="13838" max="13838"/>
    <col width="16" customWidth="1" style="1064" min="13839" max="13839"/>
    <col width="3.109375" customWidth="1" style="1064" min="13840" max="13840"/>
    <col width="9.109375" customWidth="1" style="1064" min="13841" max="13841"/>
    <col width="1.33203125" customWidth="1" style="1064" min="13842" max="13842"/>
    <col width="9.109375" customWidth="1" style="1064" min="13843" max="14085"/>
    <col width="4.6640625" customWidth="1" style="1064" min="14086" max="14086"/>
    <col width="16.109375" customWidth="1" style="1064" min="14087" max="14087"/>
    <col width="22.33203125" customWidth="1" style="1064" min="14088" max="14088"/>
    <col hidden="1" width="13" customWidth="1" style="1064" min="14089" max="14089"/>
    <col width="12.5546875" customWidth="1" style="1064" min="14090" max="14090"/>
    <col width="14.44140625" customWidth="1" style="1064" min="14091" max="14091"/>
    <col width="12.44140625" customWidth="1" style="1064" min="14092" max="14092"/>
    <col width="14.109375" customWidth="1" style="1064" min="14093" max="14093"/>
    <col width="11.109375" customWidth="1" style="1064" min="14094" max="14094"/>
    <col width="16" customWidth="1" style="1064" min="14095" max="14095"/>
    <col width="3.109375" customWidth="1" style="1064" min="14096" max="14096"/>
    <col width="9.109375" customWidth="1" style="1064" min="14097" max="14097"/>
    <col width="1.33203125" customWidth="1" style="1064" min="14098" max="14098"/>
    <col width="9.109375" customWidth="1" style="1064" min="14099" max="14341"/>
    <col width="4.6640625" customWidth="1" style="1064" min="14342" max="14342"/>
    <col width="16.109375" customWidth="1" style="1064" min="14343" max="14343"/>
    <col width="22.33203125" customWidth="1" style="1064" min="14344" max="14344"/>
    <col hidden="1" width="13" customWidth="1" style="1064" min="14345" max="14345"/>
    <col width="12.5546875" customWidth="1" style="1064" min="14346" max="14346"/>
    <col width="14.44140625" customWidth="1" style="1064" min="14347" max="14347"/>
    <col width="12.44140625" customWidth="1" style="1064" min="14348" max="14348"/>
    <col width="14.109375" customWidth="1" style="1064" min="14349" max="14349"/>
    <col width="11.109375" customWidth="1" style="1064" min="14350" max="14350"/>
    <col width="16" customWidth="1" style="1064" min="14351" max="14351"/>
    <col width="3.109375" customWidth="1" style="1064" min="14352" max="14352"/>
    <col width="9.109375" customWidth="1" style="1064" min="14353" max="14353"/>
    <col width="1.33203125" customWidth="1" style="1064" min="14354" max="14354"/>
    <col width="9.109375" customWidth="1" style="1064" min="14355" max="14597"/>
    <col width="4.6640625" customWidth="1" style="1064" min="14598" max="14598"/>
    <col width="16.109375" customWidth="1" style="1064" min="14599" max="14599"/>
    <col width="22.33203125" customWidth="1" style="1064" min="14600" max="14600"/>
    <col hidden="1" width="13" customWidth="1" style="1064" min="14601" max="14601"/>
    <col width="12.5546875" customWidth="1" style="1064" min="14602" max="14602"/>
    <col width="14.44140625" customWidth="1" style="1064" min="14603" max="14603"/>
    <col width="12.44140625" customWidth="1" style="1064" min="14604" max="14604"/>
    <col width="14.109375" customWidth="1" style="1064" min="14605" max="14605"/>
    <col width="11.109375" customWidth="1" style="1064" min="14606" max="14606"/>
    <col width="16" customWidth="1" style="1064" min="14607" max="14607"/>
    <col width="3.109375" customWidth="1" style="1064" min="14608" max="14608"/>
    <col width="9.109375" customWidth="1" style="1064" min="14609" max="14609"/>
    <col width="1.33203125" customWidth="1" style="1064" min="14610" max="14610"/>
    <col width="9.109375" customWidth="1" style="1064" min="14611" max="14853"/>
    <col width="4.6640625" customWidth="1" style="1064" min="14854" max="14854"/>
    <col width="16.109375" customWidth="1" style="1064" min="14855" max="14855"/>
    <col width="22.33203125" customWidth="1" style="1064" min="14856" max="14856"/>
    <col hidden="1" width="13" customWidth="1" style="1064" min="14857" max="14857"/>
    <col width="12.5546875" customWidth="1" style="1064" min="14858" max="14858"/>
    <col width="14.44140625" customWidth="1" style="1064" min="14859" max="14859"/>
    <col width="12.44140625" customWidth="1" style="1064" min="14860" max="14860"/>
    <col width="14.109375" customWidth="1" style="1064" min="14861" max="14861"/>
    <col width="11.109375" customWidth="1" style="1064" min="14862" max="14862"/>
    <col width="16" customWidth="1" style="1064" min="14863" max="14863"/>
    <col width="3.109375" customWidth="1" style="1064" min="14864" max="14864"/>
    <col width="9.109375" customWidth="1" style="1064" min="14865" max="14865"/>
    <col width="1.33203125" customWidth="1" style="1064" min="14866" max="14866"/>
    <col width="9.109375" customWidth="1" style="1064" min="14867" max="15109"/>
    <col width="4.6640625" customWidth="1" style="1064" min="15110" max="15110"/>
    <col width="16.109375" customWidth="1" style="1064" min="15111" max="15111"/>
    <col width="22.33203125" customWidth="1" style="1064" min="15112" max="15112"/>
    <col hidden="1" width="13" customWidth="1" style="1064" min="15113" max="15113"/>
    <col width="12.5546875" customWidth="1" style="1064" min="15114" max="15114"/>
    <col width="14.44140625" customWidth="1" style="1064" min="15115" max="15115"/>
    <col width="12.44140625" customWidth="1" style="1064" min="15116" max="15116"/>
    <col width="14.109375" customWidth="1" style="1064" min="15117" max="15117"/>
    <col width="11.109375" customWidth="1" style="1064" min="15118" max="15118"/>
    <col width="16" customWidth="1" style="1064" min="15119" max="15119"/>
    <col width="3.109375" customWidth="1" style="1064" min="15120" max="15120"/>
    <col width="9.109375" customWidth="1" style="1064" min="15121" max="15121"/>
    <col width="1.33203125" customWidth="1" style="1064" min="15122" max="15122"/>
    <col width="9.109375" customWidth="1" style="1064" min="15123" max="15365"/>
    <col width="4.6640625" customWidth="1" style="1064" min="15366" max="15366"/>
    <col width="16.109375" customWidth="1" style="1064" min="15367" max="15367"/>
    <col width="22.33203125" customWidth="1" style="1064" min="15368" max="15368"/>
    <col hidden="1" width="13" customWidth="1" style="1064" min="15369" max="15369"/>
    <col width="12.5546875" customWidth="1" style="1064" min="15370" max="15370"/>
    <col width="14.44140625" customWidth="1" style="1064" min="15371" max="15371"/>
    <col width="12.44140625" customWidth="1" style="1064" min="15372" max="15372"/>
    <col width="14.109375" customWidth="1" style="1064" min="15373" max="15373"/>
    <col width="11.109375" customWidth="1" style="1064" min="15374" max="15374"/>
    <col width="16" customWidth="1" style="1064" min="15375" max="15375"/>
    <col width="3.109375" customWidth="1" style="1064" min="15376" max="15376"/>
    <col width="9.109375" customWidth="1" style="1064" min="15377" max="15377"/>
    <col width="1.33203125" customWidth="1" style="1064" min="15378" max="15378"/>
    <col width="9.109375" customWidth="1" style="1064" min="15379" max="15621"/>
    <col width="4.6640625" customWidth="1" style="1064" min="15622" max="15622"/>
    <col width="16.109375" customWidth="1" style="1064" min="15623" max="15623"/>
    <col width="22.33203125" customWidth="1" style="1064" min="15624" max="15624"/>
    <col hidden="1" width="13" customWidth="1" style="1064" min="15625" max="15625"/>
    <col width="12.5546875" customWidth="1" style="1064" min="15626" max="15626"/>
    <col width="14.44140625" customWidth="1" style="1064" min="15627" max="15627"/>
    <col width="12.44140625" customWidth="1" style="1064" min="15628" max="15628"/>
    <col width="14.109375" customWidth="1" style="1064" min="15629" max="15629"/>
    <col width="11.109375" customWidth="1" style="1064" min="15630" max="15630"/>
    <col width="16" customWidth="1" style="1064" min="15631" max="15631"/>
    <col width="3.109375" customWidth="1" style="1064" min="15632" max="15632"/>
    <col width="9.109375" customWidth="1" style="1064" min="15633" max="15633"/>
    <col width="1.33203125" customWidth="1" style="1064" min="15634" max="15634"/>
    <col width="9.109375" customWidth="1" style="1064" min="15635" max="15877"/>
    <col width="4.6640625" customWidth="1" style="1064" min="15878" max="15878"/>
    <col width="16.109375" customWidth="1" style="1064" min="15879" max="15879"/>
    <col width="22.33203125" customWidth="1" style="1064" min="15880" max="15880"/>
    <col hidden="1" width="13" customWidth="1" style="1064" min="15881" max="15881"/>
    <col width="12.5546875" customWidth="1" style="1064" min="15882" max="15882"/>
    <col width="14.44140625" customWidth="1" style="1064" min="15883" max="15883"/>
    <col width="12.44140625" customWidth="1" style="1064" min="15884" max="15884"/>
    <col width="14.109375" customWidth="1" style="1064" min="15885" max="15885"/>
    <col width="11.109375" customWidth="1" style="1064" min="15886" max="15886"/>
    <col width="16" customWidth="1" style="1064" min="15887" max="15887"/>
    <col width="3.109375" customWidth="1" style="1064" min="15888" max="15888"/>
    <col width="9.109375" customWidth="1" style="1064" min="15889" max="15889"/>
    <col width="1.33203125" customWidth="1" style="1064" min="15890" max="15890"/>
    <col width="9.109375" customWidth="1" style="1064" min="15891" max="16133"/>
    <col width="4.6640625" customWidth="1" style="1064" min="16134" max="16134"/>
    <col width="16.109375" customWidth="1" style="1064" min="16135" max="16135"/>
    <col width="22.33203125" customWidth="1" style="1064" min="16136" max="16136"/>
    <col hidden="1" width="13" customWidth="1" style="1064" min="16137" max="16137"/>
    <col width="12.5546875" customWidth="1" style="1064" min="16138" max="16138"/>
    <col width="14.44140625" customWidth="1" style="1064" min="16139" max="16139"/>
    <col width="12.44140625" customWidth="1" style="1064" min="16140" max="16140"/>
    <col width="14.109375" customWidth="1" style="1064" min="16141" max="16141"/>
    <col width="11.109375" customWidth="1" style="1064" min="16142" max="16142"/>
    <col width="16" customWidth="1" style="1064" min="16143" max="16143"/>
    <col width="3.109375" customWidth="1" style="1064" min="16144" max="16144"/>
    <col width="9.109375" customWidth="1" style="1064" min="16145" max="16145"/>
    <col width="1.33203125" customWidth="1" style="1064" min="16146" max="16146"/>
    <col width="9.109375" customWidth="1" style="1064" min="16147" max="16384"/>
  </cols>
  <sheetData>
    <row r="1">
      <c r="A1" s="1212" t="inlineStr">
        <is>
          <t>DB Terra Chile Holdco SpA</t>
        </is>
      </c>
      <c r="B1" s="267" t="n"/>
      <c r="D1" s="267" t="n"/>
      <c r="E1" s="267" t="n"/>
      <c r="F1" s="267" t="n"/>
      <c r="G1" s="267" t="n"/>
      <c r="H1" s="267" t="n"/>
      <c r="I1" s="267" t="n"/>
      <c r="J1" s="267" t="n"/>
      <c r="K1" s="267" t="n"/>
      <c r="L1" s="267" t="n"/>
      <c r="N1" s="1066" t="n"/>
    </row>
    <row r="2">
      <c r="A2" s="1213" t="inlineStr">
        <is>
          <t>Determinación de la renta líquida</t>
        </is>
      </c>
      <c r="B2" s="267" t="n"/>
      <c r="D2" s="267" t="n"/>
      <c r="E2" s="267" t="n"/>
      <c r="F2" s="267" t="n"/>
      <c r="G2" s="267" t="n"/>
      <c r="H2" s="267" t="n"/>
      <c r="I2" s="267" t="n"/>
      <c r="J2" s="267" t="n"/>
      <c r="K2" s="267" t="n"/>
      <c r="L2" s="267" t="n"/>
      <c r="N2" s="1066" t="n"/>
    </row>
    <row r="3">
      <c r="A3" s="1214" t="inlineStr">
        <is>
          <t>Al 31 de diciembre de 2023</t>
        </is>
      </c>
      <c r="B3" s="267" t="n"/>
      <c r="D3" s="267" t="n"/>
      <c r="E3" s="1215" t="inlineStr">
        <is>
          <t>FUENTE:</t>
        </is>
      </c>
      <c r="F3" s="399" t="inlineStr">
        <is>
          <t>[Provisión renta Holdco 12.2023_v8_tasacion_tasa efectiva (5).xlsx]</t>
        </is>
      </c>
      <c r="G3" s="399" t="n"/>
      <c r="H3" s="399" t="n"/>
      <c r="I3" s="399" t="n"/>
      <c r="J3" s="399" t="n"/>
      <c r="K3" s="267" t="n"/>
      <c r="L3" s="267" t="n"/>
      <c r="N3" s="1066" t="n"/>
    </row>
    <row r="4">
      <c r="A4" s="271" t="n"/>
      <c r="B4" s="267" t="n"/>
      <c r="D4" s="267" t="n"/>
      <c r="E4" s="267" t="n"/>
      <c r="F4" s="267" t="n"/>
      <c r="G4" s="267" t="n"/>
      <c r="H4" s="267" t="n"/>
      <c r="I4" s="267" t="n"/>
      <c r="J4" s="267" t="n"/>
      <c r="K4" s="267" t="n"/>
      <c r="L4" s="267" t="n"/>
      <c r="N4" s="1066" t="n"/>
    </row>
    <row r="5">
      <c r="A5" s="267" t="n"/>
      <c r="B5" s="267" t="n"/>
      <c r="C5" s="27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  <c r="N5" s="1066" t="n"/>
    </row>
    <row r="6">
      <c r="A6" s="1216" t="inlineStr">
        <is>
          <t>A)</t>
        </is>
      </c>
      <c r="B6" s="274" t="n"/>
      <c r="C6" s="1217" t="inlineStr">
        <is>
          <t>Activo fijo balance vs kárdex</t>
        </is>
      </c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N6" s="1066" t="n"/>
    </row>
    <row r="7">
      <c r="A7" s="267" t="n"/>
      <c r="B7" s="267" t="n"/>
      <c r="C7" s="276" t="inlineStr">
        <is>
          <t>Al 31.12.2023</t>
        </is>
      </c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  <c r="N7" s="1066" t="n"/>
    </row>
    <row r="8">
      <c r="A8" s="267" t="n"/>
      <c r="B8" s="267" t="n"/>
      <c r="C8" s="277" t="n"/>
      <c r="D8" s="277" t="n"/>
      <c r="E8" s="277" t="n"/>
      <c r="F8" s="278" t="n"/>
      <c r="G8" s="267" t="n"/>
      <c r="H8" s="267" t="n"/>
      <c r="I8" s="267" t="n"/>
      <c r="J8" s="267" t="n"/>
      <c r="K8" s="267" t="n"/>
      <c r="L8" s="267" t="n"/>
      <c r="N8" s="1066" t="n"/>
      <c r="O8" s="1065" t="inlineStr">
        <is>
          <t xml:space="preserve"> </t>
        </is>
      </c>
    </row>
    <row r="9" ht="14.4" customHeight="1" s="779">
      <c r="A9" s="267" t="n"/>
      <c r="B9" s="267" t="n"/>
      <c r="C9" s="277" t="n"/>
      <c r="D9" s="277" t="n"/>
      <c r="E9" s="823" t="n">
        <v>2022</v>
      </c>
      <c r="F9" s="824" t="n"/>
      <c r="G9" s="824" t="n"/>
      <c r="H9" s="279" t="n"/>
      <c r="I9" s="823" t="n">
        <v>2023</v>
      </c>
      <c r="J9" s="824" t="n"/>
      <c r="K9" s="824" t="n"/>
      <c r="L9" s="267" t="n"/>
      <c r="N9" s="1066" t="n"/>
    </row>
    <row r="10">
      <c r="A10" s="267" t="n"/>
      <c r="B10" s="267" t="n"/>
      <c r="C10" s="277" t="n"/>
      <c r="D10" s="277" t="n"/>
      <c r="E10" s="1217" t="inlineStr">
        <is>
          <t>Activo</t>
        </is>
      </c>
      <c r="F10" s="281" t="n"/>
      <c r="G10" s="280" t="inlineStr">
        <is>
          <t>Depreciación</t>
        </is>
      </c>
      <c r="H10" s="282" t="n"/>
      <c r="I10" s="280" t="inlineStr">
        <is>
          <t>Activo</t>
        </is>
      </c>
      <c r="J10" s="281" t="n"/>
      <c r="K10" s="280" t="inlineStr">
        <is>
          <t>Depreciación</t>
        </is>
      </c>
      <c r="L10" s="267" t="n"/>
      <c r="N10" s="1066" t="n"/>
    </row>
    <row r="11" ht="12.75" customHeight="1" s="779">
      <c r="A11" s="267" t="n"/>
      <c r="B11" s="267" t="n"/>
      <c r="C11" s="277" t="n"/>
      <c r="D11" s="277" t="n"/>
      <c r="E11" s="1217" t="inlineStr">
        <is>
          <t>Bruto</t>
        </is>
      </c>
      <c r="F11" s="281" t="n"/>
      <c r="G11" s="280" t="inlineStr">
        <is>
          <t>Acumulada</t>
        </is>
      </c>
      <c r="H11" s="282" t="n"/>
      <c r="I11" s="280" t="inlineStr">
        <is>
          <t>Bruto</t>
        </is>
      </c>
      <c r="J11" s="281" t="n"/>
      <c r="K11" s="280" t="inlineStr">
        <is>
          <t>Acumulada</t>
        </is>
      </c>
      <c r="L11" s="267" t="n"/>
      <c r="N11" s="1066" t="n"/>
      <c r="P11" s="1067" t="inlineStr">
        <is>
          <t>Cuenta contable</t>
        </is>
      </c>
      <c r="Q11" s="1068" t="inlineStr">
        <is>
          <t>Financiero</t>
        </is>
      </c>
      <c r="R11" s="784" t="n"/>
      <c r="S11" s="785" t="n"/>
      <c r="T11" s="1068" t="inlineStr">
        <is>
          <t>Tributario</t>
        </is>
      </c>
      <c r="U11" s="784" t="n"/>
      <c r="V11" s="785" t="n"/>
      <c r="W11" s="1069" t="inlineStr">
        <is>
          <t>Diferencia Adiciones</t>
        </is>
      </c>
      <c r="X11" s="1070" t="n"/>
    </row>
    <row r="12" ht="10.8" customHeight="1" s="779" thickBot="1">
      <c r="A12" s="267" t="n"/>
      <c r="B12" s="267" t="n"/>
      <c r="C12" s="277" t="n"/>
      <c r="D12" s="277" t="n"/>
      <c r="E12" s="285" t="inlineStr">
        <is>
          <t>$</t>
        </is>
      </c>
      <c r="F12" s="286" t="n"/>
      <c r="G12" s="285" t="inlineStr">
        <is>
          <t>$</t>
        </is>
      </c>
      <c r="H12" s="287" t="n"/>
      <c r="I12" s="285" t="inlineStr">
        <is>
          <t>$</t>
        </is>
      </c>
      <c r="J12" s="286" t="n"/>
      <c r="K12" s="285" t="inlineStr">
        <is>
          <t>$</t>
        </is>
      </c>
      <c r="L12" s="267" t="n"/>
      <c r="N12" s="1066" t="n"/>
      <c r="P12" s="808" t="n"/>
      <c r="Q12" s="1068" t="inlineStr">
        <is>
          <t>Adiciones</t>
        </is>
      </c>
      <c r="R12" s="1068" t="inlineStr">
        <is>
          <t>Reclasificaciones</t>
        </is>
      </c>
      <c r="S12" s="1068" t="inlineStr">
        <is>
          <t>Traspasos</t>
        </is>
      </c>
      <c r="T12" s="1068" t="inlineStr">
        <is>
          <t>Adiciones</t>
        </is>
      </c>
      <c r="U12" s="1068" t="inlineStr">
        <is>
          <t>Reclasificaciones</t>
        </is>
      </c>
      <c r="V12" s="1068" t="inlineStr">
        <is>
          <t>Traspasos</t>
        </is>
      </c>
      <c r="W12" s="808" t="n"/>
      <c r="X12" s="1070" t="n"/>
    </row>
    <row r="13">
      <c r="A13" s="267" t="n"/>
      <c r="B13" s="267" t="n"/>
      <c r="C13" s="277" t="n"/>
      <c r="D13" s="277" t="n"/>
      <c r="E13" s="277" t="n"/>
      <c r="F13" s="267" t="n"/>
      <c r="G13" s="288" t="inlineStr">
        <is>
          <t>$</t>
        </is>
      </c>
      <c r="H13" s="267" t="n"/>
      <c r="I13" s="267" t="n"/>
      <c r="J13" s="267" t="n"/>
      <c r="K13" s="267" t="n"/>
      <c r="L13" s="267" t="n"/>
      <c r="N13" s="1066" t="n"/>
      <c r="Q13" s="1070" t="inlineStr">
        <is>
          <t>$</t>
        </is>
      </c>
      <c r="R13" s="1070" t="inlineStr">
        <is>
          <t>$</t>
        </is>
      </c>
      <c r="S13" s="1070" t="inlineStr">
        <is>
          <t>$</t>
        </is>
      </c>
      <c r="T13" s="1070" t="inlineStr">
        <is>
          <t>$</t>
        </is>
      </c>
      <c r="U13" s="1070" t="inlineStr">
        <is>
          <t>$</t>
        </is>
      </c>
      <c r="V13" s="1070" t="inlineStr">
        <is>
          <t>$</t>
        </is>
      </c>
      <c r="W13" s="1070" t="inlineStr">
        <is>
          <t>$</t>
        </is>
      </c>
      <c r="X13" s="1070" t="n"/>
    </row>
    <row r="14">
      <c r="A14" s="267" t="n"/>
      <c r="B14" s="289" t="n">
        <v>1209301</v>
      </c>
      <c r="C14" s="1218" t="inlineStr">
        <is>
          <t xml:space="preserve">REDES DE TRANSMISION			</t>
        </is>
      </c>
      <c r="D14" s="290" t="n"/>
      <c r="E14" s="290" t="n"/>
      <c r="F14" s="290" t="n"/>
      <c r="G14" s="1071" t="n"/>
      <c r="H14" s="290" t="n"/>
      <c r="I14" s="1071" t="n">
        <v>433656923676</v>
      </c>
      <c r="J14" s="290" t="n"/>
      <c r="K14" s="1071" t="n">
        <v>-34801127513</v>
      </c>
      <c r="L14" s="267" t="n"/>
      <c r="M14" s="1071" t="n">
        <v>433656923676</v>
      </c>
      <c r="N14" s="1066" t="n"/>
      <c r="P14" s="290" t="inlineStr">
        <is>
          <t xml:space="preserve">REDES DE TRANSMISION			</t>
        </is>
      </c>
      <c r="Q14" s="1071" t="n"/>
      <c r="R14" s="1071" t="n">
        <v>18120056506</v>
      </c>
      <c r="S14" s="1071" t="n"/>
      <c r="T14" s="1071" t="n"/>
      <c r="U14" s="1071" t="n"/>
      <c r="V14" s="1071" t="n"/>
      <c r="W14" s="1071" t="n">
        <v>0</v>
      </c>
      <c r="Z14" s="1064" t="inlineStr">
        <is>
          <t xml:space="preserve">        </t>
        </is>
      </c>
    </row>
    <row r="15">
      <c r="A15" s="290" t="n"/>
      <c r="B15" s="289" t="n">
        <v>1209302</v>
      </c>
      <c r="C15" s="1218" t="inlineStr">
        <is>
          <t xml:space="preserve">PLANTAS TRANSMISORAS			</t>
        </is>
      </c>
      <c r="D15" s="290" t="n"/>
      <c r="E15" s="290" t="n"/>
      <c r="F15" s="290" t="n"/>
      <c r="G15" s="1071" t="n"/>
      <c r="H15" s="290" t="n"/>
      <c r="I15" s="1071" t="n">
        <v>52354834326</v>
      </c>
      <c r="J15" s="290" t="n"/>
      <c r="K15" s="1071" t="n">
        <v>-11088829847</v>
      </c>
      <c r="L15" s="290" t="n"/>
      <c r="M15" s="1071" t="n">
        <v>52354834326</v>
      </c>
      <c r="N15" s="1066" t="n"/>
      <c r="P15" s="290" t="inlineStr">
        <is>
          <t xml:space="preserve">PLANTAS TRANSMISORAS			</t>
        </is>
      </c>
      <c r="Q15" s="1071" t="n"/>
      <c r="R15" s="1071" t="n">
        <v>8315982212</v>
      </c>
      <c r="S15" s="1071" t="n"/>
      <c r="T15" s="1071" t="n"/>
      <c r="U15" s="1071" t="n"/>
      <c r="V15" s="1071" t="n"/>
      <c r="W15" s="1071" t="n">
        <v>0</v>
      </c>
    </row>
    <row r="16">
      <c r="A16" s="267" t="n"/>
      <c r="B16" s="289" t="n">
        <v>1209303</v>
      </c>
      <c r="C16" s="1218" t="inlineStr">
        <is>
          <t xml:space="preserve">EQUIPOS PORTATILES			</t>
        </is>
      </c>
      <c r="D16" s="290" t="n"/>
      <c r="E16" s="290" t="n"/>
      <c r="F16" s="290" t="n"/>
      <c r="G16" s="1071" t="n"/>
      <c r="H16" s="290" t="n"/>
      <c r="I16" s="290" t="n">
        <v>1480720379</v>
      </c>
      <c r="J16" s="290" t="n"/>
      <c r="K16" s="1071" t="n">
        <v>-968976986</v>
      </c>
      <c r="L16" s="267" t="n"/>
      <c r="M16" s="1071" t="n">
        <v>1480720379</v>
      </c>
      <c r="N16" s="1066" t="n"/>
      <c r="P16" s="290" t="inlineStr">
        <is>
          <t xml:space="preserve">EQUIPOS PORTATILES			</t>
        </is>
      </c>
      <c r="Q16" s="1071" t="n">
        <v>81942834</v>
      </c>
      <c r="R16" s="1071" t="n"/>
      <c r="S16" s="1071" t="n"/>
      <c r="T16" s="1071" t="n">
        <v>81942834</v>
      </c>
      <c r="U16" s="1071" t="n"/>
      <c r="V16" s="1071" t="n"/>
      <c r="W16" s="1071" t="n">
        <v>0</v>
      </c>
    </row>
    <row r="17">
      <c r="B17" s="289" t="n">
        <v>1209304</v>
      </c>
      <c r="C17" s="1218" t="inlineStr">
        <is>
          <t>ENLACES</t>
        </is>
      </c>
      <c r="D17" s="290" t="n"/>
      <c r="E17" s="290" t="n"/>
      <c r="F17" s="290" t="n"/>
      <c r="G17" s="1071" t="n"/>
      <c r="H17" s="290" t="n"/>
      <c r="I17" s="290" t="n">
        <v>142562660100</v>
      </c>
      <c r="J17" s="290" t="n"/>
      <c r="K17" s="1071" t="n">
        <v>-9045434415</v>
      </c>
      <c r="L17" s="267" t="n"/>
      <c r="M17" s="1071" t="n">
        <v>142562660100</v>
      </c>
      <c r="N17" s="1066" t="n"/>
      <c r="P17" s="290" t="inlineStr">
        <is>
          <t>ENLACES</t>
        </is>
      </c>
      <c r="Q17" s="1071" t="n"/>
      <c r="R17" s="1071" t="n">
        <v>4052625500</v>
      </c>
      <c r="S17" s="1071" t="n"/>
      <c r="T17" s="1071" t="n"/>
      <c r="U17" s="1071" t="n"/>
      <c r="V17" s="1071" t="n"/>
      <c r="W17" s="1071" t="n">
        <v>0</v>
      </c>
      <c r="Z17" s="1064" t="inlineStr">
        <is>
          <t xml:space="preserve">        </t>
        </is>
      </c>
    </row>
    <row r="18">
      <c r="B18" s="289" t="n">
        <v>1209305</v>
      </c>
      <c r="C18" s="1218" t="inlineStr">
        <is>
          <t>SERVICIO EMPRESAS</t>
        </is>
      </c>
      <c r="D18" s="292" t="n"/>
      <c r="E18" s="290" t="n"/>
      <c r="F18" s="290" t="n"/>
      <c r="G18" s="1071" t="n"/>
      <c r="H18" s="292" t="n"/>
      <c r="I18" s="290" t="n">
        <v>4615604042</v>
      </c>
      <c r="J18" s="290" t="n"/>
      <c r="K18" s="1071" t="n">
        <v>-1992974864</v>
      </c>
      <c r="L18" s="267" t="n"/>
      <c r="M18" s="1071" t="n">
        <v>4615604042</v>
      </c>
      <c r="N18" s="1066" t="n"/>
      <c r="P18" s="290" t="inlineStr">
        <is>
          <t>SERVICIO EMPRESAS</t>
        </is>
      </c>
      <c r="Q18" s="1071" t="n"/>
      <c r="R18" s="1071" t="n"/>
      <c r="S18" s="1071" t="n"/>
      <c r="T18" s="1071" t="n"/>
      <c r="U18" s="1071" t="n"/>
      <c r="V18" s="1071" t="n"/>
      <c r="W18" s="1071" t="n">
        <v>0</v>
      </c>
    </row>
    <row r="19">
      <c r="B19" s="289" t="n">
        <v>1209306</v>
      </c>
      <c r="C19" s="1218" t="inlineStr">
        <is>
          <t>OLT</t>
        </is>
      </c>
      <c r="D19" s="290" t="n"/>
      <c r="E19" s="290" t="n"/>
      <c r="F19" s="290" t="n"/>
      <c r="G19" s="1071" t="n"/>
      <c r="H19" s="290" t="n"/>
      <c r="I19" s="290" t="n">
        <v>13567567380</v>
      </c>
      <c r="J19" s="290" t="n"/>
      <c r="K19" s="1071" t="n">
        <v>-923920515</v>
      </c>
      <c r="L19" s="267" t="n"/>
      <c r="M19" s="1071" t="n">
        <v>13567567380</v>
      </c>
      <c r="N19" s="1066" t="n"/>
      <c r="P19" s="290" t="inlineStr">
        <is>
          <t>OLT</t>
        </is>
      </c>
      <c r="Q19" s="1071" t="n"/>
      <c r="R19" s="1071" t="n">
        <v>11860799027</v>
      </c>
      <c r="S19" s="1071" t="n"/>
      <c r="T19" s="1071" t="n"/>
      <c r="U19" s="1071" t="n"/>
      <c r="V19" s="1071" t="n"/>
      <c r="W19" s="1071" t="n">
        <v>0</v>
      </c>
      <c r="Z19" s="1064" t="inlineStr">
        <is>
          <t xml:space="preserve">        </t>
        </is>
      </c>
    </row>
    <row r="20">
      <c r="B20" s="289" t="n">
        <v>1209401</v>
      </c>
      <c r="C20" s="1218" t="inlineStr">
        <is>
          <t>MUEBLES Y UTILES</t>
        </is>
      </c>
      <c r="D20" s="290" t="n"/>
      <c r="E20" s="290" t="n"/>
      <c r="F20" s="290" t="n"/>
      <c r="G20" s="1071" t="n"/>
      <c r="H20" s="290" t="n"/>
      <c r="I20" s="290" t="n">
        <v>111219720</v>
      </c>
      <c r="J20" s="290" t="n"/>
      <c r="K20" s="1071" t="n">
        <v>-64645236</v>
      </c>
      <c r="L20" s="267" t="n"/>
      <c r="M20" s="1071" t="n">
        <v>111219720</v>
      </c>
      <c r="N20" s="1066" t="n"/>
      <c r="P20" s="290" t="inlineStr">
        <is>
          <t>MUEBLES Y UTILES</t>
        </is>
      </c>
      <c r="Q20" s="1071" t="n">
        <v>1338218</v>
      </c>
      <c r="R20" s="1071" t="n"/>
      <c r="S20" s="1071" t="n"/>
      <c r="T20" s="1071" t="n">
        <v>1338222</v>
      </c>
      <c r="U20" s="1071" t="n"/>
      <c r="V20" s="1071" t="n"/>
      <c r="W20" s="1071" t="n">
        <v>4</v>
      </c>
      <c r="Z20" s="1064" t="inlineStr">
        <is>
          <t xml:space="preserve">        </t>
        </is>
      </c>
    </row>
    <row r="21">
      <c r="B21" s="289" t="n">
        <v>1209402</v>
      </c>
      <c r="C21" s="1218" t="inlineStr">
        <is>
          <t>EQUIPOS COMPUTACIONALES</t>
        </is>
      </c>
      <c r="D21" s="290" t="n"/>
      <c r="E21" s="290" t="n"/>
      <c r="F21" s="290" t="n"/>
      <c r="G21" s="1071" t="n"/>
      <c r="H21" s="290" t="n"/>
      <c r="I21" s="290" t="n">
        <v>149410016</v>
      </c>
      <c r="J21" s="290" t="n"/>
      <c r="K21" s="1071" t="n">
        <v>-102274839</v>
      </c>
      <c r="L21" s="267" t="n"/>
      <c r="M21" s="1071" t="n">
        <v>149410016</v>
      </c>
      <c r="N21" s="1066" t="n"/>
      <c r="P21" s="290" t="inlineStr">
        <is>
          <t>EQUIPOS COMPUTACIONALES</t>
        </is>
      </c>
      <c r="Q21" s="1071" t="n">
        <v>8175375</v>
      </c>
      <c r="R21" s="1071" t="n"/>
      <c r="S21" s="1071" t="n"/>
      <c r="T21" s="1071" t="n">
        <v>9393846</v>
      </c>
      <c r="U21" s="1071" t="n"/>
      <c r="V21" s="1071" t="n"/>
      <c r="W21" s="1071" t="n">
        <v>1218471</v>
      </c>
      <c r="Z21" s="1064" t="inlineStr">
        <is>
          <t xml:space="preserve">        </t>
        </is>
      </c>
    </row>
    <row r="22">
      <c r="B22" s="289" t="n">
        <v>1209501</v>
      </c>
      <c r="C22" s="1218" t="inlineStr">
        <is>
          <t>VEHICULOS</t>
        </is>
      </c>
      <c r="D22" s="290" t="n"/>
      <c r="E22" s="290" t="n"/>
      <c r="F22" s="290" t="n"/>
      <c r="G22" s="1071" t="n"/>
      <c r="H22" s="290" t="n"/>
      <c r="I22" s="290" t="n">
        <v>443198594</v>
      </c>
      <c r="J22" s="290" t="n"/>
      <c r="K22" s="1071" t="n">
        <v>-332525627</v>
      </c>
      <c r="L22" s="267" t="n"/>
      <c r="M22" s="1071" t="n">
        <v>443198594</v>
      </c>
      <c r="N22" s="1066" t="n"/>
      <c r="P22" s="290" t="inlineStr">
        <is>
          <t>VEHICULOS</t>
        </is>
      </c>
      <c r="Q22" s="1071" t="n">
        <v>20120040</v>
      </c>
      <c r="R22" s="1071" t="n"/>
      <c r="S22" s="1071" t="n"/>
      <c r="T22" s="1071" t="n">
        <v>20120040</v>
      </c>
      <c r="U22" s="1071" t="n"/>
      <c r="V22" s="1071" t="n"/>
      <c r="W22" s="1072" t="n">
        <v>0</v>
      </c>
      <c r="X22" s="1073" t="inlineStr">
        <is>
          <t>Opciones de compra Leasing</t>
        </is>
      </c>
      <c r="Z22" s="1064" t="inlineStr">
        <is>
          <t xml:space="preserve">        </t>
        </is>
      </c>
    </row>
    <row r="23">
      <c r="B23" s="289" t="n">
        <v>1209701</v>
      </c>
      <c r="C23" s="1218" t="inlineStr">
        <is>
          <t>ACTIVOS EN LEASING</t>
        </is>
      </c>
      <c r="D23" s="290" t="n"/>
      <c r="E23" s="290" t="n"/>
      <c r="F23" s="290" t="n"/>
      <c r="G23" s="1071" t="n"/>
      <c r="H23" s="290" t="n"/>
      <c r="I23" s="290" t="n">
        <v>360124805</v>
      </c>
      <c r="J23" s="290" t="n"/>
      <c r="K23" s="1071" t="n"/>
      <c r="L23" s="267" t="n"/>
      <c r="M23" s="1071" t="n">
        <v>360124805</v>
      </c>
      <c r="N23" s="1066" t="n"/>
      <c r="P23" s="290" t="inlineStr">
        <is>
          <t>ACTIVOS EN LEASING</t>
        </is>
      </c>
      <c r="Q23" s="1071" t="n">
        <v>360124805</v>
      </c>
      <c r="R23" s="1071" t="n"/>
      <c r="S23" s="1071" t="n"/>
      <c r="T23" s="1071" t="n"/>
      <c r="U23" s="1071" t="n"/>
      <c r="V23" s="1071" t="n"/>
      <c r="W23" s="1072" t="n">
        <v>-360124805</v>
      </c>
      <c r="X23" s="1073" t="inlineStr">
        <is>
          <t>Nuevo contrato Leasing</t>
        </is>
      </c>
    </row>
    <row r="24">
      <c r="B24" s="289" t="n">
        <v>1209801</v>
      </c>
      <c r="C24" s="1219" t="inlineStr">
        <is>
          <t>OTROS ACTIVOS FIJOS</t>
        </is>
      </c>
      <c r="D24" s="290" t="n"/>
      <c r="E24" s="290" t="n"/>
      <c r="F24" s="290" t="n"/>
      <c r="G24" s="1071" t="n"/>
      <c r="H24" s="290" t="n"/>
      <c r="I24" s="290" t="n">
        <v>327728957</v>
      </c>
      <c r="J24" s="290" t="n"/>
      <c r="K24" s="1071" t="n">
        <v>-180169643</v>
      </c>
      <c r="L24" s="267" t="n"/>
      <c r="M24" s="1071" t="n">
        <v>327728957</v>
      </c>
      <c r="N24" s="1066" t="n"/>
      <c r="P24" s="1065" t="inlineStr">
        <is>
          <t>OTROS ACTIVOS FIJOS</t>
        </is>
      </c>
      <c r="Q24" s="1071" t="n">
        <v>37656951</v>
      </c>
      <c r="R24" s="1071" t="n"/>
      <c r="S24" s="1071" t="n"/>
      <c r="T24" s="1071" t="n">
        <v>37656951</v>
      </c>
      <c r="U24" s="1071" t="n"/>
      <c r="V24" s="1071" t="n"/>
      <c r="W24" s="1072" t="n">
        <v>0</v>
      </c>
      <c r="Z24" s="1064" t="inlineStr">
        <is>
          <t xml:space="preserve">        </t>
        </is>
      </c>
    </row>
    <row r="25">
      <c r="B25" s="289" t="n">
        <v>1209802</v>
      </c>
      <c r="C25" s="1218" t="inlineStr">
        <is>
          <t>OBRAS EN CURSO</t>
        </is>
      </c>
      <c r="D25" s="290" t="n"/>
      <c r="E25" s="290" t="n"/>
      <c r="F25" s="290" t="n"/>
      <c r="G25" s="1071" t="n"/>
      <c r="H25" s="290" t="n"/>
      <c r="I25" s="290" t="n">
        <v>25249206718</v>
      </c>
      <c r="J25" s="290" t="n"/>
      <c r="K25" s="1071" t="n">
        <v>0</v>
      </c>
      <c r="L25" s="267" t="n"/>
      <c r="M25" s="1071" t="n">
        <v>25249206718</v>
      </c>
      <c r="N25" s="1066" t="n"/>
      <c r="P25" s="290" t="inlineStr">
        <is>
          <t>OBRAS EN CURSO</t>
        </is>
      </c>
      <c r="Q25" s="1071" t="n">
        <v>31765879247</v>
      </c>
      <c r="R25" s="1071" t="n">
        <v>-42572180993</v>
      </c>
      <c r="S25" s="1071" t="n"/>
      <c r="T25" s="1071" t="n">
        <v>26957344421</v>
      </c>
      <c r="U25" s="1071" t="n"/>
      <c r="V25" s="1071" t="n"/>
      <c r="W25" s="1071" t="n">
        <v>-4808534826</v>
      </c>
      <c r="X25" s="1074" t="n"/>
    </row>
    <row r="26">
      <c r="B26" s="267" t="n"/>
      <c r="C26" s="296" t="inlineStr">
        <is>
          <t>Saldo s/balance al 31.12.2023</t>
        </is>
      </c>
      <c r="D26" s="296" t="n"/>
      <c r="E26" s="296" t="n">
        <v>0</v>
      </c>
      <c r="F26" s="297" t="inlineStr">
        <is>
          <t>PY</t>
        </is>
      </c>
      <c r="G26" s="1075" t="n">
        <v>0</v>
      </c>
      <c r="H26" s="297" t="inlineStr">
        <is>
          <t>PY</t>
        </is>
      </c>
      <c r="I26" s="296" t="n">
        <v>674879198713</v>
      </c>
      <c r="J26" s="297" t="inlineStr">
        <is>
          <t>TB</t>
        </is>
      </c>
      <c r="K26" s="1076" t="n">
        <v>-59500879485</v>
      </c>
      <c r="L26" s="297" t="inlineStr">
        <is>
          <t>TB</t>
        </is>
      </c>
      <c r="M26" s="1077" t="n"/>
      <c r="N26" s="1066" t="n"/>
      <c r="Q26" s="1078" t="n">
        <v>32275237470</v>
      </c>
      <c r="R26" s="1078" t="n">
        <v>-222717748</v>
      </c>
      <c r="S26" s="1079" t="n">
        <v>0</v>
      </c>
      <c r="T26" s="1078" t="n">
        <v>27107796314</v>
      </c>
      <c r="U26" s="1078" t="n">
        <v>0</v>
      </c>
      <c r="V26" s="1079" t="n">
        <v>0</v>
      </c>
      <c r="W26" s="1079" t="n">
        <v>-5167441156</v>
      </c>
      <c r="X26" s="1071" t="n"/>
    </row>
    <row r="27">
      <c r="B27" s="267" t="n"/>
      <c r="C27" s="296" t="inlineStr">
        <is>
          <t>Saldo s/kárdex al 31.12.2023</t>
        </is>
      </c>
      <c r="D27" s="296" t="n"/>
      <c r="E27" s="303" t="n"/>
      <c r="F27" s="304" t="n">
        <v>7</v>
      </c>
      <c r="G27" s="1080" t="n"/>
      <c r="H27" s="304" t="n">
        <v>7</v>
      </c>
      <c r="I27" s="306" t="n"/>
      <c r="J27" s="304" t="n">
        <v>7</v>
      </c>
      <c r="K27" s="1081" t="n"/>
      <c r="L27" s="308" t="n">
        <v>7</v>
      </c>
      <c r="M27" s="1082" t="n"/>
      <c r="N27" s="1066" t="n"/>
      <c r="W27" s="310" t="n">
        <v>-0.1601054418516103</v>
      </c>
    </row>
    <row r="28">
      <c r="B28" s="267" t="n"/>
      <c r="C28" s="1220" t="inlineStr">
        <is>
          <t>Diferencia inmaterial</t>
        </is>
      </c>
      <c r="D28" s="311" t="n"/>
      <c r="E28" s="1083" t="n"/>
      <c r="F28" s="1084" t="n"/>
      <c r="G28" s="1083" t="n"/>
      <c r="H28" s="1084" t="n"/>
      <c r="I28" s="1083" t="n">
        <v>674879198713</v>
      </c>
      <c r="J28" s="1085" t="inlineStr">
        <is>
          <t>[1]</t>
        </is>
      </c>
      <c r="K28" s="1083" t="n">
        <v>-59500879485</v>
      </c>
      <c r="L28" s="267" t="n"/>
      <c r="M28" s="1086" t="n"/>
      <c r="N28" s="1066" t="n"/>
    </row>
    <row r="29">
      <c r="B29" s="267" t="n"/>
      <c r="C29" s="311" t="n"/>
      <c r="D29" s="311" t="n"/>
      <c r="E29" s="1083" t="n"/>
      <c r="F29" s="1084" t="n"/>
      <c r="G29" s="1083" t="n"/>
      <c r="H29" s="1084" t="n"/>
      <c r="I29" s="1071" t="n">
        <v>674879198711.3403</v>
      </c>
      <c r="J29" s="1074" t="n"/>
      <c r="K29" s="1071" t="n">
        <v>-59500879480.52724</v>
      </c>
      <c r="L29" s="267" t="n"/>
      <c r="N29" s="1066" t="n"/>
      <c r="T29" s="1087" t="inlineStr">
        <is>
          <t>Ajustes Adiciones tributarias 2020:</t>
        </is>
      </c>
    </row>
    <row r="30">
      <c r="B30" s="267" t="n"/>
      <c r="C30" s="311" t="n"/>
      <c r="D30" s="311" t="n"/>
      <c r="E30" s="1083" t="n"/>
      <c r="F30" s="1084" t="n"/>
      <c r="G30" s="1083" t="n"/>
      <c r="H30" s="1084" t="n"/>
      <c r="I30" s="1071" t="n">
        <v>1.65966796875</v>
      </c>
      <c r="J30" s="1074" t="n"/>
      <c r="K30" s="1071" t="n">
        <v>-4.472763061523438</v>
      </c>
      <c r="L30" s="267" t="n"/>
      <c r="N30" s="1066" t="n"/>
      <c r="S30" s="1088" t="inlineStr">
        <is>
          <t>Ok</t>
        </is>
      </c>
      <c r="T30" s="1064" t="inlineStr">
        <is>
          <t>Opcion de compra DLL</t>
        </is>
      </c>
      <c r="V30" s="1071" t="n">
        <v>37279823</v>
      </c>
      <c r="W30" s="1089" t="inlineStr">
        <is>
          <t>CONSULTAR A QUE CORRESPONDE</t>
        </is>
      </c>
    </row>
    <row r="31">
      <c r="B31" s="267" t="n"/>
      <c r="C31" s="276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N31" s="1066" t="n"/>
      <c r="S31" s="1088" t="inlineStr">
        <is>
          <t>?</t>
        </is>
      </c>
      <c r="T31" s="1090" t="inlineStr">
        <is>
          <t>Leasing</t>
        </is>
      </c>
      <c r="U31" s="319" t="n">
        <v>43713</v>
      </c>
      <c r="V31" s="1072" t="n">
        <v>-597206478</v>
      </c>
    </row>
    <row r="34">
      <c r="A34" s="1216" t="inlineStr">
        <is>
          <t>B)</t>
        </is>
      </c>
      <c r="B34" s="274" t="n"/>
      <c r="C34" s="1221" t="inlineStr">
        <is>
          <t xml:space="preserve">ANALISIS DE RAZONABILIDAD ACTIVO FIJO </t>
        </is>
      </c>
      <c r="D34" s="267" t="n"/>
      <c r="E34" s="267" t="n"/>
      <c r="F34" s="267" t="n"/>
      <c r="G34" s="320" t="inlineStr">
        <is>
          <t>FINANCIERO</t>
        </is>
      </c>
      <c r="H34" s="320" t="n"/>
      <c r="I34" s="320" t="inlineStr">
        <is>
          <t>TRIBUTARIO</t>
        </is>
      </c>
      <c r="J34" s="267" t="n"/>
      <c r="K34" s="320" t="inlineStr">
        <is>
          <t>DIFERENCIA</t>
        </is>
      </c>
      <c r="L34" s="267" t="n"/>
      <c r="N34" s="1066" t="n"/>
    </row>
    <row r="35">
      <c r="A35" s="267" t="n"/>
      <c r="B35" s="267" t="n"/>
      <c r="C35" s="267" t="n"/>
      <c r="D35" s="267" t="n"/>
      <c r="E35" s="267" t="n"/>
      <c r="F35" s="267" t="n"/>
      <c r="G35" s="320" t="inlineStr">
        <is>
          <t>$</t>
        </is>
      </c>
      <c r="H35" s="320" t="n"/>
      <c r="I35" s="320" t="inlineStr">
        <is>
          <t>$</t>
        </is>
      </c>
      <c r="J35" s="267" t="n"/>
      <c r="K35" s="320" t="inlineStr">
        <is>
          <t>$</t>
        </is>
      </c>
      <c r="L35" s="267" t="n"/>
      <c r="M35" s="1064" t="inlineStr">
        <is>
          <t xml:space="preserve">             </t>
        </is>
      </c>
      <c r="N35" s="1066" t="n"/>
    </row>
    <row r="36">
      <c r="A36" s="267" t="n"/>
      <c r="B36" s="267" t="n"/>
      <c r="C36" s="1216" t="inlineStr">
        <is>
          <t>Saldo neto inicial</t>
        </is>
      </c>
      <c r="D36" s="267" t="n"/>
      <c r="E36" s="267" t="n"/>
      <c r="F36" s="321" t="n"/>
      <c r="G36" s="267" t="n">
        <v>255411349892</v>
      </c>
      <c r="H36" s="308" t="n">
        <v>7</v>
      </c>
      <c r="I36" s="267" t="n">
        <v>216832804376</v>
      </c>
      <c r="J36" s="308" t="n">
        <v>7</v>
      </c>
      <c r="K36" s="322" t="n">
        <v>38578545516</v>
      </c>
      <c r="L36" s="323" t="n">
        <v>3</v>
      </c>
      <c r="N36" s="1066" t="n"/>
      <c r="P36" s="1065" t="n">
        <v>255058320536</v>
      </c>
      <c r="R36" s="1091" t="n"/>
    </row>
    <row r="37">
      <c r="A37" s="267" t="n"/>
      <c r="B37" s="267" t="n"/>
      <c r="C37" s="267" t="inlineStr">
        <is>
          <t>Según kardex al 31.12.2022</t>
        </is>
      </c>
      <c r="D37" s="267" t="n"/>
      <c r="E37" s="267" t="n"/>
      <c r="F37" s="321" t="n"/>
      <c r="G37" s="1081" t="n">
        <v>256825724820</v>
      </c>
      <c r="H37" s="308" t="n"/>
      <c r="I37" s="325" t="n">
        <v>216832804375</v>
      </c>
      <c r="J37" s="308" t="n"/>
      <c r="K37" s="1081" t="n">
        <v>39992920445</v>
      </c>
      <c r="L37" s="323" t="n">
        <v>3</v>
      </c>
      <c r="N37" s="1066" t="n"/>
      <c r="P37" s="1065" t="n">
        <v>-38225516160</v>
      </c>
      <c r="R37" s="1091" t="n">
        <v>4987154500.625</v>
      </c>
    </row>
    <row r="38">
      <c r="A38" s="267" t="n"/>
      <c r="B38" s="267" t="n"/>
      <c r="C38" s="1216" t="inlineStr">
        <is>
          <t>Saldo según CPI</t>
        </is>
      </c>
      <c r="D38" s="267" t="n"/>
      <c r="E38" s="267" t="n"/>
      <c r="F38" s="321" t="n"/>
      <c r="G38" s="1092" t="n">
        <v>-1414374928</v>
      </c>
      <c r="H38" s="323" t="n">
        <v>3</v>
      </c>
      <c r="I38" s="1092" t="n">
        <v>1</v>
      </c>
      <c r="J38" s="323" t="n">
        <v>3</v>
      </c>
      <c r="K38" s="1092" t="n">
        <v>-1414374929</v>
      </c>
      <c r="L38" s="327" t="inlineStr">
        <is>
          <t>CP</t>
        </is>
      </c>
      <c r="N38" s="1066" t="n"/>
      <c r="R38" s="1091" t="n">
        <v>7000000000</v>
      </c>
    </row>
    <row r="39">
      <c r="A39" s="267" t="n"/>
      <c r="B39" s="267" t="n"/>
      <c r="C39" s="267" t="n"/>
      <c r="D39" s="267" t="n"/>
      <c r="E39" s="267" t="n"/>
      <c r="F39" s="321" t="n"/>
      <c r="G39" s="267" t="n"/>
      <c r="H39" s="308" t="n"/>
      <c r="I39" s="267" t="n"/>
      <c r="J39" s="308" t="n"/>
      <c r="K39" s="322" t="n"/>
      <c r="L39" s="267" t="n"/>
      <c r="N39" s="1066" t="n"/>
      <c r="R39" s="1091" t="n"/>
    </row>
    <row r="40">
      <c r="A40" s="267" t="n"/>
      <c r="B40" s="267" t="n"/>
      <c r="C40" s="1221" t="inlineStr">
        <is>
          <t>Más:</t>
        </is>
      </c>
      <c r="D40" s="267" t="n"/>
      <c r="E40" s="267" t="n"/>
      <c r="F40" s="321" t="n"/>
      <c r="G40" s="267" t="n"/>
      <c r="H40" s="328" t="n"/>
      <c r="I40" s="267" t="n"/>
      <c r="J40" s="321" t="n"/>
      <c r="K40" s="322" t="n"/>
      <c r="L40" s="267" t="n"/>
      <c r="N40" s="1066" t="n"/>
      <c r="R40" s="1091" t="n"/>
    </row>
    <row r="41">
      <c r="A41" s="267" t="n"/>
      <c r="B41" s="267" t="n"/>
      <c r="C41" s="1222" t="inlineStr">
        <is>
          <t>Corrección monetaria inicial</t>
        </is>
      </c>
      <c r="D41" s="267" t="n"/>
      <c r="E41" s="267" t="n"/>
      <c r="F41" s="321" t="n"/>
      <c r="G41" s="290" t="n"/>
      <c r="H41" s="329" t="n"/>
      <c r="I41" s="1093" t="n">
        <v>12335157920.812</v>
      </c>
      <c r="J41" s="321" t="n"/>
      <c r="K41" s="1094" t="n">
        <v>-12335157920.812</v>
      </c>
      <c r="L41" s="267" t="n"/>
      <c r="N41" s="1066" t="n"/>
    </row>
    <row r="42">
      <c r="A42" s="267" t="n"/>
      <c r="B42" s="267" t="n"/>
      <c r="C42" s="1222" t="inlineStr">
        <is>
          <t>Corrección monetaria adiciones</t>
        </is>
      </c>
      <c r="D42" s="267" t="n"/>
      <c r="E42" s="267" t="n"/>
      <c r="F42" s="321" t="n"/>
      <c r="G42" s="290" t="n"/>
      <c r="H42" s="329" t="n"/>
      <c r="I42" s="1093" t="n">
        <v>0</v>
      </c>
      <c r="J42" s="321" t="n"/>
      <c r="K42" s="1094" t="n">
        <v>0</v>
      </c>
      <c r="L42" s="267" t="n"/>
      <c r="N42" s="1066" t="n"/>
    </row>
    <row r="43">
      <c r="A43" s="267" t="n"/>
      <c r="B43" s="267" t="n"/>
      <c r="C43" s="1223" t="inlineStr">
        <is>
          <t>Corrección monetaria crédito 4%</t>
        </is>
      </c>
      <c r="D43" s="290" t="n"/>
      <c r="E43" s="290" t="n"/>
      <c r="F43" s="333" t="n"/>
      <c r="G43" s="290" t="n"/>
      <c r="H43" s="329" t="n"/>
      <c r="I43" s="1093" t="n"/>
      <c r="J43" s="333" t="n"/>
      <c r="K43" s="1093" t="n">
        <v>0</v>
      </c>
      <c r="L43" s="267" t="inlineStr">
        <is>
          <t>controlado por fuera</t>
        </is>
      </c>
      <c r="N43" s="1066" t="n"/>
    </row>
    <row r="44">
      <c r="A44" s="267" t="n"/>
      <c r="B44" s="334" t="n"/>
      <c r="C44" s="1223" t="inlineStr">
        <is>
          <t>Adiciones por activos leasing</t>
        </is>
      </c>
      <c r="D44" s="290" t="n"/>
      <c r="E44" s="290" t="n"/>
      <c r="F44" s="333" t="n"/>
      <c r="G44" s="290" t="n">
        <v>360124805</v>
      </c>
      <c r="H44" s="335" t="n"/>
      <c r="I44" s="1093" t="n"/>
      <c r="J44" s="336" t="n"/>
      <c r="K44" s="1093" t="n">
        <v>360124805</v>
      </c>
      <c r="N44" s="1066" t="n"/>
      <c r="R44" s="1091" t="n"/>
    </row>
    <row r="45">
      <c r="A45" s="267" t="n"/>
      <c r="C45" s="1223" t="inlineStr">
        <is>
          <t>Adiciones normales</t>
        </is>
      </c>
      <c r="D45" s="290" t="n"/>
      <c r="E45" s="290" t="n"/>
      <c r="F45" s="333" t="n"/>
      <c r="G45" s="290" t="n">
        <v>27106577839</v>
      </c>
      <c r="H45" s="329" t="n"/>
      <c r="I45" s="1093" t="n">
        <v>27107796314</v>
      </c>
      <c r="J45" s="336" t="n"/>
      <c r="K45" s="1093" t="n">
        <v>-1218475</v>
      </c>
      <c r="N45" s="1066" t="n"/>
      <c r="P45" s="1094" t="n">
        <v>1218475</v>
      </c>
      <c r="R45" s="1095" t="n"/>
    </row>
    <row r="46">
      <c r="A46" s="267" t="n"/>
      <c r="B46" s="267" t="n"/>
      <c r="C46" s="1223" t="inlineStr">
        <is>
          <t>Adiciones financieras obras en curso</t>
        </is>
      </c>
      <c r="D46" s="290" t="n"/>
      <c r="E46" s="290" t="n"/>
      <c r="F46" s="333" t="n"/>
      <c r="G46" s="290" t="n">
        <v>4808534826</v>
      </c>
      <c r="H46" s="329" t="n"/>
      <c r="I46" s="1093" t="n">
        <v>0</v>
      </c>
      <c r="J46" s="333" t="n"/>
      <c r="K46" s="1093" t="n">
        <v>4808534826</v>
      </c>
      <c r="L46" s="338" t="n"/>
      <c r="N46" s="1066" t="n"/>
      <c r="P46" s="1096" t="n">
        <v>623479315.222</v>
      </c>
      <c r="R46" s="1095" t="n"/>
    </row>
    <row r="47">
      <c r="A47" s="267" t="n"/>
      <c r="B47" s="267" t="n"/>
      <c r="C47" s="1223" t="inlineStr">
        <is>
          <t>4% credito AF controlado por fuera</t>
        </is>
      </c>
      <c r="D47" s="290" t="n"/>
      <c r="E47" s="290" t="n"/>
      <c r="F47" s="333" t="n"/>
      <c r="G47" s="1072" t="n"/>
      <c r="H47" s="329" t="n"/>
      <c r="I47" s="1094" t="n">
        <v>0</v>
      </c>
      <c r="J47" s="333" t="n"/>
      <c r="K47" s="1093" t="n">
        <v>0</v>
      </c>
      <c r="L47" s="338" t="n"/>
      <c r="N47" s="1066" t="n"/>
      <c r="R47" s="1095" t="n"/>
    </row>
    <row r="48">
      <c r="A48" s="267" t="n"/>
      <c r="B48" s="267" t="n"/>
      <c r="C48" s="1223" t="inlineStr">
        <is>
          <t>Bajas (netas) del año</t>
        </is>
      </c>
      <c r="D48" s="290" t="n"/>
      <c r="E48" s="290" t="n"/>
      <c r="F48" s="333" t="n"/>
      <c r="G48" s="1093" t="n">
        <v>0</v>
      </c>
      <c r="H48" s="329" t="n"/>
      <c r="I48" s="1093" t="n">
        <v>0</v>
      </c>
      <c r="J48" s="333" t="n"/>
      <c r="K48" s="1093" t="n">
        <v>0</v>
      </c>
      <c r="N48" s="1066" t="n"/>
    </row>
    <row r="49">
      <c r="B49" s="267" t="n"/>
      <c r="C49" s="1223" t="inlineStr">
        <is>
          <t>Ajuste a otros Egresos</t>
        </is>
      </c>
      <c r="D49" s="290" t="n"/>
      <c r="E49" s="290" t="n"/>
      <c r="F49" s="333" t="n"/>
      <c r="G49" s="1093" t="n">
        <v>0</v>
      </c>
      <c r="H49" s="329" t="n"/>
      <c r="I49" s="1093" t="n">
        <v>0</v>
      </c>
      <c r="J49" s="333" t="n"/>
      <c r="K49" s="1093" t="n">
        <v>0</v>
      </c>
      <c r="N49" s="1066" t="n"/>
    </row>
    <row r="50">
      <c r="B50" s="267" t="n"/>
      <c r="C50" s="1223" t="inlineStr">
        <is>
          <t>Baja por venta</t>
        </is>
      </c>
      <c r="D50" s="290" t="n"/>
      <c r="E50" s="290" t="n"/>
      <c r="F50" s="333" t="n"/>
      <c r="G50" s="1093" t="n">
        <v>-6312420</v>
      </c>
      <c r="H50" s="329" t="n"/>
      <c r="I50" s="1093" t="n">
        <v>-1352709</v>
      </c>
      <c r="J50" s="333" t="n"/>
      <c r="K50" s="1093" t="n">
        <v>-4959711</v>
      </c>
      <c r="N50" s="1066" t="n"/>
    </row>
    <row r="51">
      <c r="B51" s="267" t="n"/>
      <c r="C51" s="1223" t="inlineStr">
        <is>
          <t>Bajas activos en leasing</t>
        </is>
      </c>
      <c r="D51" s="290" t="n"/>
      <c r="E51" s="290" t="n"/>
      <c r="F51" s="333" t="n"/>
      <c r="G51" s="1093" t="n">
        <v>0</v>
      </c>
      <c r="H51" s="329" t="n"/>
      <c r="I51" s="1093" t="n"/>
      <c r="J51" s="333" t="n"/>
      <c r="K51" s="1093" t="n">
        <v>0</v>
      </c>
      <c r="N51" s="1066" t="n"/>
    </row>
    <row r="52">
      <c r="B52" s="267" t="n"/>
      <c r="C52" s="1222" t="inlineStr">
        <is>
          <t>Depreciación ejercicio crédito 4 %</t>
        </is>
      </c>
      <c r="D52" s="267" t="n"/>
      <c r="E52" s="267" t="n"/>
      <c r="F52" s="321" t="n"/>
      <c r="G52" s="1093" t="n"/>
      <c r="H52" s="329" t="n"/>
      <c r="I52" s="1093" t="n"/>
      <c r="J52" s="321" t="n"/>
      <c r="K52" s="1094" t="n">
        <v>0</v>
      </c>
      <c r="L52" s="267" t="inlineStr">
        <is>
          <t>controlado por fuera</t>
        </is>
      </c>
      <c r="N52" s="1066" t="n"/>
    </row>
    <row r="53">
      <c r="B53" s="267" t="n"/>
      <c r="C53" s="1223" t="inlineStr">
        <is>
          <t>Traspaso AF</t>
        </is>
      </c>
      <c r="D53" s="290" t="n"/>
      <c r="E53" s="290" t="n"/>
      <c r="F53" s="333" t="n"/>
      <c r="G53" s="1093" t="n">
        <v>-163852824</v>
      </c>
      <c r="H53" s="329" t="n"/>
      <c r="I53" s="1093" t="n">
        <v>-163852824</v>
      </c>
      <c r="J53" s="333" t="n"/>
      <c r="K53" s="1093" t="n">
        <v>0</v>
      </c>
      <c r="L53" s="267" t="n"/>
      <c r="N53" s="1066" t="n"/>
    </row>
    <row r="54">
      <c r="B54" s="267" t="n"/>
      <c r="C54" s="1222" t="inlineStr">
        <is>
          <t>Ajuste Otros activos (no en kardex)</t>
        </is>
      </c>
      <c r="D54" s="267" t="n"/>
      <c r="E54" s="267" t="n"/>
      <c r="F54" s="321" t="n"/>
      <c r="G54" s="1093" t="n"/>
      <c r="H54" s="329" t="n"/>
      <c r="I54" s="1093" t="n"/>
      <c r="J54" s="321" t="n"/>
      <c r="K54" s="1094" t="n">
        <v>0</v>
      </c>
      <c r="L54" s="267" t="n"/>
      <c r="N54" s="1066" t="n"/>
    </row>
    <row r="55">
      <c r="B55" s="267" t="n"/>
      <c r="C55" s="1222" t="inlineStr">
        <is>
          <t>Reclasificación</t>
        </is>
      </c>
      <c r="D55" s="267" t="n"/>
      <c r="E55" s="267" t="n"/>
      <c r="F55" s="321" t="n"/>
      <c r="G55" s="1093" t="n">
        <v>-35508259</v>
      </c>
      <c r="H55" s="329" t="n"/>
      <c r="I55" s="1093" t="n">
        <v>-35508259</v>
      </c>
      <c r="J55" s="321" t="n"/>
      <c r="K55" s="1094" t="n">
        <v>0</v>
      </c>
      <c r="L55" s="267" t="n"/>
      <c r="N55" s="1066" t="n"/>
    </row>
    <row r="56">
      <c r="B56" s="267" t="n"/>
      <c r="C56" s="1222" t="inlineStr">
        <is>
          <t>Obras en curso Pacífico</t>
        </is>
      </c>
      <c r="D56" s="267" t="n"/>
      <c r="E56" s="267" t="n"/>
      <c r="F56" s="321" t="n"/>
      <c r="G56" s="1093" t="n"/>
      <c r="H56" s="329" t="n"/>
      <c r="I56" s="1093" t="n">
        <v>0</v>
      </c>
      <c r="J56" s="321" t="n"/>
      <c r="K56" s="1082" t="n">
        <v>0</v>
      </c>
      <c r="L56" s="267" t="n"/>
      <c r="N56" s="1066" t="n"/>
    </row>
    <row r="57">
      <c r="B57" s="267" t="n"/>
      <c r="C57" s="1222" t="inlineStr">
        <is>
          <t>Ajuste PPA</t>
        </is>
      </c>
      <c r="D57" s="267" t="n"/>
      <c r="E57" s="267" t="n"/>
      <c r="F57" s="321" t="n"/>
      <c r="G57" s="1093" t="n">
        <v>5888774665</v>
      </c>
      <c r="H57" s="329" t="n"/>
      <c r="I57" s="1093" t="n"/>
      <c r="J57" s="321" t="n"/>
      <c r="K57" s="1094" t="n">
        <v>5888774665</v>
      </c>
      <c r="L57" s="267" t="n"/>
      <c r="M57" s="1097" t="inlineStr">
        <is>
          <t>DIFERIDO</t>
        </is>
      </c>
      <c r="N57" s="1066" t="n"/>
    </row>
    <row r="58">
      <c r="B58" s="267" t="n"/>
      <c r="C58" s="1224" t="inlineStr">
        <is>
          <t>Retasación PPE</t>
        </is>
      </c>
      <c r="D58" s="341" t="n"/>
      <c r="E58" s="341" t="n"/>
      <c r="F58" s="342" t="n"/>
      <c r="G58" s="1098" t="n">
        <v>340885931296</v>
      </c>
      <c r="H58" s="344" t="n"/>
      <c r="I58" s="1098" t="n">
        <v>328907006765</v>
      </c>
      <c r="J58" s="342" t="n"/>
      <c r="K58" s="1098" t="n">
        <v>11978924531</v>
      </c>
      <c r="L58" s="267" t="n"/>
      <c r="M58" s="1099">
        <f>+K58*0.27</f>
        <v/>
      </c>
      <c r="N58" s="1066" t="n"/>
    </row>
    <row r="59">
      <c r="B59" s="267" t="n"/>
      <c r="C59" s="1222" t="inlineStr">
        <is>
          <t>Depreciación ejercicio bajas</t>
        </is>
      </c>
      <c r="D59" s="267" t="n"/>
      <c r="E59" s="267" t="n"/>
      <c r="F59" s="321" t="n"/>
      <c r="G59" s="1093" t="n"/>
      <c r="H59" s="329" t="n"/>
      <c r="I59" s="1093" t="n"/>
      <c r="J59" s="321" t="n"/>
      <c r="K59" s="1094" t="n">
        <v>0</v>
      </c>
      <c r="L59" s="267" t="n"/>
      <c r="N59" s="1066" t="n"/>
      <c r="P59" s="1096" t="n"/>
    </row>
    <row r="60">
      <c r="B60" s="267" t="n"/>
      <c r="C60" s="1222" t="inlineStr">
        <is>
          <t>Depreciación ejercicio</t>
        </is>
      </c>
      <c r="D60" s="267" t="n"/>
      <c r="E60" s="267" t="n"/>
      <c r="F60" s="321" t="n"/>
      <c r="G60" s="1093" t="n">
        <v>-20291675517.52724</v>
      </c>
      <c r="H60" s="329" t="n"/>
      <c r="I60" s="1093" t="n">
        <v>-16768228484</v>
      </c>
      <c r="J60" s="321" t="n"/>
      <c r="K60" s="1094" t="n">
        <v>-3523447033.527241</v>
      </c>
      <c r="L60" s="267" t="n"/>
      <c r="N60" s="1066" t="n"/>
    </row>
    <row r="61">
      <c r="B61" s="267" t="n"/>
      <c r="C61" s="276" t="inlineStr">
        <is>
          <t>Saldo final al 31.12.2023 según  kárdex</t>
        </is>
      </c>
      <c r="D61" s="267" t="n"/>
      <c r="E61" s="267" t="n"/>
      <c r="F61" s="345" t="n"/>
      <c r="G61" s="346" t="n">
        <v>615378319230.4728</v>
      </c>
      <c r="H61" s="308" t="n">
        <v>7</v>
      </c>
      <c r="I61" s="346" t="n">
        <v>568213823098.812</v>
      </c>
      <c r="J61" s="308" t="n">
        <v>7</v>
      </c>
      <c r="K61" s="346" t="n">
        <v>47164496131.66076</v>
      </c>
      <c r="L61" s="267" t="n"/>
      <c r="N61" s="1066" t="n"/>
      <c r="P61" s="1065" t="n">
        <v>-20291675517.52724</v>
      </c>
    </row>
    <row r="62">
      <c r="B62" s="267" t="n"/>
      <c r="C62" s="276" t="n"/>
      <c r="D62" s="267" t="n"/>
      <c r="E62" s="267" t="n"/>
      <c r="F62" s="345" t="n"/>
      <c r="G62" s="347" t="n"/>
      <c r="H62" s="308" t="n"/>
      <c r="I62" s="347" t="n"/>
      <c r="J62" s="308" t="n"/>
      <c r="K62" s="347" t="n">
        <v>0</v>
      </c>
      <c r="L62" s="267" t="n"/>
      <c r="N62" s="1066" t="n"/>
      <c r="P62" s="1065" t="n">
        <v>-32450814</v>
      </c>
    </row>
    <row r="63" customFormat="1" s="1100">
      <c r="B63" s="276" t="n"/>
      <c r="C63" s="276" t="inlineStr">
        <is>
          <t xml:space="preserve">Saldo final al 31.12.2023 según  balance </t>
        </is>
      </c>
      <c r="D63" s="276" t="n"/>
      <c r="E63" s="276" t="n"/>
      <c r="F63" s="276" t="n"/>
      <c r="G63" s="348" t="n">
        <v>615378319228</v>
      </c>
      <c r="H63" s="297" t="inlineStr">
        <is>
          <t>TB</t>
        </is>
      </c>
      <c r="I63" s="349" t="n">
        <v>568213823098.812</v>
      </c>
      <c r="J63" s="276" t="n"/>
      <c r="K63" s="349" t="n">
        <v>47164496129.18799</v>
      </c>
      <c r="L63" s="323" t="n">
        <v>3</v>
      </c>
      <c r="M63" s="1064" t="n"/>
      <c r="N63" s="1101" t="n"/>
      <c r="O63" s="1102" t="n"/>
      <c r="P63" s="1102" t="n"/>
      <c r="Q63" s="352" t="n"/>
    </row>
    <row r="64">
      <c r="B64" s="1225" t="inlineStr">
        <is>
          <t>[*]</t>
        </is>
      </c>
      <c r="C64" s="1216" t="inlineStr">
        <is>
          <t>Diferencia</t>
        </is>
      </c>
      <c r="D64" s="267" t="n"/>
      <c r="E64" s="267" t="n"/>
      <c r="F64" s="345" t="n"/>
      <c r="G64" s="1092" t="n">
        <v>2.4727783203125</v>
      </c>
      <c r="H64" s="328" t="inlineStr">
        <is>
          <t>i</t>
        </is>
      </c>
      <c r="I64" s="1092" t="n">
        <v>0</v>
      </c>
      <c r="J64" s="354" t="n"/>
      <c r="K64" s="1092" t="n">
        <v>2.472770690917969</v>
      </c>
      <c r="L64" s="267" t="n"/>
      <c r="N64" s="1066" t="n"/>
      <c r="Y64" s="1064" t="inlineStr">
        <is>
          <t xml:space="preserve">        </t>
        </is>
      </c>
      <c r="AA64" s="1064" t="inlineStr">
        <is>
          <t xml:space="preserve">                 </t>
        </is>
      </c>
    </row>
    <row r="66" hidden="1" s="779">
      <c r="B66" s="1225" t="inlineStr">
        <is>
          <t>[**]</t>
        </is>
      </c>
      <c r="C66" s="1216" t="inlineStr">
        <is>
          <t>La sociedad no ha registrado el nuevo contrato de leasing en el kardex de activo fijo financiero.</t>
        </is>
      </c>
      <c r="D66" s="267" t="n"/>
      <c r="E66" s="322" t="n"/>
      <c r="F66" s="322" t="n"/>
    </row>
    <row r="67" hidden="1" s="779">
      <c r="B67" s="1225" t="inlineStr">
        <is>
          <t>[***]</t>
        </is>
      </c>
      <c r="C67" s="1216" t="inlineStr">
        <is>
          <t>La sociedad no nos entregó el análisis de las bajas de activo fijo financiero a la fecha de revisión, es por esto que se tomó el mismo</t>
        </is>
      </c>
      <c r="D67" s="267" t="n"/>
      <c r="E67" s="322" t="n"/>
      <c r="F67" s="322" t="n"/>
    </row>
    <row r="68" hidden="1" s="779">
      <c r="B68" s="267" t="n"/>
      <c r="C68" s="1216" t="inlineStr">
        <is>
          <t>monto de las bajas tributarias.</t>
        </is>
      </c>
      <c r="D68" s="267" t="n"/>
      <c r="E68" s="322" t="n"/>
      <c r="F68" s="322" t="n"/>
    </row>
    <row r="69">
      <c r="B69" s="267" t="n"/>
      <c r="C69" s="1226" t="inlineStr">
        <is>
          <t>Comentario al 31.05.2023</t>
        </is>
      </c>
      <c r="D69" s="267" t="n"/>
      <c r="E69" s="322" t="n"/>
      <c r="F69" s="322" t="n"/>
    </row>
    <row r="70">
      <c r="B70" s="267" t="n"/>
      <c r="C70" s="1216" t="inlineStr">
        <is>
          <t xml:space="preserve">Se realizó ajuste de obras en curso por $713.802.748 que se llevó contra la cuenta "Otros egresos no operacionales" en donde se castigaron proyectos que en </t>
        </is>
      </c>
      <c r="D70" s="267" t="n"/>
      <c r="E70" s="322" t="n"/>
      <c r="F70" s="322" t="n"/>
    </row>
    <row r="71">
      <c r="B71" s="267" t="n"/>
      <c r="C71" s="1216" t="inlineStr">
        <is>
          <t>su momento se abrieron pero no llegaron a puerto, por lo que finalmente no se activarían y corresponden a gastos.</t>
        </is>
      </c>
      <c r="D71" s="267" t="n"/>
      <c r="E71" s="322" t="n"/>
      <c r="F71" s="322" t="n"/>
    </row>
    <row r="72">
      <c r="B72" s="267" t="n"/>
      <c r="C72" s="1225" t="inlineStr">
        <is>
          <t>Ver O-1|2-12.4</t>
        </is>
      </c>
      <c r="D72" s="267" t="n"/>
      <c r="E72" s="322" t="n"/>
      <c r="F72" s="322" t="n"/>
    </row>
    <row r="73">
      <c r="B73" s="267" t="n"/>
      <c r="C73" s="267" t="n"/>
      <c r="D73" s="267" t="n"/>
      <c r="E73" s="322" t="n"/>
      <c r="F73" s="322" t="n"/>
    </row>
    <row r="74">
      <c r="B74" s="267" t="n"/>
      <c r="C74" s="267" t="n"/>
      <c r="D74" s="267" t="n"/>
      <c r="E74" s="322" t="n"/>
      <c r="F74" s="322" t="n"/>
    </row>
    <row r="75">
      <c r="B75" s="267" t="n"/>
      <c r="C75" s="267" t="n"/>
      <c r="D75" s="267" t="n"/>
      <c r="E75" s="322" t="n"/>
      <c r="F75" s="322" t="n"/>
    </row>
    <row r="76">
      <c r="B76" s="267" t="n"/>
      <c r="C76" s="267" t="n"/>
      <c r="D76" s="267" t="n"/>
      <c r="E76" s="322" t="n"/>
      <c r="F76" s="322" t="n"/>
    </row>
    <row r="77">
      <c r="B77" s="267" t="n"/>
      <c r="C77" s="267" t="n"/>
      <c r="D77" s="267" t="n"/>
      <c r="E77" s="322" t="n"/>
      <c r="F77" s="322" t="n"/>
    </row>
    <row r="78">
      <c r="B78" s="267" t="n"/>
      <c r="C78" s="267" t="n"/>
      <c r="D78" s="347" t="n"/>
      <c r="E78" s="320" t="inlineStr">
        <is>
          <t>$</t>
        </is>
      </c>
      <c r="F78" s="322" t="n"/>
    </row>
    <row r="79" customFormat="1" s="1065">
      <c r="B79" s="267" t="n"/>
      <c r="C79" s="1227" t="inlineStr">
        <is>
          <t>Depreciación análisis</t>
        </is>
      </c>
      <c r="D79" s="267" t="n"/>
      <c r="E79" s="322" t="n">
        <v>20291675517.52724</v>
      </c>
      <c r="F79" s="356" t="n">
        <v>7</v>
      </c>
    </row>
    <row r="80" customFormat="1" s="1065">
      <c r="B80" s="267" t="n"/>
      <c r="C80" s="1216" t="inlineStr">
        <is>
          <t>Dep. bajas</t>
        </is>
      </c>
      <c r="D80" s="267" t="n"/>
      <c r="E80" s="1092" t="n"/>
      <c r="F80" s="322" t="n"/>
    </row>
    <row r="81" customFormat="1" s="1065">
      <c r="B81" s="267" t="n"/>
      <c r="C81" s="1216" t="inlineStr">
        <is>
          <t>Ajuste Auditoría</t>
        </is>
      </c>
      <c r="D81" s="267" t="n"/>
      <c r="E81" s="1092" t="n"/>
      <c r="F81" s="322" t="n"/>
      <c r="G81" s="322" t="n"/>
      <c r="H81" s="322" t="n"/>
      <c r="I81" s="357" t="n"/>
      <c r="J81" s="322" t="n"/>
    </row>
    <row r="82" customFormat="1" s="1065">
      <c r="B82" s="267" t="n"/>
      <c r="C82" s="1216" t="inlineStr">
        <is>
          <t>Total depreciación</t>
        </is>
      </c>
      <c r="D82" s="267" t="n"/>
      <c r="E82" s="358" t="n">
        <v>20291675517.52724</v>
      </c>
      <c r="F82" s="323" t="n">
        <v>3</v>
      </c>
      <c r="G82" s="322" t="n"/>
      <c r="H82" s="322" t="n"/>
      <c r="I82" s="357" t="n"/>
      <c r="J82" s="322" t="inlineStr">
        <is>
          <t xml:space="preserve">s </t>
        </is>
      </c>
    </row>
    <row r="83" customFormat="1" s="1065">
      <c r="B83" s="267" t="n"/>
      <c r="C83" s="1228" t="inlineStr">
        <is>
          <t>Depreciación en balance</t>
        </is>
      </c>
      <c r="D83" s="267" t="n"/>
      <c r="E83" s="359" t="n">
        <v>20291675522</v>
      </c>
      <c r="F83" s="297" t="inlineStr">
        <is>
          <t>TB</t>
        </is>
      </c>
      <c r="G83" s="322" t="n"/>
      <c r="H83" s="322" t="n"/>
      <c r="I83" s="347" t="n"/>
      <c r="J83" s="322" t="n"/>
    </row>
    <row r="84" customFormat="1" s="1065">
      <c r="B84" s="267" t="n"/>
      <c r="C84" s="1228" t="inlineStr">
        <is>
          <t>Diferencia</t>
        </is>
      </c>
      <c r="D84" s="267" t="n"/>
      <c r="E84" s="1092" t="n">
        <v>-4.472759246826172</v>
      </c>
      <c r="F84" s="1064" t="n"/>
      <c r="G84" s="322" t="n"/>
      <c r="H84" s="1064" t="n"/>
      <c r="I84" s="357" t="n"/>
      <c r="J84" s="322" t="n"/>
    </row>
    <row r="85" customFormat="1" s="1065">
      <c r="B85" s="267" t="n"/>
      <c r="C85" s="347" t="n"/>
      <c r="D85" s="267" t="n"/>
      <c r="E85" s="1092" t="n"/>
      <c r="F85" s="1064" t="n"/>
      <c r="G85" s="322" t="n"/>
      <c r="H85" s="322" t="n"/>
      <c r="I85" s="357" t="n"/>
      <c r="J85" s="322" t="n"/>
    </row>
    <row r="86" customFormat="1" s="1065">
      <c r="B86" s="267" t="n"/>
      <c r="C86" s="1229" t="inlineStr">
        <is>
          <t>Crédito por AF</t>
        </is>
      </c>
      <c r="D86" s="267" t="n"/>
      <c r="E86" s="1092" t="n"/>
      <c r="F86" s="1064" t="n"/>
      <c r="G86" s="322" t="n"/>
      <c r="H86" s="322" t="n"/>
      <c r="I86" s="357" t="n"/>
      <c r="J86" s="322" t="n"/>
    </row>
    <row r="87" customFormat="1" s="1065">
      <c r="B87" s="267" t="n"/>
      <c r="C87" s="322" t="inlineStr">
        <is>
          <t>según análisis al 31.12.2023</t>
        </is>
      </c>
      <c r="D87" s="267" t="n"/>
      <c r="E87" s="1092" t="n"/>
      <c r="F87" s="1064" t="n"/>
      <c r="G87" s="322" t="n"/>
      <c r="H87" s="322" t="n"/>
      <c r="I87" s="357" t="n"/>
      <c r="J87" s="322" t="n"/>
    </row>
    <row r="88" customFormat="1" s="1065">
      <c r="B88" s="267" t="n"/>
      <c r="C88" s="322" t="inlineStr">
        <is>
          <t>Según  al 31.12.2023</t>
        </is>
      </c>
      <c r="D88" s="267" t="n"/>
      <c r="E88" s="1092" t="n">
        <v>0</v>
      </c>
      <c r="F88" s="297" t="inlineStr">
        <is>
          <t>TB</t>
        </is>
      </c>
      <c r="G88" s="322" t="n"/>
      <c r="H88" s="322" t="n"/>
      <c r="I88" s="357" t="n"/>
      <c r="J88" s="322" t="n"/>
    </row>
    <row r="89" customFormat="1" s="1065">
      <c r="B89" s="267" t="n"/>
      <c r="C89" s="1064" t="n"/>
      <c r="D89" s="1064" t="n"/>
      <c r="E89" s="1103" t="n"/>
      <c r="F89" s="1064" t="n"/>
      <c r="G89" s="1064" t="n"/>
      <c r="H89" s="362" t="n"/>
      <c r="I89" s="322" t="n"/>
      <c r="J89" s="322" t="n"/>
    </row>
    <row r="90" customFormat="1" s="1065">
      <c r="B90" s="267" t="n"/>
      <c r="C90" s="1064" t="n"/>
      <c r="D90" s="1064" t="n"/>
      <c r="E90" s="1064" t="n"/>
      <c r="F90" s="1064" t="n"/>
      <c r="G90" s="1064" t="n"/>
      <c r="H90" s="362" t="n"/>
      <c r="I90" s="322" t="n"/>
      <c r="J90" s="322" t="n"/>
    </row>
    <row r="91" ht="10.8" customFormat="1" customHeight="1" s="1065">
      <c r="B91" s="267" t="n"/>
      <c r="C91" s="363" t="n"/>
      <c r="D91" s="364" t="n"/>
      <c r="E91" s="1104" t="n"/>
      <c r="F91" s="366" t="n"/>
      <c r="G91" s="367" t="n"/>
      <c r="H91" s="368" t="n"/>
      <c r="I91" s="1105" t="n"/>
      <c r="J91" s="367" t="n"/>
    </row>
    <row r="92" ht="10.8" customFormat="1" customHeight="1" s="1065">
      <c r="B92" s="267" t="n"/>
      <c r="C92" s="363" t="n"/>
      <c r="D92" s="364" t="n"/>
      <c r="E92" s="1104" t="n"/>
      <c r="F92" s="366" t="n"/>
      <c r="G92" s="367" t="n"/>
      <c r="H92" s="368" t="n"/>
      <c r="I92" s="1105" t="n"/>
      <c r="J92" s="367" t="n"/>
    </row>
    <row r="93" ht="10.8" customFormat="1" customHeight="1" s="1065">
      <c r="B93" s="267" t="n"/>
      <c r="C93" s="363" t="n"/>
      <c r="D93" s="364" t="n"/>
      <c r="E93" s="1104" t="n"/>
      <c r="F93" s="366" t="n"/>
      <c r="G93" s="367" t="n"/>
      <c r="H93" s="368" t="n"/>
      <c r="I93" s="1105" t="n"/>
      <c r="J93" s="367" t="n"/>
    </row>
    <row r="94" customFormat="1" s="1065">
      <c r="B94" s="267" t="n"/>
      <c r="C94" s="1230" t="inlineStr">
        <is>
          <t>Tildes utilizados</t>
        </is>
      </c>
      <c r="D94" s="267" t="n"/>
      <c r="E94" s="322" t="n"/>
      <c r="F94" s="322" t="n"/>
      <c r="G94" s="322" t="n"/>
      <c r="H94" s="322" t="n"/>
      <c r="I94" s="1064" t="n"/>
      <c r="J94" s="322" t="n"/>
    </row>
    <row r="95" customFormat="1" s="1065">
      <c r="B95" s="297" t="inlineStr">
        <is>
          <t>TB</t>
        </is>
      </c>
      <c r="C95" s="372" t="inlineStr">
        <is>
          <t>Visto con balance al 31.12.2023</t>
        </is>
      </c>
      <c r="D95" s="267" t="n"/>
      <c r="E95" s="322" t="n"/>
      <c r="F95" s="322" t="n"/>
      <c r="G95" s="322" t="n"/>
      <c r="H95" s="322" t="n"/>
      <c r="I95" s="1064" t="n"/>
      <c r="J95" s="322" t="n"/>
    </row>
    <row r="96" customFormat="1" s="1065">
      <c r="B96" s="297" t="inlineStr">
        <is>
          <t>PY</t>
        </is>
      </c>
      <c r="C96" s="372" t="inlineStr">
        <is>
          <t>Visto con balance al 31.12.2022</t>
        </is>
      </c>
      <c r="D96" s="267" t="n"/>
      <c r="E96" s="322" t="n"/>
      <c r="F96" s="322" t="n"/>
      <c r="G96" s="1064" t="n"/>
      <c r="H96" s="1064" t="n"/>
      <c r="I96" s="1064" t="n"/>
      <c r="J96" s="322" t="n"/>
    </row>
    <row r="97">
      <c r="B97" s="328" t="inlineStr">
        <is>
          <t>RP</t>
        </is>
      </c>
      <c r="C97" s="267" t="inlineStr">
        <is>
          <t>Cotejado con papeles de revisión 31.12.2023</t>
        </is>
      </c>
      <c r="D97" s="267" t="n"/>
      <c r="E97" s="322" t="n"/>
      <c r="F97" s="322" t="n"/>
      <c r="G97" s="374" t="n"/>
      <c r="H97" s="322" t="n"/>
      <c r="J97" s="322" t="n"/>
      <c r="K97" s="267" t="n"/>
      <c r="L97" s="267" t="n"/>
      <c r="N97" s="1066" t="n"/>
    </row>
    <row r="98">
      <c r="B98" s="374" t="n">
        <v>3</v>
      </c>
      <c r="C98" s="1216" t="inlineStr">
        <is>
          <t>Reprocesado, conforme con fórmula</t>
        </is>
      </c>
      <c r="D98" s="267" t="n"/>
      <c r="E98" s="267" t="n"/>
      <c r="F98" s="267" t="n"/>
      <c r="G98" s="373" t="n"/>
      <c r="H98" s="267" t="n"/>
      <c r="J98" s="267" t="n"/>
      <c r="K98" s="267" t="n"/>
      <c r="L98" s="267" t="n"/>
      <c r="N98" s="1066" t="n"/>
    </row>
    <row r="99">
      <c r="B99" s="375" t="n">
        <v>7</v>
      </c>
      <c r="C99" s="267" t="inlineStr">
        <is>
          <t>Visto con kárdex de activo fijo financiero y tributario al 31.12.2023</t>
        </is>
      </c>
      <c r="D99" s="267" t="n"/>
      <c r="E99" s="267" t="n"/>
      <c r="F99" s="267" t="n"/>
      <c r="G99" s="375" t="n"/>
      <c r="H99" s="267" t="n"/>
      <c r="I99" s="267" t="n"/>
      <c r="J99" s="267" t="n"/>
      <c r="K99" s="267" t="n"/>
      <c r="L99" s="267" t="n"/>
      <c r="N99" s="1066" t="n"/>
    </row>
    <row r="100">
      <c r="B100" s="328" t="inlineStr">
        <is>
          <t>i</t>
        </is>
      </c>
      <c r="C100" s="1216" t="inlineStr">
        <is>
          <t>Diferencia inmaterial</t>
        </is>
      </c>
      <c r="D100" s="267" t="n"/>
      <c r="E100" s="267" t="n"/>
      <c r="F100" s="267" t="n"/>
      <c r="G100" s="267" t="n"/>
      <c r="H100" s="267" t="n"/>
      <c r="I100" s="267" t="n"/>
      <c r="J100" s="267" t="n"/>
      <c r="K100" s="267" t="n"/>
      <c r="L100" s="267" t="n"/>
      <c r="N100" s="1066" t="n"/>
    </row>
    <row r="101">
      <c r="B101" s="1231" t="inlineStr">
        <is>
          <t>CP</t>
        </is>
      </c>
      <c r="C101" s="1232" t="inlineStr">
        <is>
          <t>Cotejado con capital propio tributario declarado al 01.01.2023</t>
        </is>
      </c>
      <c r="D101" s="267" t="n"/>
      <c r="E101" s="267" t="n"/>
      <c r="F101" s="267" t="n"/>
      <c r="G101" s="267" t="n"/>
      <c r="H101" s="267" t="n"/>
      <c r="I101" s="267" t="n"/>
      <c r="J101" s="267" t="n"/>
      <c r="K101" s="267" t="n"/>
      <c r="L101" s="267" t="n"/>
      <c r="N101" s="1066" t="n"/>
    </row>
    <row r="102">
      <c r="A102" s="267" t="n"/>
      <c r="B102" s="267" t="n"/>
      <c r="C102" s="267" t="n"/>
      <c r="D102" s="267" t="n"/>
      <c r="E102" s="267" t="n"/>
      <c r="F102" s="267" t="n"/>
      <c r="G102" s="267" t="n"/>
      <c r="H102" s="267" t="n"/>
      <c r="I102" s="267" t="n"/>
      <c r="J102" s="267" t="n"/>
      <c r="K102" s="267" t="n"/>
      <c r="L102" s="267" t="n"/>
      <c r="N102" s="1066" t="n"/>
    </row>
    <row r="103">
      <c r="A103" s="267" t="n"/>
      <c r="B103" s="267" t="n"/>
      <c r="C103" s="1233" t="inlineStr">
        <is>
          <t>CONCLUSIONES</t>
        </is>
      </c>
      <c r="D103" s="378" t="n"/>
      <c r="E103" s="378" t="n"/>
      <c r="F103" s="267" t="n"/>
      <c r="G103" s="379" t="n"/>
      <c r="H103" s="267" t="n"/>
      <c r="I103" s="379" t="n"/>
      <c r="J103" s="267" t="n"/>
      <c r="K103" s="379" t="n"/>
      <c r="L103" s="267" t="n"/>
      <c r="N103" s="1066" t="n"/>
    </row>
    <row r="104">
      <c r="A104" s="267" t="n"/>
      <c r="B104" s="267" t="n"/>
      <c r="C104" s="1234" t="inlineStr">
        <is>
          <t>Provisión renta</t>
        </is>
      </c>
      <c r="D104" s="380" t="n"/>
      <c r="E104" s="380" t="n"/>
      <c r="F104" s="381" t="n"/>
      <c r="G104" s="382" t="inlineStr">
        <is>
          <t>$</t>
        </is>
      </c>
      <c r="H104" s="381" t="n"/>
      <c r="I104" s="383" t="n"/>
      <c r="J104" s="381" t="n"/>
      <c r="K104" s="383" t="n"/>
      <c r="L104" s="267" t="n"/>
      <c r="N104" s="1066" t="n"/>
      <c r="Q104" s="1095" t="n"/>
    </row>
    <row r="105">
      <c r="A105" s="1235" t="inlineStr">
        <is>
          <t>+ RLI</t>
        </is>
      </c>
      <c r="B105" s="384" t="n"/>
      <c r="C105" s="1236" t="inlineStr">
        <is>
          <t>Depreciación activo fijo financiero</t>
        </is>
      </c>
      <c r="D105" s="267" t="n"/>
      <c r="E105" s="322" t="n"/>
      <c r="G105" s="1095" t="n">
        <v>20291675522</v>
      </c>
      <c r="H105" s="267" t="n"/>
      <c r="I105" s="1106" t="n"/>
      <c r="J105" s="322" t="n"/>
      <c r="K105" s="322" t="n"/>
      <c r="L105" s="386" t="n"/>
      <c r="N105" s="1066" t="n"/>
      <c r="Q105" s="1095" t="n">
        <v>216832804376</v>
      </c>
    </row>
    <row r="106">
      <c r="A106" s="1235" t="inlineStr">
        <is>
          <t>- RLI</t>
        </is>
      </c>
      <c r="B106" s="384" t="n"/>
      <c r="C106" s="1236" t="inlineStr">
        <is>
          <t>Depreciación activo fijo tributario</t>
        </is>
      </c>
      <c r="D106" s="267" t="n"/>
      <c r="E106" s="322" t="n"/>
      <c r="G106" s="1095" t="n">
        <v>-16768228484</v>
      </c>
      <c r="H106" s="267" t="n"/>
      <c r="I106" s="1106" t="n"/>
      <c r="J106" s="322" t="n"/>
      <c r="K106" s="322" t="n"/>
      <c r="L106" s="386" t="n"/>
      <c r="N106" s="1066" t="n"/>
      <c r="Q106" s="1095" t="n">
        <v>-255411349892</v>
      </c>
    </row>
    <row r="107">
      <c r="A107" s="1235" t="inlineStr">
        <is>
          <t>- RLI</t>
        </is>
      </c>
      <c r="B107" s="384" t="n"/>
      <c r="C107" s="1236" t="inlineStr">
        <is>
          <t>Corrección monetaria - Depreciación 4% activo fijo</t>
        </is>
      </c>
      <c r="D107" s="267" t="n"/>
      <c r="E107" s="322" t="n"/>
      <c r="G107" s="1095" t="n"/>
      <c r="H107" s="267" t="n"/>
      <c r="I107" s="1106" t="n"/>
      <c r="J107" s="322" t="n"/>
      <c r="K107" s="322" t="n"/>
      <c r="L107" s="386" t="n"/>
      <c r="N107" s="1066" t="n"/>
      <c r="Q107" s="1107" t="n">
        <v>-38578545516</v>
      </c>
      <c r="R107" s="1064" t="inlineStr">
        <is>
          <t>Saldo inicial CPI</t>
        </is>
      </c>
    </row>
    <row r="108">
      <c r="A108" s="1235" t="inlineStr">
        <is>
          <t>- RLI</t>
        </is>
      </c>
      <c r="B108" s="384" t="n"/>
      <c r="C108" s="1236" t="inlineStr">
        <is>
          <t>Corrección monetaria neta  activo fijo financiero</t>
        </is>
      </c>
      <c r="D108" s="267" t="n"/>
      <c r="E108" s="322" t="n"/>
      <c r="G108" s="1095" t="n">
        <v>0</v>
      </c>
      <c r="H108" s="267" t="n"/>
      <c r="I108" s="1106" t="n"/>
      <c r="J108" s="322" t="n"/>
      <c r="K108" s="322" t="n"/>
      <c r="L108" s="386" t="n"/>
      <c r="N108" s="1066" t="n"/>
      <c r="Q108" s="1095" t="n">
        <v>11055029843.812</v>
      </c>
    </row>
    <row r="109">
      <c r="A109" s="1235" t="inlineStr">
        <is>
          <t>+ RLI</t>
        </is>
      </c>
      <c r="B109" s="384" t="n"/>
      <c r="C109" s="1236" t="inlineStr">
        <is>
          <t>Corrección monetaria neta activo fijo tributario</t>
        </is>
      </c>
      <c r="D109" s="267" t="n"/>
      <c r="E109" s="322" t="n"/>
      <c r="G109" s="1095" t="n">
        <v>12335157920.812</v>
      </c>
      <c r="H109" s="267" t="n"/>
      <c r="I109" s="1106" t="n"/>
      <c r="J109" s="322" t="n"/>
      <c r="K109" s="322" t="n"/>
      <c r="L109" s="386" t="n"/>
      <c r="N109" s="1066" t="n"/>
      <c r="Q109" s="1107" t="n">
        <v>-27523515672.188</v>
      </c>
    </row>
    <row r="110" ht="12.75" customHeight="1" s="779">
      <c r="A110" s="1235" t="inlineStr">
        <is>
          <t>+ RLI</t>
        </is>
      </c>
      <c r="B110" s="384" t="n"/>
      <c r="C110" s="1236" t="inlineStr">
        <is>
          <t>Costo de venta financiero</t>
        </is>
      </c>
      <c r="D110" s="267" t="n"/>
      <c r="E110" s="322" t="n"/>
      <c r="G110" s="1108" t="n">
        <v>6312420</v>
      </c>
      <c r="H110" s="381" t="n"/>
      <c r="I110" s="826" t="n">
        <v>4959711</v>
      </c>
      <c r="J110" s="322" t="n"/>
      <c r="K110" s="322" t="n"/>
      <c r="L110" s="386" t="n"/>
      <c r="N110" s="1066" t="n"/>
      <c r="Q110" s="1095" t="n">
        <v>1218475</v>
      </c>
      <c r="R110" s="1064" t="inlineStr">
        <is>
          <t>Diferencia Adiciones</t>
        </is>
      </c>
    </row>
    <row r="111" ht="11.25" customHeight="1" s="779">
      <c r="A111" s="1235" t="inlineStr">
        <is>
          <t>- RLI</t>
        </is>
      </c>
      <c r="B111" s="267" t="n"/>
      <c r="C111" s="1236" t="inlineStr">
        <is>
          <t>Costo de venta tributario</t>
        </is>
      </c>
      <c r="D111" s="267" t="n"/>
      <c r="E111" s="322" t="n"/>
      <c r="F111" s="322" t="n"/>
      <c r="G111" s="1109" t="n">
        <v>-1352709</v>
      </c>
      <c r="H111" s="359" t="n"/>
      <c r="I111" s="827" t="n"/>
      <c r="J111" s="322" t="n"/>
      <c r="K111" s="322" t="n"/>
      <c r="L111" s="267" t="n"/>
      <c r="N111" s="1066" t="n"/>
      <c r="Q111" s="1110" t="n"/>
    </row>
    <row r="112" ht="11.25" customHeight="1" s="779">
      <c r="A112" s="1235" t="inlineStr">
        <is>
          <t>- RLI</t>
        </is>
      </c>
      <c r="B112" s="267" t="n"/>
      <c r="C112" s="1236" t="inlineStr">
        <is>
          <t>Gastos activados obras en curso en valor financiero</t>
        </is>
      </c>
      <c r="D112" s="267" t="n"/>
      <c r="E112" s="322" t="n"/>
      <c r="F112" s="322" t="n"/>
      <c r="G112" s="1110" t="n">
        <v>-4808534826</v>
      </c>
      <c r="H112" s="322" t="n"/>
      <c r="I112" s="391" t="n"/>
      <c r="J112" s="322" t="n"/>
      <c r="K112" s="322" t="n"/>
      <c r="L112" s="267" t="n"/>
      <c r="N112" s="1066" t="n"/>
      <c r="Q112" s="1095" t="n">
        <v>0</v>
      </c>
      <c r="R112" s="1064" t="inlineStr">
        <is>
          <t>Diferencia con kardex</t>
        </is>
      </c>
    </row>
    <row r="113" ht="12.75" customHeight="1" s="779">
      <c r="A113" s="1235" t="inlineStr">
        <is>
          <t>- RLI</t>
        </is>
      </c>
      <c r="B113" s="267" t="n"/>
      <c r="C113" s="1236" t="inlineStr">
        <is>
          <t>Adiciones SAC e instalaciones domiciliarias</t>
        </is>
      </c>
      <c r="D113" s="267" t="n"/>
      <c r="E113" s="322" t="n"/>
      <c r="F113" s="322" t="n"/>
      <c r="G113" s="1095" t="n"/>
      <c r="H113" s="322" t="n"/>
      <c r="I113" s="391" t="n"/>
      <c r="J113" s="322" t="n"/>
      <c r="K113" s="322" t="n"/>
      <c r="L113" s="267" t="n"/>
      <c r="N113" s="1066" t="n"/>
      <c r="Q113" s="1095" t="n">
        <v>-360124805</v>
      </c>
      <c r="R113" s="1064" t="inlineStr">
        <is>
          <t>Adiciones leasing</t>
        </is>
      </c>
    </row>
    <row r="114" ht="11.25" customHeight="1" s="779">
      <c r="A114" s="384" t="n"/>
      <c r="B114" s="384" t="n"/>
      <c r="C114" s="378" t="n"/>
      <c r="D114" s="267" t="n"/>
      <c r="E114" s="322" t="n"/>
      <c r="G114" s="1111" t="n"/>
      <c r="H114" s="267" t="n"/>
      <c r="I114" s="322" t="n"/>
      <c r="J114" s="322" t="n"/>
      <c r="K114" s="322" t="n"/>
      <c r="L114" s="386" t="n"/>
      <c r="N114" s="1066" t="n"/>
      <c r="Q114" s="1095" t="n">
        <v>-1414374929</v>
      </c>
      <c r="R114" s="1064" t="inlineStr">
        <is>
          <t>Diferencia SI AFT</t>
        </is>
      </c>
    </row>
    <row r="115">
      <c r="A115" s="384" t="n"/>
      <c r="B115" s="267" t="n"/>
      <c r="C115" s="378" t="n"/>
      <c r="D115" s="267" t="n"/>
      <c r="E115" s="322" t="n"/>
      <c r="F115" s="322" t="n"/>
      <c r="G115" s="1111" t="n"/>
      <c r="H115" s="322" t="n"/>
      <c r="I115" s="322" t="n"/>
      <c r="J115" s="322" t="n"/>
      <c r="K115" s="322" t="n"/>
      <c r="L115" s="267" t="n"/>
      <c r="N115" s="1066" t="n"/>
      <c r="Q115" s="1095" t="n">
        <v>0</v>
      </c>
      <c r="R115" s="1064" t="inlineStr">
        <is>
          <t>Opción de compra</t>
        </is>
      </c>
    </row>
    <row r="116">
      <c r="A116" s="1237" t="inlineStr">
        <is>
          <t>+ CPI</t>
        </is>
      </c>
      <c r="B116" s="1112" t="n"/>
      <c r="C116" s="1238" t="inlineStr">
        <is>
          <t>Total activo fijo neto tributario</t>
        </is>
      </c>
      <c r="E116" s="1113" t="n"/>
      <c r="F116" s="1113" t="n"/>
      <c r="G116" s="1111" t="n">
        <v>568213823098.812</v>
      </c>
      <c r="H116" s="395" t="n"/>
      <c r="I116" s="1113" t="n"/>
      <c r="J116" s="1113" t="n"/>
      <c r="N116" s="1066" t="n"/>
      <c r="Q116" s="1095" t="n"/>
      <c r="R116" s="1064" t="inlineStr">
        <is>
          <t>Venta activo fijo</t>
        </is>
      </c>
    </row>
    <row r="117">
      <c r="A117" s="1237" t="inlineStr">
        <is>
          <t>- CPI</t>
        </is>
      </c>
      <c r="B117" s="1112" t="n"/>
      <c r="C117" s="1238" t="inlineStr">
        <is>
          <t>Total activo fijo neto financiero</t>
        </is>
      </c>
      <c r="E117" s="1113" t="n"/>
      <c r="F117" s="1113" t="n"/>
      <c r="G117" s="1111" t="n">
        <v>-615378319228</v>
      </c>
      <c r="H117" s="395" t="n"/>
      <c r="I117" s="1113" t="n"/>
      <c r="J117" s="1113" t="n"/>
      <c r="N117" s="1066" t="n"/>
      <c r="Q117" s="1095" t="n">
        <v>-346774705961</v>
      </c>
      <c r="R117" s="1064" t="inlineStr">
        <is>
          <t>Tasación y PPE</t>
        </is>
      </c>
    </row>
    <row r="118">
      <c r="A118" s="1237" t="inlineStr">
        <is>
          <t>+ CPI</t>
        </is>
      </c>
      <c r="B118" s="1112" t="n"/>
      <c r="E118" s="1113" t="n"/>
      <c r="F118" s="1113" t="n"/>
      <c r="G118" s="1106" t="n"/>
      <c r="H118" s="395" t="n"/>
      <c r="I118" s="1113" t="n"/>
      <c r="J118" s="1113" t="n"/>
      <c r="N118" s="1066" t="n"/>
      <c r="Q118" s="1095" t="n">
        <v>328907006765</v>
      </c>
      <c r="R118" s="1064" t="inlineStr">
        <is>
          <t>Tasación AFT</t>
        </is>
      </c>
    </row>
    <row r="119">
      <c r="A119" s="1073" t="n"/>
      <c r="B119" s="1073" t="n"/>
      <c r="C119" s="1114" t="n"/>
      <c r="D119" s="1114" t="n"/>
      <c r="E119" s="1115" t="n"/>
      <c r="F119" s="1115" t="n"/>
      <c r="G119" s="1114" t="n"/>
      <c r="H119" s="398" t="n"/>
      <c r="I119" s="1115" t="n"/>
      <c r="J119" s="1115" t="n"/>
      <c r="K119" s="1114" t="n"/>
      <c r="N119" s="1066" t="n"/>
      <c r="Q119" s="1095" t="n">
        <v>0</v>
      </c>
      <c r="R119" s="1064" t="inlineStr">
        <is>
          <t>Diferencia reclasificación</t>
        </is>
      </c>
    </row>
    <row r="120">
      <c r="A120" s="1073" t="n"/>
      <c r="B120" s="1073" t="n"/>
      <c r="E120" s="1113" t="n"/>
      <c r="F120" s="1113" t="n"/>
      <c r="H120" s="395" t="n"/>
      <c r="I120" s="1113" t="n"/>
      <c r="J120" s="1113" t="n"/>
      <c r="N120" s="1066" t="n"/>
      <c r="Q120" s="1107" t="n">
        <v>-47164496127.18799</v>
      </c>
    </row>
    <row r="121">
      <c r="E121" s="1113" t="n"/>
      <c r="F121" s="1113" t="n"/>
      <c r="G121" s="1113" t="n"/>
      <c r="H121" s="1113" t="n"/>
      <c r="I121" s="1113" t="n"/>
      <c r="J121" s="1113" t="n"/>
      <c r="N121" s="1066" t="n"/>
      <c r="Q121" s="1095" t="n">
        <v>-47164496129.18799</v>
      </c>
    </row>
    <row r="122" ht="13.2" customHeight="1" s="779">
      <c r="A122" s="1239" t="inlineStr">
        <is>
          <t>O-1|2-7</t>
        </is>
      </c>
      <c r="N122" s="1066" t="n"/>
      <c r="Q122" s="1107" t="n">
        <v>2</v>
      </c>
      <c r="R122" s="1064" t="inlineStr">
        <is>
          <t>Diferencia sin explicar y reclasificación 2023</t>
        </is>
      </c>
    </row>
  </sheetData>
  <mergeCells count="9">
    <mergeCell ref="Q11:S11"/>
    <mergeCell ref="W11:W12"/>
    <mergeCell ref="W30:W31"/>
    <mergeCell ref="I9:K9"/>
    <mergeCell ref="E9:G9"/>
    <mergeCell ref="A122:M122"/>
    <mergeCell ref="I110:I111"/>
    <mergeCell ref="T11:V11"/>
    <mergeCell ref="P11:P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topLeftCell="A7" workbookViewId="0">
      <selection activeCell="L26" sqref="L26"/>
    </sheetView>
  </sheetViews>
  <sheetFormatPr baseColWidth="10" defaultRowHeight="14.4"/>
  <cols>
    <col width="36.33203125" customWidth="1" style="779" min="2" max="2"/>
  </cols>
  <sheetData>
    <row r="1" ht="21" customHeight="1" s="779">
      <c r="A1" s="1240" t="inlineStr">
        <is>
          <t>DB Terra</t>
        </is>
      </c>
      <c r="B1" s="9" t="n"/>
      <c r="C1" s="10" t="n"/>
      <c r="D1" s="10" t="n"/>
      <c r="E1" s="10" t="n"/>
      <c r="F1" s="10" t="n"/>
      <c r="G1" s="10" t="n"/>
      <c r="H1" s="10" t="n"/>
      <c r="I1" s="10" t="n"/>
      <c r="J1" s="11" t="n"/>
    </row>
    <row r="2" ht="15.6" customHeight="1" s="779">
      <c r="A2" s="1241" t="inlineStr">
        <is>
          <t>Purchase Price Allocation Mundo</t>
        </is>
      </c>
      <c r="B2" s="13" t="n"/>
      <c r="C2" s="10" t="n"/>
      <c r="D2" s="10" t="n"/>
      <c r="E2" s="10" t="n"/>
      <c r="F2" s="10" t="n"/>
      <c r="G2" s="10" t="n"/>
      <c r="H2" s="10" t="n"/>
      <c r="I2" s="14" t="n"/>
      <c r="J2" s="11" t="n"/>
    </row>
    <row r="3" ht="15.75" customHeight="1" s="779">
      <c r="A3" s="1242" t="inlineStr">
        <is>
          <t>Análisis al 31 diciembre, 2021</t>
        </is>
      </c>
      <c r="B3" s="10" t="n"/>
      <c r="C3" s="10" t="n"/>
      <c r="D3" s="10" t="n"/>
      <c r="E3" s="10" t="n"/>
      <c r="F3" s="10" t="n"/>
      <c r="G3" s="16" t="n"/>
      <c r="H3" s="17" t="n"/>
      <c r="I3" s="18" t="inlineStr">
        <is>
          <t>Schedule 1 - Purchase price allocation</t>
        </is>
      </c>
      <c r="J3" s="11" t="n"/>
    </row>
    <row r="4" ht="15.75" customHeight="1" s="77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15.75" customHeight="1" s="779">
      <c r="A5" s="19" t="n"/>
      <c r="B5" s="19" t="n"/>
      <c r="C5" s="20" t="n"/>
      <c r="D5" s="20" t="n"/>
      <c r="E5" s="20" t="n"/>
      <c r="F5" s="1116" t="n"/>
      <c r="G5" s="1116" t="n"/>
      <c r="H5" s="1116" t="n"/>
      <c r="I5" s="19" t="n"/>
      <c r="J5" s="11" t="n"/>
    </row>
    <row r="6" ht="30" customHeight="1" s="779">
      <c r="A6" s="19" t="n"/>
      <c r="B6" s="1243" t="inlineStr">
        <is>
          <t>Millions of pesos</t>
        </is>
      </c>
      <c r="C6" s="1243" t="inlineStr">
        <is>
          <t>Millones de pesos</t>
        </is>
      </c>
      <c r="D6" s="22" t="n"/>
      <c r="E6" s="22" t="n"/>
      <c r="F6" s="23" t="inlineStr">
        <is>
          <t>Notes</t>
        </is>
      </c>
      <c r="G6" s="23" t="inlineStr">
        <is>
          <t>Valor libro</t>
        </is>
      </c>
      <c r="H6" s="23" t="inlineStr">
        <is>
          <t>Ajustes</t>
        </is>
      </c>
      <c r="I6" s="23" t="inlineStr">
        <is>
          <t>Valor razonable</t>
        </is>
      </c>
      <c r="J6" s="11" t="n"/>
    </row>
    <row r="7" ht="6" customHeight="1" s="77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1" t="n"/>
    </row>
    <row r="8" ht="16.95" customHeight="1" s="779">
      <c r="A8" s="19" t="n"/>
      <c r="B8" s="1244" t="inlineStr">
        <is>
          <t>Base price</t>
        </is>
      </c>
      <c r="C8" s="1244" t="inlineStr">
        <is>
          <t>Precio base</t>
        </is>
      </c>
      <c r="D8" s="19" t="n"/>
      <c r="E8" s="19" t="n"/>
      <c r="F8" s="24" t="inlineStr">
        <is>
          <t>[1]</t>
        </is>
      </c>
      <c r="G8" s="25" t="n"/>
      <c r="H8" s="25" t="n"/>
      <c r="I8" s="1116" t="n">
        <v>363329.5138751733</v>
      </c>
      <c r="J8" s="11" t="n"/>
    </row>
    <row r="9" ht="16.95" customHeight="1" s="779">
      <c r="A9" s="19" t="n"/>
      <c r="B9" s="1245" t="inlineStr">
        <is>
          <t>Purchase Price</t>
        </is>
      </c>
      <c r="C9" s="1245" t="inlineStr">
        <is>
          <t>Valor del Patrimonio (100%)</t>
        </is>
      </c>
      <c r="D9" s="27" t="n"/>
      <c r="E9" s="27" t="n"/>
      <c r="F9" s="28" t="n"/>
      <c r="G9" s="29" t="n">
        <v>141573.643618</v>
      </c>
      <c r="H9" s="1117" t="n"/>
      <c r="I9" s="1118" t="n">
        <v>363329.5138751733</v>
      </c>
      <c r="J9" s="11" t="n">
        <v>363329513.8751733</v>
      </c>
    </row>
    <row r="10">
      <c r="A10" s="19" t="n"/>
      <c r="B10" s="19" t="n"/>
      <c r="C10" s="19" t="n"/>
      <c r="D10" s="19" t="n"/>
      <c r="E10" s="19" t="n"/>
      <c r="F10" s="32" t="n"/>
      <c r="G10" s="19" t="n"/>
      <c r="H10" s="19" t="n"/>
      <c r="I10" s="19" t="n"/>
      <c r="J10" s="11" t="n"/>
    </row>
    <row r="11">
      <c r="A11" s="20" t="n"/>
      <c r="B11" s="1246" t="inlineStr">
        <is>
          <t>Financial debt</t>
        </is>
      </c>
      <c r="C11" s="1246" t="inlineStr">
        <is>
          <t>Deuda financiera neta</t>
        </is>
      </c>
      <c r="D11" s="20" t="n"/>
      <c r="E11" s="20" t="n"/>
      <c r="F11" s="24" t="inlineStr">
        <is>
          <t>[2]</t>
        </is>
      </c>
      <c r="G11" s="1119" t="n">
        <v>152658.573382</v>
      </c>
      <c r="H11" s="1120" t="n">
        <v>0</v>
      </c>
      <c r="I11" s="1120" t="n">
        <v>152658.573382</v>
      </c>
      <c r="J11" s="11" t="n"/>
    </row>
    <row r="12" ht="16.95" customHeight="1" s="779">
      <c r="A12" s="19" t="n"/>
      <c r="B12" s="26" t="n"/>
      <c r="C12" s="1245" t="inlineStr">
        <is>
          <t>Valor del negocio (100%)</t>
        </is>
      </c>
      <c r="D12" s="27" t="n"/>
      <c r="E12" s="27" t="n"/>
      <c r="F12" s="28" t="n"/>
      <c r="G12" s="29" t="n">
        <v>294232.2170000001</v>
      </c>
      <c r="H12" s="1117" t="n">
        <v>221755.8702571733</v>
      </c>
      <c r="I12" s="1118" t="n">
        <v>515988.0872571734</v>
      </c>
      <c r="J12" s="11" t="n"/>
    </row>
    <row r="13" ht="16.95" customHeight="1" s="779">
      <c r="A13" s="19" t="n"/>
      <c r="B13" s="25" t="n"/>
      <c r="C13" s="25" t="n"/>
      <c r="D13" s="25" t="n"/>
      <c r="E13" s="25" t="n"/>
      <c r="F13" s="24" t="n"/>
      <c r="G13" s="35" t="n"/>
      <c r="H13" s="1121" t="n"/>
      <c r="I13" s="1121" t="n"/>
      <c r="J13" s="11" t="n"/>
    </row>
    <row r="14">
      <c r="A14" s="19" t="n"/>
      <c r="B14" s="1244" t="inlineStr">
        <is>
          <t>Allocated to:</t>
        </is>
      </c>
      <c r="C14" s="1247" t="inlineStr">
        <is>
          <t>Asignado a:</t>
        </is>
      </c>
      <c r="D14" s="19" t="n"/>
      <c r="E14" s="19" t="n"/>
      <c r="F14" s="32" t="n"/>
      <c r="G14" s="19" t="n"/>
      <c r="H14" s="19" t="n"/>
      <c r="I14" s="19" t="n"/>
      <c r="J14" s="37" t="n"/>
    </row>
    <row r="15" hidden="1" ht="15" customHeight="1" s="779">
      <c r="A15" s="19" t="n"/>
      <c r="B15" s="38" t="inlineStr">
        <is>
          <t>Other accounts receivable</t>
        </is>
      </c>
      <c r="C15" s="38" t="inlineStr">
        <is>
          <t>Deudores comerciales y otras cuentas por cobrar, corrientes</t>
        </is>
      </c>
      <c r="D15" s="38" t="n"/>
      <c r="E15" s="39" t="n"/>
      <c r="F15" s="24" t="inlineStr">
        <is>
          <t>[2]</t>
        </is>
      </c>
      <c r="G15" s="1120" t="n">
        <v>6100.489</v>
      </c>
      <c r="H15" s="1120" t="n">
        <v>0</v>
      </c>
      <c r="I15" s="1120" t="n">
        <v>6100.489</v>
      </c>
      <c r="J15" s="11" t="n"/>
    </row>
    <row r="16" hidden="1" ht="15" customHeight="1" s="779">
      <c r="A16" s="19" t="n"/>
      <c r="B16" s="38" t="inlineStr">
        <is>
          <t>Other current assets</t>
        </is>
      </c>
      <c r="C16" s="38" t="inlineStr">
        <is>
          <t>Inventarios</t>
        </is>
      </c>
      <c r="D16" s="38" t="n"/>
      <c r="E16" s="39" t="n"/>
      <c r="F16" s="24" t="inlineStr">
        <is>
          <t>[2]</t>
        </is>
      </c>
      <c r="G16" s="1120" t="n">
        <v>34554.816</v>
      </c>
      <c r="H16" s="1120" t="n">
        <v>0</v>
      </c>
      <c r="I16" s="1120" t="n">
        <v>34554.816</v>
      </c>
      <c r="J16" s="11" t="n"/>
    </row>
    <row r="17" hidden="1" ht="15" customHeight="1" s="779">
      <c r="B17" s="38" t="inlineStr">
        <is>
          <t>Inventories</t>
        </is>
      </c>
      <c r="C17" s="38" t="inlineStr">
        <is>
          <t>Cuentas comerciales y otras cuentas por pagar, corrientes</t>
        </is>
      </c>
      <c r="D17" s="38" t="n"/>
      <c r="E17" s="39" t="n"/>
      <c r="F17" s="24" t="n"/>
      <c r="G17" s="1120" t="n">
        <v>-73547.228</v>
      </c>
      <c r="H17" s="1120" t="n">
        <v>0</v>
      </c>
      <c r="I17" s="1120" t="n">
        <v>-73547.228</v>
      </c>
    </row>
    <row r="18">
      <c r="B18" s="1244" t="inlineStr">
        <is>
          <t>Working capital</t>
        </is>
      </c>
      <c r="C18" s="1244" t="inlineStr">
        <is>
          <t>Capital de trabajo</t>
        </is>
      </c>
      <c r="D18" s="19" t="n"/>
      <c r="E18" s="19" t="n"/>
      <c r="F18" s="24" t="inlineStr">
        <is>
          <t>[2]</t>
        </is>
      </c>
      <c r="G18" s="1120" t="n">
        <v>-32891.923</v>
      </c>
      <c r="H18" s="1120" t="n">
        <v>0</v>
      </c>
      <c r="I18" s="1120" t="n">
        <v>-32891.923</v>
      </c>
    </row>
    <row r="19">
      <c r="B19" s="1244" t="inlineStr">
        <is>
          <t>Property, plant and equipment</t>
        </is>
      </c>
      <c r="C19" s="1244" t="inlineStr">
        <is>
          <t>Propiedad, planta y equipo</t>
        </is>
      </c>
      <c r="D19" s="19" t="n"/>
      <c r="E19" s="19" t="n"/>
      <c r="F19" s="24" t="inlineStr">
        <is>
          <t>[3]</t>
        </is>
      </c>
      <c r="G19" s="1120" t="n">
        <v>265273.3579999999</v>
      </c>
      <c r="H19" s="1120" t="n">
        <v>10405.67190603685</v>
      </c>
      <c r="I19" s="1120" t="n">
        <v>275679.0299060368</v>
      </c>
    </row>
    <row r="20" hidden="1" ht="15" customHeight="1" s="779">
      <c r="B20" s="19" t="n"/>
      <c r="C20" s="19" t="n"/>
      <c r="D20" s="1244" t="inlineStr">
        <is>
          <t>Activo Fijo</t>
        </is>
      </c>
      <c r="E20" s="19" t="n"/>
      <c r="F20" s="40" t="n"/>
      <c r="G20" s="1120" t="n">
        <v>267988.6037287391</v>
      </c>
      <c r="H20" s="1120" t="n"/>
      <c r="I20" s="1122" t="n">
        <v>275939.887634776</v>
      </c>
    </row>
    <row r="21" hidden="1" ht="15" customHeight="1" s="779">
      <c r="B21" s="19" t="n"/>
      <c r="C21" s="19" t="n"/>
      <c r="D21" s="1244" t="inlineStr">
        <is>
          <t>Deterioro</t>
        </is>
      </c>
      <c r="E21" s="19" t="n"/>
      <c r="F21" s="40" t="n"/>
      <c r="G21" s="1120" t="n">
        <v>-2454.388</v>
      </c>
      <c r="H21" s="1120" t="n"/>
      <c r="I21" s="1120" t="n"/>
    </row>
    <row r="22" hidden="1" ht="15" customHeight="1" s="779">
      <c r="B22" s="19" t="n"/>
      <c r="C22" s="19" t="n"/>
      <c r="D22" s="1244" t="inlineStr">
        <is>
          <t>Otros</t>
        </is>
      </c>
      <c r="E22" s="19" t="n"/>
      <c r="F22" s="40" t="n"/>
      <c r="G22" s="1120" t="n">
        <v>-260.8577287391299</v>
      </c>
      <c r="H22" s="1120" t="n"/>
      <c r="I22" s="1120" t="n">
        <v>-260.8577287391299</v>
      </c>
    </row>
    <row r="23">
      <c r="B23" s="19" t="n"/>
      <c r="C23" s="1244" t="inlineStr">
        <is>
          <t>Derecho de Uso</t>
        </is>
      </c>
      <c r="D23" s="11" t="n"/>
      <c r="E23" s="19" t="n"/>
      <c r="F23" s="24" t="inlineStr">
        <is>
          <t>[2]</t>
        </is>
      </c>
      <c r="G23" s="1120" t="n">
        <v>12082.514</v>
      </c>
      <c r="H23" s="1120" t="n"/>
      <c r="I23" s="1120" t="n">
        <v>12082.514</v>
      </c>
    </row>
    <row r="24">
      <c r="B24" s="19" t="n"/>
      <c r="C24" s="1244" t="inlineStr">
        <is>
          <t>Pasivo arrendamiento</t>
        </is>
      </c>
      <c r="D24" s="11" t="n"/>
      <c r="E24" s="19" t="n"/>
      <c r="F24" s="24" t="inlineStr">
        <is>
          <t>[2]</t>
        </is>
      </c>
      <c r="G24" s="1120" t="n">
        <v>-12468.599</v>
      </c>
      <c r="H24" s="1120" t="n"/>
      <c r="I24" s="1120" t="n">
        <v>-12468.599</v>
      </c>
    </row>
    <row r="25">
      <c r="B25" s="38" t="n"/>
      <c r="C25" s="1244" t="inlineStr">
        <is>
          <t>Plusvalía existente</t>
        </is>
      </c>
      <c r="D25" s="38" t="n"/>
      <c r="E25" s="19" t="n"/>
      <c r="F25" s="40" t="n"/>
      <c r="G25" s="1120" t="n">
        <v>81462.673</v>
      </c>
      <c r="H25" s="1120" t="n">
        <v>-81462.673</v>
      </c>
      <c r="I25" s="1120" t="n">
        <v>0</v>
      </c>
    </row>
    <row r="26">
      <c r="B26" s="38" t="n"/>
      <c r="C26" s="1244" t="inlineStr">
        <is>
          <t>Activos intangibles existentes</t>
        </is>
      </c>
      <c r="D26" s="38" t="n"/>
      <c r="E26" s="19" t="n"/>
      <c r="F26" s="24" t="inlineStr">
        <is>
          <t>[2]</t>
        </is>
      </c>
      <c r="G26" s="1120" t="n">
        <v>2721.717</v>
      </c>
      <c r="H26" s="1120" t="n">
        <v>0</v>
      </c>
      <c r="I26" s="1120" t="n">
        <v>2721.717</v>
      </c>
    </row>
    <row r="27">
      <c r="B27" s="19" t="n"/>
      <c r="C27" s="1244" t="inlineStr">
        <is>
          <t>Otros activos netos</t>
        </is>
      </c>
      <c r="D27" s="19" t="n"/>
      <c r="E27" s="19" t="n"/>
      <c r="F27" s="24" t="inlineStr">
        <is>
          <t>[2]</t>
        </is>
      </c>
      <c r="G27" s="1120" t="n">
        <v>-21947.523</v>
      </c>
      <c r="H27" s="1123" t="n">
        <v>0</v>
      </c>
      <c r="I27" s="1124" t="n">
        <v>-21947.523</v>
      </c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B29" s="11" t="n"/>
      <c r="C29" s="1247" t="inlineStr">
        <is>
          <t>Activos Intangibles post transacción:</t>
        </is>
      </c>
      <c r="D29" s="11" t="n"/>
      <c r="E29" s="11" t="n"/>
      <c r="F29" s="11" t="n"/>
      <c r="G29" s="11" t="n"/>
      <c r="H29" s="11" t="n"/>
      <c r="I29" s="11" t="n"/>
    </row>
    <row r="30">
      <c r="B30" s="38" t="inlineStr">
        <is>
          <t>Brand</t>
        </is>
      </c>
      <c r="C30" s="38" t="inlineStr">
        <is>
          <t>Cartera de Clientes</t>
        </is>
      </c>
      <c r="D30" s="38" t="n"/>
      <c r="E30" s="19" t="n"/>
      <c r="F30" s="40" t="n"/>
      <c r="G30" s="1120" t="n"/>
      <c r="H30" s="1120" t="n">
        <v>9204.283037463763</v>
      </c>
      <c r="I30" s="1120" t="n">
        <v>9204.283037463763</v>
      </c>
    </row>
    <row r="31">
      <c r="B31" s="38" t="inlineStr">
        <is>
          <t>Le Club</t>
        </is>
      </c>
      <c r="C31" s="38" t="inlineStr">
        <is>
          <t>Marca</t>
        </is>
      </c>
      <c r="D31" s="38" t="n"/>
      <c r="E31" s="19" t="n"/>
      <c r="F31" s="40" t="n"/>
      <c r="G31" s="1120" t="n"/>
      <c r="H31" s="1120" t="n">
        <v>84383.56385267324</v>
      </c>
      <c r="I31" s="1120" t="n">
        <v>84383.56385267324</v>
      </c>
    </row>
    <row r="33">
      <c r="B33" s="1247" t="inlineStr">
        <is>
          <t>Intangible assets</t>
        </is>
      </c>
      <c r="C33" s="1244" t="inlineStr">
        <is>
          <t>Activo/Pasivos por impuestos diferidos post transacción</t>
        </is>
      </c>
      <c r="D33" s="25" t="n"/>
      <c r="E33" s="25" t="n"/>
      <c r="F33" s="44" t="n"/>
      <c r="G33" s="1125" t="n"/>
      <c r="H33" s="1120" t="n">
        <v>-28078.25007496694</v>
      </c>
      <c r="I33" s="1120" t="n">
        <v>-28078.25007496694</v>
      </c>
      <c r="J33" s="1126" t="n"/>
      <c r="K33" t="n">
        <v>-28078250.07496694</v>
      </c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245" t="inlineStr">
        <is>
          <t>Net assets acquired</t>
        </is>
      </c>
      <c r="C35" s="1245" t="inlineStr">
        <is>
          <t>Activos netos adquiridos</t>
        </is>
      </c>
      <c r="D35" s="27" t="n"/>
      <c r="E35" s="27" t="n"/>
      <c r="F35" s="28" t="n"/>
      <c r="G35" s="1127" t="n">
        <v>294232.217</v>
      </c>
      <c r="H35" s="1127" t="n">
        <v>-5547.404278793096</v>
      </c>
      <c r="I35" s="1128" t="n">
        <v>288684.8127212069</v>
      </c>
      <c r="J35" s="11" t="n"/>
    </row>
    <row r="36">
      <c r="B36" s="19" t="n"/>
      <c r="C36" s="19" t="n"/>
      <c r="D36" s="19" t="n"/>
      <c r="E36" s="19" t="n"/>
      <c r="F36" s="32" t="n"/>
      <c r="G36" s="1120" t="n"/>
      <c r="H36" s="1120" t="n"/>
      <c r="I36" s="1120" t="n"/>
      <c r="J36" s="11" t="n"/>
    </row>
    <row r="37">
      <c r="B37" s="1244" t="inlineStr">
        <is>
          <t>Workforce</t>
        </is>
      </c>
      <c r="C37" s="1244" t="inlineStr">
        <is>
          <t>Fuerza de trabajo</t>
        </is>
      </c>
      <c r="D37" s="19" t="n"/>
      <c r="E37" s="19" t="n"/>
      <c r="F37" s="49" t="n"/>
      <c r="G37" s="1120" t="n"/>
      <c r="H37" s="1120" t="n"/>
      <c r="I37" s="1119" t="n">
        <v>1688.536573030655</v>
      </c>
      <c r="J37" s="11" t="n"/>
    </row>
    <row r="38">
      <c r="B38" s="1245" t="inlineStr">
        <is>
          <t>Goodwill (bargain purchase) - including Workforce</t>
        </is>
      </c>
      <c r="C38" s="1245" t="inlineStr">
        <is>
          <t>Plusvalía (compra ventajosa) - incluyendo workforce</t>
        </is>
      </c>
      <c r="D38" s="27" t="n"/>
      <c r="E38" s="27" t="n"/>
      <c r="F38" s="27" t="n"/>
      <c r="G38" s="1127" t="n">
        <v>0</v>
      </c>
      <c r="H38" s="1127" t="n"/>
      <c r="I38" s="1129" t="n">
        <v>227303.2745359665</v>
      </c>
      <c r="J38" s="51" t="n">
        <v>0.4405203921358679</v>
      </c>
    </row>
    <row r="39">
      <c r="B39" s="19" t="n"/>
      <c r="C39" s="19" t="n"/>
      <c r="D39" s="19" t="n"/>
      <c r="E39" s="19" t="n"/>
      <c r="F39" s="19" t="n"/>
      <c r="G39" s="19" t="n"/>
      <c r="H39" s="19" t="n"/>
      <c r="I39" s="19" t="n">
        <v>145840.6015359664</v>
      </c>
      <c r="J39" s="11" t="n"/>
    </row>
    <row r="40">
      <c r="B40" s="1248" t="inlineStr">
        <is>
          <t xml:space="preserve">Notes </t>
        </is>
      </c>
      <c r="C40" s="1248" t="inlineStr">
        <is>
          <t>Notas</t>
        </is>
      </c>
      <c r="D40" s="52" t="n"/>
      <c r="E40" s="53" t="n"/>
      <c r="F40" s="53" t="n"/>
      <c r="G40" s="53" t="n"/>
      <c r="H40" s="53" t="n"/>
      <c r="I40" s="1130" t="n">
        <v>75915.26872120691</v>
      </c>
      <c r="J40" s="11" t="n"/>
    </row>
    <row r="41" ht="16.95" customHeight="1" s="779">
      <c r="B41" s="1247" t="inlineStr">
        <is>
          <t>[1]</t>
        </is>
      </c>
      <c r="C41" s="1247" t="inlineStr">
        <is>
          <t>[1]</t>
        </is>
      </c>
      <c r="D41" s="55" t="inlineStr">
        <is>
          <t>Precio de compra fue provisto por la Administración.</t>
        </is>
      </c>
      <c r="E41" s="56" t="n"/>
      <c r="F41" s="56" t="n"/>
      <c r="G41" s="56" t="n"/>
      <c r="H41" s="56" t="n"/>
      <c r="I41" s="19" t="n"/>
      <c r="J41" s="11" t="n"/>
    </row>
    <row r="42" ht="16.95" customHeight="1" s="779">
      <c r="B42" s="1247" t="inlineStr">
        <is>
          <t>[2]</t>
        </is>
      </c>
      <c r="C42" s="1247" t="inlineStr">
        <is>
          <t>[2]</t>
        </is>
      </c>
      <c r="D42" s="57" t="inlineStr">
        <is>
          <t>Asumimos que el valor razonable de estos activos y pasivos es igual al valor libro, debido a la liquidez de estos activos.</t>
        </is>
      </c>
      <c r="E42" s="58" t="n"/>
      <c r="F42" s="58" t="n"/>
      <c r="G42" s="58" t="n"/>
      <c r="H42" s="58" t="n"/>
      <c r="I42" s="19" t="n"/>
      <c r="J42" s="11" t="n"/>
    </row>
    <row r="43" ht="16.95" customHeight="1" s="779">
      <c r="B43" s="19" t="n"/>
      <c r="C43" s="1247" t="inlineStr">
        <is>
          <t>[3]</t>
        </is>
      </c>
      <c r="D43" s="57" t="inlineStr">
        <is>
          <t>Informe de tasación de Valtin Capital, con fecha 31/12/21</t>
        </is>
      </c>
      <c r="E43" s="59" t="n"/>
      <c r="F43" s="59" t="n"/>
      <c r="G43" s="19" t="n"/>
      <c r="H43" s="19" t="n"/>
      <c r="I43" s="19" t="n"/>
      <c r="J43" s="1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D33"/>
  <sheetViews>
    <sheetView topLeftCell="A4" workbookViewId="0">
      <selection activeCell="I11" sqref="I11"/>
    </sheetView>
  </sheetViews>
  <sheetFormatPr baseColWidth="10" defaultRowHeight="14.4"/>
  <cols>
    <col width="35.6640625" customWidth="1" style="779" min="2" max="2"/>
    <col width="14.33203125" bestFit="1" customWidth="1" style="779" min="3" max="3"/>
    <col width="13.5546875" bestFit="1" customWidth="1" style="779" min="4" max="4"/>
    <col width="9.5546875" customWidth="1" style="779" min="5" max="5"/>
    <col width="21.33203125" bestFit="1" customWidth="1" style="779" min="7" max="7"/>
    <col width="13.5546875" bestFit="1" customWidth="1" style="779" min="8" max="9"/>
  </cols>
  <sheetData>
    <row r="2">
      <c r="B2" s="60" t="inlineStr">
        <is>
          <t>a) Amortización cartera (PPA)</t>
        </is>
      </c>
      <c r="C2" s="61" t="n"/>
      <c r="D2" s="61" t="n"/>
    </row>
    <row r="3">
      <c r="B3" s="62" t="n"/>
      <c r="C3" s="61" t="n"/>
      <c r="D3" s="61" t="n"/>
    </row>
    <row r="4">
      <c r="B4" s="62" t="n"/>
      <c r="C4" s="63" t="inlineStr">
        <is>
          <t>$</t>
        </is>
      </c>
      <c r="D4" s="61" t="n"/>
    </row>
    <row r="5">
      <c r="B5" s="62" t="inlineStr">
        <is>
          <t>Cartera de clientes</t>
        </is>
      </c>
      <c r="C5" s="1131" t="n">
        <v>9204283037</v>
      </c>
      <c r="D5" s="61" t="n"/>
    </row>
    <row r="6">
      <c r="B6" s="62" t="inlineStr">
        <is>
          <t>Plazo amortización</t>
        </is>
      </c>
      <c r="C6" s="1131" t="n">
        <v>5</v>
      </c>
      <c r="D6" s="61" t="n"/>
    </row>
    <row r="7">
      <c r="B7" s="62" t="inlineStr">
        <is>
          <t>Amortización año 2022</t>
        </is>
      </c>
      <c r="C7" s="1131">
        <f>+C5/C6</f>
        <v/>
      </c>
      <c r="D7" s="1131">
        <f>+C7*0.27</f>
        <v/>
      </c>
    </row>
    <row r="8">
      <c r="B8" s="62" t="n"/>
      <c r="C8" s="61" t="n"/>
      <c r="D8" s="61" t="n"/>
    </row>
    <row r="9">
      <c r="B9" s="62" t="inlineStr">
        <is>
          <t>Saldo cartera de clientes (neto)</t>
        </is>
      </c>
      <c r="C9" s="1131">
        <f>+C5-C7</f>
        <v/>
      </c>
      <c r="D9" s="61" t="n"/>
    </row>
    <row r="10">
      <c r="B10" s="62" t="inlineStr">
        <is>
          <t>Saldo impuesto diferido</t>
        </is>
      </c>
      <c r="C10" s="1131">
        <f>+C9*0.27</f>
        <v/>
      </c>
      <c r="D10" s="1131" t="n"/>
    </row>
    <row r="11">
      <c r="B11" s="61" t="n"/>
      <c r="C11" s="61" t="n"/>
      <c r="D11" s="61" t="n"/>
    </row>
    <row r="12" ht="15" customHeight="1" s="779" thickBot="1">
      <c r="B12" s="61" t="n"/>
      <c r="C12" s="63" t="inlineStr">
        <is>
          <t>$</t>
        </is>
      </c>
      <c r="D12" s="63" t="inlineStr">
        <is>
          <t>$</t>
        </is>
      </c>
    </row>
    <row r="13">
      <c r="B13" s="65" t="inlineStr">
        <is>
          <t>Gastos de administración</t>
        </is>
      </c>
      <c r="C13" s="1132">
        <f>+C7</f>
        <v/>
      </c>
      <c r="D13" s="1132" t="n"/>
    </row>
    <row r="14">
      <c r="B14" s="67" t="inlineStr">
        <is>
          <t>Activos intangibles distintos de la plusvalía</t>
        </is>
      </c>
      <c r="C14" s="1131" t="n"/>
      <c r="D14" s="1131">
        <f>+C7</f>
        <v/>
      </c>
    </row>
    <row r="15" ht="21.6" customHeight="1" s="779">
      <c r="B15" s="68" t="inlineStr">
        <is>
          <t>Gl:  reconoce amortización cartera de clientes</t>
        </is>
      </c>
      <c r="C15" s="1131" t="n"/>
      <c r="D15" s="1131" t="n"/>
    </row>
    <row r="17">
      <c r="B17" s="69" t="inlineStr">
        <is>
          <t>Pasivos por impuestos diferidos</t>
        </is>
      </c>
      <c r="C17" s="1133">
        <f>C13*0.27</f>
        <v/>
      </c>
      <c r="D17" s="62" t="n"/>
    </row>
    <row r="18">
      <c r="B18" s="67" t="inlineStr">
        <is>
          <t>Impuestos a la renta</t>
        </is>
      </c>
      <c r="C18" s="61" t="n"/>
      <c r="D18" s="1133">
        <f>+C17</f>
        <v/>
      </c>
    </row>
    <row r="19" ht="22.2" customHeight="1" s="779" thickBot="1">
      <c r="B19" s="71" t="inlineStr">
        <is>
          <t>Gl:  disminuye pasivo por impto diferido de la cartera de clientes</t>
        </is>
      </c>
      <c r="C19" s="72" t="n"/>
      <c r="D19" s="72" t="n"/>
    </row>
    <row r="21" hidden="1" s="779">
      <c r="C21" s="1134" t="n"/>
    </row>
    <row r="22" hidden="1" ht="21.6" customHeight="1" s="779">
      <c r="B22" s="74" t="inlineStr">
        <is>
          <t>b) Impuesto diferido reserva de derivado reconocida en patrimonio</t>
        </is>
      </c>
      <c r="C22" s="1135" t="n"/>
      <c r="D22" s="76" t="n"/>
    </row>
    <row r="23" hidden="1" s="779">
      <c r="B23" s="77" t="n"/>
      <c r="C23" s="1135" t="n"/>
      <c r="D23" s="76" t="n"/>
    </row>
    <row r="24" hidden="1" s="779">
      <c r="B24" s="77" t="inlineStr">
        <is>
          <t>Saldo Otras reservas Derivado</t>
        </is>
      </c>
      <c r="C24" s="1135" t="n">
        <v>2943430979</v>
      </c>
      <c r="D24" s="76" t="n"/>
    </row>
    <row r="25" hidden="1" s="779">
      <c r="B25" s="77" t="inlineStr">
        <is>
          <t>Impuesto diferido</t>
        </is>
      </c>
      <c r="C25" s="1135">
        <f>+C24*27%</f>
        <v/>
      </c>
      <c r="D25" s="76" t="n"/>
    </row>
    <row r="26" hidden="1" s="779">
      <c r="B26" s="76" t="n"/>
      <c r="C26" s="1135" t="n"/>
      <c r="D26" s="76" t="n"/>
    </row>
    <row r="27" hidden="1" s="779">
      <c r="B27" s="77" t="inlineStr">
        <is>
          <t>Pasivos por impuestos diferidos</t>
        </is>
      </c>
      <c r="C27" s="1135">
        <f>+C25</f>
        <v/>
      </c>
      <c r="D27" s="76" t="n"/>
    </row>
    <row r="28" hidden="1" s="779">
      <c r="B28" s="78" t="inlineStr">
        <is>
          <t xml:space="preserve">Otras reservas </t>
        </is>
      </c>
      <c r="C28" s="1135" t="n"/>
      <c r="D28" s="1135">
        <f>+C25</f>
        <v/>
      </c>
    </row>
    <row r="29" hidden="1" s="779">
      <c r="B29" s="79" t="inlineStr">
        <is>
          <t xml:space="preserve">Gl: Reconoce impuesto diferido </t>
        </is>
      </c>
      <c r="C29" s="1135" t="n"/>
      <c r="D29" s="1135" t="n"/>
    </row>
    <row r="30" hidden="1" s="779">
      <c r="B30" s="76" t="n"/>
      <c r="C30" s="1135" t="n"/>
      <c r="D30" s="76" t="n"/>
    </row>
    <row r="31" hidden="1" s="779">
      <c r="B31" s="77" t="inlineStr">
        <is>
          <t>Impuestos a la renta</t>
        </is>
      </c>
      <c r="C31" s="1135">
        <f>+C27</f>
        <v/>
      </c>
      <c r="D31" s="1135" t="n"/>
    </row>
    <row r="32" hidden="1" s="779">
      <c r="B32" s="78" t="inlineStr">
        <is>
          <t>Pasivos por impuestos diferidos</t>
        </is>
      </c>
      <c r="C32" s="76" t="n"/>
      <c r="D32" s="1135">
        <f>+D28</f>
        <v/>
      </c>
    </row>
    <row r="33" hidden="1" s="779">
      <c r="B33" s="79" t="inlineStr">
        <is>
          <t xml:space="preserve">Gl: Reconoce impuesto diferido </t>
        </is>
      </c>
      <c r="C33" s="76" t="n"/>
      <c r="D33" s="1135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4:DM58"/>
  <sheetViews>
    <sheetView workbookViewId="0">
      <selection activeCell="A1" sqref="A1"/>
    </sheetView>
  </sheetViews>
  <sheetFormatPr baseColWidth="10" defaultColWidth="8.88671875" defaultRowHeight="14.4"/>
  <cols>
    <col width="11.5546875" customWidth="1" style="779" min="1" max="1"/>
    <col width="27.6640625" customWidth="1" style="779" min="2" max="2"/>
    <col width="10" customWidth="1" style="779" min="3" max="3"/>
    <col width="10.77734375" customWidth="1" style="779" min="4" max="4"/>
    <col width="10" customWidth="1" style="779" min="5" max="5"/>
    <col width="1.77734375" customWidth="1" style="779" min="7" max="7"/>
    <col width="11.5546875" customWidth="1" style="779" min="8" max="8"/>
  </cols>
  <sheetData>
    <row r="4">
      <c r="B4" s="1249" t="inlineStr">
        <is>
          <t>PACIFICO=</t>
        </is>
      </c>
      <c r="C4" s="1249" t="inlineStr">
        <is>
          <t>Residencia</t>
        </is>
      </c>
    </row>
    <row r="5">
      <c r="B5" s="1249" t="inlineStr">
        <is>
          <t>MAYORISTA=</t>
        </is>
      </c>
      <c r="C5" s="1249" t="inlineStr">
        <is>
          <t>Mayorista</t>
        </is>
      </c>
    </row>
    <row r="8">
      <c r="B8" s="1250" t="inlineStr">
        <is>
          <t>Activos y pasivos por segmento</t>
        </is>
      </c>
    </row>
    <row r="10">
      <c r="H10" s="694" t="n"/>
      <c r="M10" s="694" t="n"/>
      <c r="N10" s="694" t="n"/>
      <c r="O10" s="694" t="n"/>
      <c r="Q10" s="694" t="n"/>
      <c r="R10" s="694" t="n"/>
      <c r="S10" s="694" t="n"/>
      <c r="T10" s="694" t="n"/>
      <c r="V10" s="694" t="n"/>
      <c r="Z10" s="694" t="n"/>
      <c r="AA10" s="694" t="n"/>
      <c r="AD10" s="694" t="n"/>
      <c r="AE10" s="694" t="n"/>
      <c r="AF10" s="694" t="n"/>
      <c r="AI10" s="694" t="n"/>
      <c r="AT10" s="694" t="n"/>
      <c r="AU10" s="694" t="n"/>
      <c r="AV10" s="694" t="n"/>
      <c r="AW10" s="694" t="n"/>
      <c r="AX10" s="694" t="n"/>
      <c r="AY10" s="694" t="n"/>
      <c r="AZ10" s="694" t="n"/>
      <c r="BA10" s="694" t="n"/>
      <c r="BB10" s="694" t="n"/>
      <c r="BC10" s="694" t="n"/>
      <c r="BI10" s="694" t="n"/>
      <c r="BJ10" s="694" t="n"/>
      <c r="BK10" s="694" t="n"/>
      <c r="BL10" s="694" t="n"/>
      <c r="BM10" s="694" t="n"/>
      <c r="BN10" s="694" t="n"/>
      <c r="BO10" s="694" t="n"/>
      <c r="BP10" s="694" t="n"/>
      <c r="BQ10" s="694" t="n"/>
      <c r="BR10" s="694" t="n"/>
      <c r="BY10" s="694" t="n"/>
      <c r="BZ10" s="694" t="n"/>
      <c r="CA10" s="694" t="n"/>
      <c r="CC10" s="694" t="n"/>
      <c r="CD10" s="694" t="n"/>
      <c r="CE10" s="694" t="n"/>
      <c r="CF10" s="694" t="n"/>
      <c r="CH10" s="694" t="n"/>
      <c r="CN10" s="694" t="n"/>
      <c r="CO10" s="694" t="n"/>
      <c r="CP10" s="694" t="n"/>
      <c r="CQ10" s="694" t="n"/>
      <c r="CR10" s="694" t="n"/>
      <c r="CS10" s="694" t="n"/>
      <c r="CT10" s="694" t="n"/>
      <c r="CU10" s="694" t="n"/>
      <c r="CV10" s="694" t="n"/>
      <c r="CW10" s="694" t="n"/>
      <c r="DD10" s="694" t="n"/>
      <c r="DE10" s="694" t="n"/>
      <c r="DF10" s="694" t="n"/>
      <c r="DH10" s="694" t="n"/>
      <c r="DI10" s="694" t="n"/>
      <c r="DJ10" s="694" t="n"/>
      <c r="DK10" s="694" t="n"/>
      <c r="DM10" s="694" t="n"/>
    </row>
    <row r="11">
      <c r="B11" s="695" t="n"/>
      <c r="C11" s="696" t="n"/>
      <c r="D11" s="696" t="n"/>
      <c r="E11" s="696" t="n"/>
      <c r="F11" s="696" t="n"/>
      <c r="G11" s="695" t="n"/>
    </row>
    <row r="12">
      <c r="B12" s="695" t="n"/>
      <c r="C12" s="1251" t="inlineStr">
        <is>
          <t>Residencial</t>
        </is>
      </c>
      <c r="D12" s="1251" t="inlineStr">
        <is>
          <t>Mayorista</t>
        </is>
      </c>
      <c r="E12" s="1251" t="inlineStr">
        <is>
          <t>Eliminaciones</t>
        </is>
      </c>
      <c r="F12" s="697" t="inlineStr">
        <is>
          <t>Total</t>
        </is>
      </c>
      <c r="G12" s="695" t="n"/>
    </row>
    <row r="13">
      <c r="B13" s="695" t="n"/>
      <c r="C13" s="698" t="inlineStr">
        <is>
          <t>M$</t>
        </is>
      </c>
      <c r="D13" s="698" t="inlineStr">
        <is>
          <t>M$</t>
        </is>
      </c>
      <c r="E13" s="698" t="inlineStr">
        <is>
          <t>M$</t>
        </is>
      </c>
      <c r="F13" s="698" t="inlineStr">
        <is>
          <t>M$</t>
        </is>
      </c>
      <c r="G13" s="695" t="n"/>
    </row>
    <row r="14">
      <c r="B14" s="695" t="n"/>
      <c r="C14" s="695" t="n"/>
      <c r="D14" s="695" t="n"/>
      <c r="E14" s="695" t="n"/>
      <c r="F14" s="695" t="n"/>
      <c r="G14" s="695" t="n"/>
    </row>
    <row r="15">
      <c r="B15" s="1252" t="inlineStr">
        <is>
          <t>Efectivo y efectivo equivalente</t>
        </is>
      </c>
      <c r="C15" s="1136" t="n">
        <v>8170901.762</v>
      </c>
      <c r="D15" s="1136" t="n">
        <v>17897121.619</v>
      </c>
      <c r="E15" s="1136" t="n">
        <v>0</v>
      </c>
      <c r="F15" s="1136" t="n">
        <v>26068023.381</v>
      </c>
      <c r="G15" s="695" t="n"/>
    </row>
    <row r="16" ht="19.2" customHeight="1" s="779">
      <c r="B16" s="1252" t="inlineStr">
        <is>
          <t>Deudores comerciales  y otras cuentas por cobrar (1)</t>
        </is>
      </c>
      <c r="C16" s="1136" t="n">
        <v>11920921.846</v>
      </c>
      <c r="D16" s="1136" t="n">
        <v>145299121.279</v>
      </c>
      <c r="E16" s="1136" t="n">
        <v>-144114835.793</v>
      </c>
      <c r="F16" s="1136" t="n">
        <v>13105207.33199999</v>
      </c>
      <c r="G16" s="695" t="n"/>
    </row>
    <row r="17">
      <c r="B17" s="1252" t="inlineStr">
        <is>
          <t>Propiedades planta y equipo</t>
        </is>
      </c>
      <c r="C17" s="1136" t="n">
        <v>142104895.302</v>
      </c>
      <c r="D17" s="1136" t="n">
        <v>425273461.267</v>
      </c>
      <c r="E17" s="1136" t="n"/>
      <c r="F17" s="1136" t="n">
        <v>567378356.569</v>
      </c>
      <c r="G17" s="695" t="n"/>
    </row>
    <row r="18">
      <c r="B18" s="1252" t="inlineStr">
        <is>
          <t>Pasivos financieros (2)</t>
        </is>
      </c>
      <c r="C18" s="1136" t="n">
        <v>3039959.268</v>
      </c>
      <c r="D18" s="1136" t="n">
        <v>377501684.659</v>
      </c>
      <c r="E18" s="1136" t="n">
        <v>0</v>
      </c>
      <c r="F18" s="1136" t="n">
        <v>380541643.927</v>
      </c>
      <c r="G18" s="695" t="n"/>
    </row>
    <row r="19" ht="19.2" customHeight="1" s="779">
      <c r="B19" s="1252" t="inlineStr">
        <is>
          <t>Cuentas por pagar comerciales y otras cuentas por pagar (3)</t>
        </is>
      </c>
      <c r="C19" s="1136" t="n">
        <v>204473868.077</v>
      </c>
      <c r="D19" s="1136" t="n">
        <v>18070737.373</v>
      </c>
      <c r="E19" s="1136" t="n">
        <v>-144115834.793</v>
      </c>
      <c r="F19" s="1136" t="n">
        <v>78428770.65699998</v>
      </c>
      <c r="G19" s="695" t="n"/>
    </row>
    <row r="20">
      <c r="B20" s="699" t="n"/>
      <c r="C20" s="1136" t="n"/>
      <c r="D20" s="1136" t="n"/>
      <c r="E20" s="1136" t="n"/>
      <c r="F20" s="1136" t="n"/>
      <c r="G20" s="695" t="n"/>
    </row>
    <row r="21">
      <c r="B21" s="1252" t="inlineStr">
        <is>
          <t>Total activos corrientes por segmento</t>
        </is>
      </c>
      <c r="C21" s="1136" t="n">
        <v>53972847.176</v>
      </c>
      <c r="D21" s="1136" t="n">
        <v>42081590.631</v>
      </c>
      <c r="E21" s="1136" t="n">
        <v>0</v>
      </c>
      <c r="F21" s="1136" t="n">
        <v>96054437.807</v>
      </c>
      <c r="G21" s="695" t="n"/>
    </row>
    <row r="22">
      <c r="B22" s="1252" t="inlineStr">
        <is>
          <t>Total activos no corrientes por segmento</t>
        </is>
      </c>
      <c r="C22" s="1136" t="n">
        <v>251997020.152</v>
      </c>
      <c r="D22" s="1136" t="n">
        <v>1022392681.896</v>
      </c>
      <c r="E22" s="1136" t="n">
        <v>-280132126.4930671</v>
      </c>
      <c r="F22" s="1136" t="n">
        <v>994257575.5549331</v>
      </c>
      <c r="G22" s="695" t="n"/>
    </row>
    <row r="23">
      <c r="B23" s="699" t="n"/>
      <c r="C23" s="1136" t="n"/>
      <c r="D23" s="1136" t="n"/>
      <c r="E23" s="1136" t="n"/>
      <c r="F23" s="1136" t="n"/>
      <c r="G23" s="695" t="n"/>
    </row>
    <row r="24">
      <c r="B24" s="1252" t="inlineStr">
        <is>
          <t>Total pasivos corrientes por segmento</t>
        </is>
      </c>
      <c r="C24" s="1136" t="n">
        <v>60388181.609</v>
      </c>
      <c r="D24" s="1136" t="n">
        <v>47569506.05</v>
      </c>
      <c r="E24" s="1136" t="n">
        <v>-18796465.061</v>
      </c>
      <c r="F24" s="1136" t="n">
        <v>89161222.59799999</v>
      </c>
      <c r="G24" s="695" t="n"/>
    </row>
    <row r="25">
      <c r="B25" s="1252" t="inlineStr">
        <is>
          <t>Total pasivos no corrientes por segmento</t>
        </is>
      </c>
      <c r="C25" s="1136" t="n">
        <v>162026748.905</v>
      </c>
      <c r="D25" s="1136" t="n">
        <v>365524351.449</v>
      </c>
      <c r="E25" s="1136" t="n">
        <v>-125319369.732</v>
      </c>
      <c r="F25" s="1136" t="n">
        <v>402231730.622</v>
      </c>
      <c r="G25" s="695" t="n"/>
    </row>
    <row r="26">
      <c r="B26" s="699" t="n"/>
      <c r="C26" s="1137" t="n"/>
      <c r="D26" s="1137" t="n"/>
      <c r="E26" s="1137" t="n"/>
      <c r="F26" s="1137" t="n"/>
      <c r="G26" s="695" t="n"/>
    </row>
    <row r="28">
      <c r="B28" s="1249" t="inlineStr">
        <is>
          <t xml:space="preserve"> (1) Los Deudores Comerciales y Otras cuentas por Cobrar, neto, incluyen la porción corriente y no corriente, además del rubro "Cuentas por Cobrar a entidades relacionadas)</t>
        </is>
      </c>
    </row>
    <row r="29">
      <c r="B29" s="1249" t="inlineStr">
        <is>
          <t xml:space="preserve"> (2)  Los Pasivos Financieros incluyen tanto el rubro corriente como no corriente</t>
        </is>
      </c>
    </row>
    <row r="30">
      <c r="B30" s="1249" t="inlineStr">
        <is>
          <t xml:space="preserve"> (3) Los Cuentas por pagar comerciales y otras cuentas por pagar, incluyen la porción corriente y no corriente, además del rubro "Cuentas por Pagar  a entidades relacionadas)</t>
        </is>
      </c>
    </row>
    <row r="34">
      <c r="B34" s="1250" t="inlineStr">
        <is>
          <t>Ingresos, costos e inversiones de capital por segmento</t>
        </is>
      </c>
    </row>
    <row r="36">
      <c r="B36" s="695" t="n"/>
      <c r="C36" s="696" t="n"/>
      <c r="D36" s="696" t="n"/>
      <c r="E36" s="696" t="n"/>
      <c r="F36" s="696" t="n"/>
      <c r="G36" s="695" t="n"/>
    </row>
    <row r="37">
      <c r="B37" s="695" t="n"/>
      <c r="C37" s="1251" t="inlineStr">
        <is>
          <t>Residencial</t>
        </is>
      </c>
      <c r="D37" s="1251" t="inlineStr">
        <is>
          <t>Mayorista</t>
        </is>
      </c>
      <c r="E37" s="1251" t="inlineStr">
        <is>
          <t>Eliminaciones</t>
        </is>
      </c>
      <c r="F37" s="697" t="inlineStr">
        <is>
          <t>Total</t>
        </is>
      </c>
      <c r="G37" s="695" t="n"/>
    </row>
    <row r="38">
      <c r="B38" s="695" t="n"/>
      <c r="C38" s="698" t="inlineStr">
        <is>
          <t>M$</t>
        </is>
      </c>
      <c r="D38" s="698" t="inlineStr">
        <is>
          <t>M$</t>
        </is>
      </c>
      <c r="E38" s="698" t="inlineStr">
        <is>
          <t>M$</t>
        </is>
      </c>
      <c r="F38" s="698" t="inlineStr">
        <is>
          <t>M$</t>
        </is>
      </c>
      <c r="G38" s="695" t="n"/>
    </row>
    <row r="39">
      <c r="B39" s="1253" t="inlineStr">
        <is>
          <t>Resultados:</t>
        </is>
      </c>
      <c r="C39" s="695" t="n"/>
      <c r="D39" s="695" t="n"/>
      <c r="E39" s="695" t="n"/>
      <c r="F39" s="695" t="n"/>
      <c r="G39" s="695" t="n"/>
    </row>
    <row r="40">
      <c r="B40" s="1252" t="inlineStr">
        <is>
          <t>Ingresos de actividades ordinarias</t>
        </is>
      </c>
      <c r="C40" s="1136" t="n">
        <v>228906881.918</v>
      </c>
      <c r="D40" s="1136" t="n">
        <v>71949434.042</v>
      </c>
      <c r="E40" s="1136" t="n">
        <v>-71092965.395</v>
      </c>
      <c r="F40" s="1136" t="n">
        <v>229763350.5650001</v>
      </c>
      <c r="G40" s="695" t="n"/>
    </row>
    <row r="41">
      <c r="B41" s="1252" t="inlineStr">
        <is>
          <t>Costo de ventas</t>
        </is>
      </c>
      <c r="C41" s="1136" t="n">
        <v>-227835668.28176</v>
      </c>
      <c r="D41" s="1136" t="n">
        <v>-52528011.462</v>
      </c>
      <c r="E41" s="1138" t="n">
        <v>69082408.395</v>
      </c>
      <c r="F41" s="1136" t="n">
        <v>-211281271.34876</v>
      </c>
      <c r="G41" s="695" t="n"/>
    </row>
    <row r="42">
      <c r="B42" s="1252" t="inlineStr">
        <is>
          <t>Margen bruto</t>
        </is>
      </c>
      <c r="C42" s="1139" t="n">
        <v>1071213.636240005</v>
      </c>
      <c r="D42" s="1139" t="n">
        <v>19421422.58</v>
      </c>
      <c r="E42" s="1139" t="n">
        <v>-2010557</v>
      </c>
      <c r="F42" s="1139" t="n">
        <v>18482079.21624005</v>
      </c>
      <c r="G42" s="695" t="n"/>
    </row>
    <row r="43">
      <c r="B43" s="699" t="n"/>
      <c r="C43" s="1136" t="n"/>
      <c r="D43" s="695" t="n"/>
      <c r="E43" s="695" t="n"/>
      <c r="F43" s="695" t="n"/>
      <c r="G43" s="695" t="n"/>
    </row>
    <row r="44">
      <c r="B44" s="1252" t="inlineStr">
        <is>
          <t>Ganancia (Pérdida) antes de impuestos</t>
        </is>
      </c>
      <c r="C44" s="1136" t="n">
        <v>-26443189.23175001</v>
      </c>
      <c r="D44" s="1136" t="n">
        <v>-20126902.388</v>
      </c>
      <c r="E44" s="1136" t="n">
        <v>0</v>
      </c>
      <c r="F44" s="1136" t="n">
        <v>-46570091.61975001</v>
      </c>
      <c r="G44" s="695" t="n"/>
    </row>
    <row r="45">
      <c r="B45" s="1252" t="inlineStr">
        <is>
          <t>Ganancia (Pérdida) neta del ejercicio</t>
        </is>
      </c>
      <c r="C45" s="1136" t="n">
        <v>-18253826.29875001</v>
      </c>
      <c r="D45" s="1136" t="n">
        <v>-10126269.639</v>
      </c>
      <c r="E45" s="1136" t="n">
        <v>0</v>
      </c>
      <c r="F45" s="1136" t="n">
        <v>-28380095.93775001</v>
      </c>
      <c r="G45" s="695" t="n"/>
    </row>
    <row r="46">
      <c r="B46" s="1254" t="inlineStr">
        <is>
          <t>EBITDA</t>
        </is>
      </c>
      <c r="C46" s="1136" t="n">
        <v>55258034.40944998</v>
      </c>
      <c r="D46" s="1136" t="n">
        <v>44014147.61</v>
      </c>
      <c r="E46" s="1136" t="n">
        <v>0</v>
      </c>
      <c r="F46" s="1136" t="n">
        <v>99272182.01949275</v>
      </c>
      <c r="G46" s="695" t="n"/>
    </row>
    <row r="47">
      <c r="B47" s="1252" t="inlineStr">
        <is>
          <t>Ingresos financieros</t>
        </is>
      </c>
      <c r="C47" s="1136" t="n">
        <v>477639.325</v>
      </c>
      <c r="D47" s="1136" t="n">
        <v>12421162.315</v>
      </c>
      <c r="E47" s="1136" t="n">
        <v>-10695803.557</v>
      </c>
      <c r="F47" s="1136" t="n">
        <v>2202998.082999999</v>
      </c>
      <c r="G47" s="695" t="n"/>
    </row>
    <row r="48">
      <c r="B48" s="1252" t="inlineStr">
        <is>
          <t>Costos financieros</t>
        </is>
      </c>
      <c r="C48" s="1136" t="n">
        <v>-11677316.921</v>
      </c>
      <c r="D48" s="1136" t="n">
        <v>-41709091.329</v>
      </c>
      <c r="E48" s="1136" t="n">
        <v>10695803.557</v>
      </c>
      <c r="F48" s="1136" t="n">
        <v>-42690604.693</v>
      </c>
      <c r="G48" s="695" t="n"/>
    </row>
    <row r="49">
      <c r="B49" s="1252" t="inlineStr">
        <is>
          <t>Depreciación y amortización del ejercicio</t>
        </is>
      </c>
      <c r="C49" s="1136" t="n">
        <v>-73377582.75300001</v>
      </c>
      <c r="D49" s="1136" t="n">
        <v>-35549811.204</v>
      </c>
      <c r="E49" s="1136" t="n">
        <v>0</v>
      </c>
      <c r="F49" s="1136" t="n">
        <v>-115821109.7334928</v>
      </c>
      <c r="G49" s="695" t="n"/>
    </row>
    <row r="50">
      <c r="B50" s="695" t="n"/>
      <c r="C50" s="695" t="n"/>
      <c r="D50" s="695" t="n"/>
      <c r="E50" s="695" t="n"/>
      <c r="F50" s="695" t="n"/>
      <c r="G50" s="695" t="n"/>
    </row>
    <row r="51">
      <c r="B51" s="706" t="n"/>
      <c r="C51" s="1136" t="n"/>
      <c r="D51" s="1136" t="n"/>
      <c r="E51" s="1136" t="n"/>
      <c r="F51" s="1136" t="n"/>
      <c r="G51" s="695" t="n"/>
    </row>
    <row r="52">
      <c r="B52" s="1249" t="inlineStr">
        <is>
          <t>Inversiones de capital (adiciones)</t>
        </is>
      </c>
      <c r="C52" s="1136" t="n">
        <v>66703495</v>
      </c>
      <c r="D52" s="1136" t="n">
        <v>38689363</v>
      </c>
      <c r="E52" s="1136" t="n">
        <v>0</v>
      </c>
      <c r="F52" s="1136" t="n">
        <v>105392858</v>
      </c>
      <c r="G52" s="695" t="n"/>
    </row>
    <row r="53">
      <c r="C53" s="707" t="n"/>
      <c r="D53" s="707" t="n"/>
      <c r="E53" s="707" t="n"/>
      <c r="F53" s="707" t="n"/>
    </row>
    <row r="54">
      <c r="B54" s="706" t="n"/>
    </row>
    <row r="58">
      <c r="B58" s="1249" t="inlineStr">
        <is>
          <t>CALCULO EBITDA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Constanza Loreto Garrido Coloma</dc:creator>
  <dcterms:created xmlns:dcterms="http://purl.org/dc/terms/" xmlns:xsi="http://www.w3.org/2001/XMLSchema-instance" xsi:type="dcterms:W3CDTF">2023-05-10T14:20:27Z</dcterms:created>
  <dcterms:modified xmlns:dcterms="http://purl.org/dc/terms/" xmlns:xsi="http://www.w3.org/2001/XMLSchema-instance" xsi:type="dcterms:W3CDTF">2026-10-02T15:18:26Z</dcterms:modified>
  <cp:lastModifiedBy>Cristiàn Saavedra</cp:lastModifiedBy>
  <cp:lastPrinted>2024-01-30T17:49:35Z</cp:lastPrinted>
</cp:coreProperties>
</file>