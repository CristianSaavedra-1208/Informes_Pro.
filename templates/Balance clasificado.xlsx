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_CONFIG_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color theme="1"/>
      <sz val="8.5"/>
      <u val="single"/>
    </font>
    <font>
      <name val="Arial"/>
      <family val="2"/>
      <color theme="1"/>
      <sz val="8.5"/>
    </font>
    <font>
      <name val="Arial"/>
      <family val="2"/>
      <b val="1"/>
      <color theme="1"/>
      <sz val="8.5"/>
    </font>
    <font>
      <name val="Aptos Narrow"/>
      <family val="2"/>
      <color rgb="FFFF0000"/>
      <sz val="9"/>
      <scheme val="minor"/>
    </font>
    <font>
      <name val="Aptos Narrow"/>
      <family val="2"/>
      <color rgb="FFFF0000"/>
      <sz val="8"/>
      <scheme val="minor"/>
    </font>
    <font>
      <name val="Arial"/>
      <family val="2"/>
      <color theme="1"/>
      <sz val="8"/>
    </font>
    <font>
      <name val="Aptos Narrow"/>
      <family val="2"/>
      <color theme="1"/>
      <sz val="8.5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1" fontId="1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justify" vertical="center" wrapText="1"/>
    </xf>
    <xf numFmtId="164" fontId="3" fillId="0" borderId="0" applyAlignment="1" pivotButton="0" quotePrefix="0" xfId="0">
      <alignment horizontal="right" vertical="center" wrapText="1"/>
    </xf>
    <xf numFmtId="164" fontId="3" fillId="0" borderId="0" applyAlignment="1" pivotButton="0" quotePrefix="0" xfId="0">
      <alignment horizontal="justify" vertical="center" wrapText="1"/>
    </xf>
    <xf numFmtId="0" fontId="5" fillId="0" borderId="0" pivotButton="0" quotePrefix="0" xfId="0"/>
    <xf numFmtId="164" fontId="3" fillId="0" borderId="1" applyAlignment="1" pivotButton="0" quotePrefix="0" xfId="0">
      <alignment horizontal="right" vertical="center" wrapText="1"/>
    </xf>
    <xf numFmtId="164" fontId="6" fillId="0" borderId="0" pivotButton="0" quotePrefix="0" xfId="0"/>
    <xf numFmtId="0" fontId="3" fillId="2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3" fillId="0" borderId="0" applyAlignment="1" pivotButton="0" quotePrefix="0" xfId="1">
      <alignment horizontal="right" vertical="center" wrapText="1"/>
    </xf>
    <xf numFmtId="164" fontId="3" fillId="0" borderId="0" applyAlignment="1" pivotButton="0" quotePrefix="0" xfId="1">
      <alignment horizontal="right" vertical="center" wrapText="1"/>
    </xf>
    <xf numFmtId="164" fontId="0" fillId="0" borderId="0" pivotButton="0" quotePrefix="0" xfId="0"/>
    <xf numFmtId="0" fontId="7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164" fontId="8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8" fillId="3" borderId="0" pivotButton="0" quotePrefix="0" xfId="0"/>
    <xf numFmtId="0" fontId="8" fillId="0" borderId="0" pivotButton="0" quotePrefix="0" xfId="0"/>
  </cellXfs>
  <cellStyles count="2">
    <cellStyle name="Normal" xfId="0" builtinId="0"/>
    <cellStyle name="Millares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tabSelected="1" topLeftCell="A43" workbookViewId="0">
      <selection activeCell="C57" sqref="C57"/>
    </sheetView>
  </sheetViews>
  <sheetFormatPr baseColWidth="10" defaultRowHeight="14.4"/>
  <cols>
    <col width="8.21875" customWidth="1" min="1" max="1"/>
    <col width="43.109375" customWidth="1" min="2" max="2"/>
    <col width="12.88671875" bestFit="1" customWidth="1" style="23" min="3" max="3"/>
    <col width="5.109375" customWidth="1" style="23" min="4" max="4"/>
    <col width="12.6640625" bestFit="1" customWidth="1" style="23" min="5" max="5"/>
    <col width="11.77734375" bestFit="1" customWidth="1" min="6" max="7"/>
  </cols>
  <sheetData>
    <row r="1"/>
    <row r="2">
      <c r="B2" s="1" t="inlineStr">
        <is>
          <t>Activos</t>
        </is>
      </c>
      <c r="C2" s="3" t="n"/>
      <c r="D2" s="2" t="n"/>
      <c r="E2" s="4" t="inlineStr">
        <is>
          <t>Auditado</t>
        </is>
      </c>
    </row>
    <row r="3">
      <c r="B3" s="1" t="n"/>
      <c r="C3" s="5" t="n">
        <v>46022</v>
      </c>
      <c r="D3" s="2" t="n"/>
      <c r="E3" s="5" t="n">
        <v>45657</v>
      </c>
    </row>
    <row r="4">
      <c r="B4" s="2" t="n"/>
      <c r="C4" s="3" t="inlineStr">
        <is>
          <t>M$</t>
        </is>
      </c>
      <c r="D4" s="6" t="n"/>
      <c r="E4" s="3" t="inlineStr">
        <is>
          <t>M$</t>
        </is>
      </c>
    </row>
    <row r="5">
      <c r="B5" s="1" t="inlineStr">
        <is>
          <t>Activos corrientes</t>
        </is>
      </c>
      <c r="C5" s="6" t="n"/>
      <c r="D5" s="6" t="n"/>
      <c r="E5" s="6" t="n"/>
    </row>
    <row r="6">
      <c r="B6" s="2" t="n"/>
      <c r="C6" s="6" t="n"/>
      <c r="D6" s="6" t="n"/>
      <c r="E6" s="6" t="n"/>
    </row>
    <row r="7" ht="15" customHeight="1">
      <c r="B7" s="2" t="inlineStr">
        <is>
          <t>Efectivo y efectivo equivalente</t>
        </is>
      </c>
      <c r="C7" s="7" t="n"/>
      <c r="D7" s="8" t="n"/>
      <c r="E7" s="7" t="n">
        <v>11034702</v>
      </c>
    </row>
    <row r="8" ht="15" customHeight="1">
      <c r="B8" s="2" t="inlineStr">
        <is>
          <t>Activos financieros, Corrientes</t>
        </is>
      </c>
      <c r="C8" s="7" t="n"/>
      <c r="D8" s="8" t="n"/>
      <c r="E8" s="7" t="n">
        <v>0</v>
      </c>
    </row>
    <row r="9" ht="15" customHeight="1">
      <c r="B9" s="2" t="inlineStr">
        <is>
          <t>Otros activos no financieros, corrientes</t>
        </is>
      </c>
      <c r="C9" s="7" t="n">
        <v>633584.117</v>
      </c>
      <c r="D9" s="8" t="n"/>
      <c r="E9" s="7" t="n">
        <v>680036</v>
      </c>
      <c r="F9" s="9" t="n"/>
    </row>
    <row r="10" ht="15" customHeight="1">
      <c r="B10" s="2" t="inlineStr">
        <is>
          <t>Deudores comerciales y otras cuentas por cobrar, corrientes</t>
        </is>
      </c>
      <c r="C10" s="7" t="n"/>
      <c r="D10" s="8" t="n"/>
      <c r="E10" s="7" t="n">
        <v>9995696</v>
      </c>
    </row>
    <row r="11" ht="15" customHeight="1">
      <c r="B11" s="2" t="inlineStr">
        <is>
          <t>Activo por impuestos, corrientes</t>
        </is>
      </c>
      <c r="C11" s="7" t="n"/>
      <c r="D11" s="8" t="n"/>
      <c r="E11" s="7" t="n">
        <v>0</v>
      </c>
      <c r="F11" s="9" t="n"/>
    </row>
    <row r="12" ht="15" customHeight="1">
      <c r="B12" s="2" t="inlineStr">
        <is>
          <t>Cuentas por cobrar a entidades relacionadas, corrientes</t>
        </is>
      </c>
      <c r="C12" s="7" t="n"/>
      <c r="D12" s="8" t="n"/>
      <c r="E12" s="7" t="n">
        <v>0</v>
      </c>
    </row>
    <row r="13" ht="15" customHeight="1">
      <c r="B13" s="2" t="inlineStr">
        <is>
          <t>Inventarios</t>
        </is>
      </c>
      <c r="C13" s="7" t="n"/>
      <c r="D13" s="8" t="n"/>
      <c r="E13" s="7" t="n">
        <v>29430391</v>
      </c>
    </row>
    <row r="14" ht="15" customHeight="1">
      <c r="B14" s="2" t="inlineStr">
        <is>
          <t xml:space="preserve">   Activos corrientes totales</t>
        </is>
      </c>
      <c r="C14" s="10" t="n">
        <v>12634505.963</v>
      </c>
      <c r="D14" s="8" t="n"/>
      <c r="E14" s="10">
        <f>SUM(E7:E13)</f>
        <v/>
      </c>
    </row>
    <row r="15" ht="15" customHeight="1">
      <c r="B15" s="2" t="n"/>
      <c r="C15" s="7" t="n"/>
      <c r="D15" s="8" t="n"/>
      <c r="E15" s="7" t="n"/>
    </row>
    <row r="16" ht="15" customHeight="1">
      <c r="B16" s="1" t="inlineStr">
        <is>
          <t>Activos no corrientes</t>
        </is>
      </c>
      <c r="C16" s="7" t="n"/>
      <c r="D16" s="8" t="n"/>
      <c r="E16" s="7" t="n"/>
    </row>
    <row r="18" ht="15" customHeight="1">
      <c r="B18" s="2" t="inlineStr">
        <is>
          <t>Activos intangibles distinto a la plusvalía</t>
        </is>
      </c>
      <c r="C18" s="7" t="n">
        <v>1168325.484</v>
      </c>
      <c r="D18" s="8" t="n"/>
      <c r="E18" s="7" t="n">
        <v>920301</v>
      </c>
    </row>
    <row r="19" ht="15" customHeight="1">
      <c r="B19" s="2" t="inlineStr">
        <is>
          <t>Propiedades, plantas y equipos</t>
        </is>
      </c>
      <c r="C19" s="7" t="n"/>
      <c r="D19" s="8" t="n"/>
      <c r="E19" s="7" t="n">
        <v>141618649</v>
      </c>
      <c r="F19" s="11" t="n"/>
    </row>
    <row r="20" ht="15" customHeight="1">
      <c r="B20" s="12" t="inlineStr">
        <is>
          <t>Activo por derechos de uso</t>
        </is>
      </c>
      <c r="C20" s="7" t="n"/>
      <c r="D20" s="8" t="n"/>
      <c r="E20" s="7" t="n">
        <v>9185106</v>
      </c>
      <c r="F20" s="11" t="n"/>
    </row>
    <row r="21" ht="15" customHeight="1">
      <c r="B21" s="2" t="inlineStr">
        <is>
          <t>Cuentas por cobrar a entidades relacionadas, no corrientes</t>
        </is>
      </c>
      <c r="C21" s="7" t="n"/>
      <c r="D21" s="8" t="n"/>
      <c r="E21" s="7" t="n">
        <v>0</v>
      </c>
      <c r="F21" s="11" t="n"/>
    </row>
    <row r="22" ht="15" customHeight="1">
      <c r="B22" s="12" t="inlineStr">
        <is>
          <t>Activo por impuestos diferidos, no corrientes</t>
        </is>
      </c>
      <c r="C22" s="7" t="n"/>
      <c r="D22" s="8" t="n"/>
      <c r="E22" s="7" t="n">
        <v>7942637</v>
      </c>
      <c r="F22" s="11" t="n"/>
    </row>
    <row r="23" ht="15" customHeight="1">
      <c r="B23" s="2" t="inlineStr">
        <is>
          <t>Otros activos financieros, no corrientes</t>
        </is>
      </c>
      <c r="C23" s="7" t="n"/>
      <c r="D23" s="8" t="n"/>
      <c r="E23" s="7" t="n">
        <v>0</v>
      </c>
    </row>
    <row r="24" ht="15" customHeight="1">
      <c r="B24" s="2" t="inlineStr">
        <is>
          <t>Inversion en empresas relacionadas</t>
        </is>
      </c>
      <c r="C24" s="7" t="n"/>
      <c r="D24" s="8" t="n"/>
      <c r="E24" s="7" t="n">
        <v>0</v>
      </c>
    </row>
    <row r="25" ht="15" customHeight="1">
      <c r="B25" s="2" t="inlineStr">
        <is>
          <t>Plusvalia</t>
        </is>
      </c>
      <c r="C25" s="7" t="n"/>
      <c r="D25" s="8" t="n"/>
      <c r="E25" s="7" t="n">
        <v>81462673</v>
      </c>
    </row>
    <row r="26" ht="15" customHeight="1">
      <c r="B26" s="2" t="inlineStr">
        <is>
          <t xml:space="preserve">   Total activos no corrientes</t>
        </is>
      </c>
      <c r="C26" s="10" t="n">
        <v>16132432.12</v>
      </c>
      <c r="D26" s="8" t="n"/>
      <c r="E26" s="10">
        <f>SUM(E18:E25)</f>
        <v/>
      </c>
    </row>
    <row r="27" ht="15" customHeight="1">
      <c r="B27" s="2" t="inlineStr">
        <is>
          <t xml:space="preserve">   Total activos</t>
        </is>
      </c>
      <c r="C27" s="10" t="n">
        <v>28766938.083</v>
      </c>
      <c r="D27" s="13" t="n"/>
      <c r="E27" s="10">
        <f>+E26+E14</f>
        <v/>
      </c>
    </row>
    <row r="28" ht="15" customHeight="1">
      <c r="B28" s="2" t="n"/>
      <c r="C28" s="13" t="n"/>
      <c r="D28" s="13" t="n"/>
      <c r="E28" s="13" t="n"/>
    </row>
    <row r="29" ht="15" customHeight="1">
      <c r="B29" s="2" t="n"/>
      <c r="C29" s="7" t="n"/>
      <c r="D29" s="8" t="n"/>
      <c r="E29" s="7" t="n"/>
    </row>
    <row r="30" ht="15" customHeight="1">
      <c r="B30" s="1" t="inlineStr">
        <is>
          <t>Patrimonio y pasivos</t>
        </is>
      </c>
      <c r="C30" s="7" t="n"/>
      <c r="D30" s="8" t="n"/>
      <c r="E30" s="7" t="n"/>
    </row>
    <row r="31" ht="15" customHeight="1">
      <c r="B31" s="2" t="n"/>
      <c r="C31" s="7" t="n"/>
      <c r="D31" s="8" t="n"/>
      <c r="E31" s="7" t="n"/>
    </row>
    <row r="32" ht="15" customHeight="1">
      <c r="B32" s="1" t="inlineStr">
        <is>
          <t>Pasivos corrientes</t>
        </is>
      </c>
      <c r="C32" s="7" t="n"/>
      <c r="D32" s="8" t="n"/>
      <c r="E32" s="7" t="n"/>
    </row>
    <row r="34" ht="15" customHeight="1">
      <c r="B34" s="2" t="inlineStr">
        <is>
          <t>Otros pasivos financieros corrientes</t>
        </is>
      </c>
      <c r="C34" s="15" t="n"/>
      <c r="D34" s="8" t="n"/>
      <c r="E34" s="7" t="n">
        <v>4365153</v>
      </c>
    </row>
    <row r="35" ht="15" customHeight="1">
      <c r="B35" s="2" t="inlineStr">
        <is>
          <t>Pasivos por derechos de uso, corrientes</t>
        </is>
      </c>
      <c r="C35" s="15" t="n"/>
      <c r="D35" s="8" t="n"/>
      <c r="E35" s="7" t="n">
        <v>3762170</v>
      </c>
    </row>
    <row r="36" ht="15" customHeight="1">
      <c r="B36" s="2" t="inlineStr">
        <is>
          <t>Cuentas comerciales y otras cuentas por pagar, corrientes</t>
        </is>
      </c>
      <c r="C36" s="15" t="n"/>
      <c r="D36" s="8" t="n"/>
      <c r="E36" s="7" t="n">
        <v>40321724</v>
      </c>
    </row>
    <row r="37" ht="15" customHeight="1">
      <c r="B37" s="2" t="inlineStr">
        <is>
          <t>Cuentas por pagar entidades relacionadas, corrientes</t>
        </is>
      </c>
      <c r="C37" s="15" t="n"/>
      <c r="D37" s="8" t="n"/>
      <c r="E37" s="15" t="n">
        <v>26477277</v>
      </c>
    </row>
    <row r="38" ht="15" customHeight="1">
      <c r="B38" s="2" t="inlineStr">
        <is>
          <t>Provisiones por beneficios a los empleados</t>
        </is>
      </c>
      <c r="C38" s="15" t="n"/>
      <c r="D38" s="8" t="n"/>
      <c r="E38" s="7" t="n">
        <v>2321996</v>
      </c>
    </row>
    <row r="39" ht="15" customHeight="1">
      <c r="B39" s="2" t="inlineStr">
        <is>
          <t>Pasivo por impuestos, corrientes</t>
        </is>
      </c>
      <c r="C39" s="15" t="n"/>
      <c r="D39" s="8" t="n"/>
      <c r="E39" s="7" t="n">
        <v>1043842</v>
      </c>
    </row>
    <row r="40" ht="15" customHeight="1">
      <c r="B40" s="2" t="inlineStr">
        <is>
          <t xml:space="preserve">   Pasivos corrientes totales</t>
        </is>
      </c>
      <c r="C40" s="10" t="n"/>
      <c r="D40" s="8" t="n"/>
      <c r="E40" s="10">
        <f>SUM(E34:E39)</f>
        <v/>
      </c>
    </row>
    <row r="41" ht="15" customHeight="1">
      <c r="B41" s="2" t="n"/>
      <c r="C41" s="7" t="n"/>
      <c r="D41" s="8" t="n"/>
      <c r="E41" s="7" t="n"/>
    </row>
    <row r="42" ht="15" customHeight="1">
      <c r="B42" s="1" t="inlineStr">
        <is>
          <t>Pasivos no corrientes</t>
        </is>
      </c>
      <c r="C42" s="7" t="n"/>
      <c r="D42" s="8" t="n"/>
      <c r="E42" s="7" t="n"/>
    </row>
    <row r="43" ht="15" customHeight="1">
      <c r="B43" s="2" t="n"/>
      <c r="C43" s="7" t="n"/>
      <c r="D43" s="8" t="n"/>
      <c r="E43" s="7" t="n"/>
    </row>
    <row r="44" ht="15" customHeight="1">
      <c r="B44" s="2" t="inlineStr">
        <is>
          <t>Otros pasivos financieros, no corriente</t>
        </is>
      </c>
      <c r="C44" s="7" t="n"/>
      <c r="D44" s="8" t="n"/>
      <c r="E44" s="7" t="n">
        <v>101129</v>
      </c>
    </row>
    <row r="45" ht="15" customHeight="1">
      <c r="B45" s="2" t="inlineStr">
        <is>
          <t>Pasivos por derechos de uso, no corrientes</t>
        </is>
      </c>
      <c r="C45" s="7" t="n"/>
      <c r="D45" s="8" t="n"/>
      <c r="E45" s="7" t="n">
        <v>4769308</v>
      </c>
      <c r="H45" s="16" t="n"/>
    </row>
    <row r="46" ht="15" customHeight="1">
      <c r="B46" s="2" t="inlineStr">
        <is>
          <t>Cuentas por pagar entidades relacionadas, no corrientes</t>
        </is>
      </c>
      <c r="C46" s="7" t="n"/>
      <c r="D46" s="8" t="n"/>
      <c r="E46" s="7" t="n">
        <v>81403338</v>
      </c>
    </row>
    <row r="47" ht="15" customHeight="1">
      <c r="B47" s="2" t="inlineStr">
        <is>
          <t>Otras provisiones, no corrientes</t>
        </is>
      </c>
      <c r="C47" s="7" t="n"/>
      <c r="D47" s="8" t="n"/>
      <c r="E47" s="7" t="n">
        <v>1131831</v>
      </c>
    </row>
    <row r="48" ht="15" customHeight="1">
      <c r="B48" s="17" t="inlineStr">
        <is>
          <t>Cuentas comerciales y otras cuentas por pagar, no corrientes</t>
        </is>
      </c>
      <c r="C48" s="7" t="n"/>
      <c r="D48" s="8" t="n"/>
      <c r="E48" s="7" t="n">
        <v>24763659</v>
      </c>
      <c r="H48" s="16" t="n"/>
    </row>
    <row r="49" ht="15" customHeight="1">
      <c r="B49" s="17" t="inlineStr">
        <is>
          <t>Pasivos por impuestos diferidos, no corrientes</t>
        </is>
      </c>
      <c r="C49" s="7" t="n"/>
      <c r="D49" s="8" t="n"/>
      <c r="E49" s="7" t="n">
        <v>0</v>
      </c>
    </row>
    <row r="50" ht="15" customHeight="1">
      <c r="B50" s="2" t="inlineStr">
        <is>
          <t xml:space="preserve">   Total pasivos no corrientes</t>
        </is>
      </c>
      <c r="C50" s="10" t="n"/>
      <c r="D50" s="8" t="n"/>
      <c r="E50" s="10" t="n">
        <v>112169265</v>
      </c>
    </row>
    <row r="51" ht="15" customHeight="1">
      <c r="B51" s="2" t="inlineStr">
        <is>
          <t xml:space="preserve">   Total pasivos</t>
        </is>
      </c>
      <c r="C51" s="10" t="n"/>
      <c r="D51" s="8" t="n"/>
      <c r="E51" s="10" t="n">
        <v>190461427</v>
      </c>
    </row>
    <row r="52" ht="15" customHeight="1">
      <c r="B52" s="2" t="n"/>
      <c r="C52" s="7" t="n"/>
      <c r="D52" s="8" t="n"/>
      <c r="E52" s="7" t="n"/>
    </row>
    <row r="53" ht="15" customHeight="1">
      <c r="B53" s="1" t="inlineStr">
        <is>
          <t>Patrimonio</t>
        </is>
      </c>
      <c r="C53" s="7" t="n"/>
      <c r="D53" s="8" t="n"/>
      <c r="E53" s="7" t="n"/>
    </row>
    <row r="54" ht="15" customHeight="1">
      <c r="B54" s="2" t="n"/>
      <c r="C54" s="7" t="n"/>
      <c r="D54" s="8" t="n"/>
      <c r="E54" s="7" t="n"/>
    </row>
    <row r="55" ht="15" customHeight="1">
      <c r="B55" s="2" t="inlineStr">
        <is>
          <t>Capital emitido</t>
        </is>
      </c>
      <c r="C55" s="7" t="n"/>
      <c r="D55" s="8" t="n"/>
      <c r="E55" s="7" t="n">
        <v>141173957</v>
      </c>
    </row>
    <row r="56" ht="15" customHeight="1">
      <c r="B56" s="2" t="inlineStr">
        <is>
          <t>Aporte por enterar</t>
        </is>
      </c>
      <c r="C56" s="7" t="n"/>
      <c r="D56" s="8" t="n"/>
      <c r="E56" s="7" t="n"/>
    </row>
    <row r="57" ht="15" customHeight="1">
      <c r="B57" s="2" t="inlineStr">
        <is>
          <t>Otras reservas</t>
        </is>
      </c>
      <c r="C57" s="7" t="n"/>
      <c r="D57" s="8" t="n"/>
      <c r="E57" s="7" t="n">
        <v>326184</v>
      </c>
    </row>
    <row r="58" ht="15" customHeight="1">
      <c r="B58" s="2" t="inlineStr">
        <is>
          <t>Resultados acumulados</t>
        </is>
      </c>
      <c r="C58" s="7" t="n"/>
      <c r="D58" s="8" t="n"/>
      <c r="E58" s="7" t="n">
        <v>-39691377</v>
      </c>
      <c r="F58" s="16" t="n"/>
    </row>
    <row r="59" ht="15" customHeight="1">
      <c r="B59" s="2" t="inlineStr">
        <is>
          <t xml:space="preserve">   Patrimonio total</t>
        </is>
      </c>
      <c r="C59" s="10" t="n"/>
      <c r="D59" s="8" t="n"/>
      <c r="E59" s="10" t="n">
        <v>101808764</v>
      </c>
      <c r="F59" s="11" t="n"/>
    </row>
    <row r="60" ht="15" customHeight="1">
      <c r="B60" s="2" t="inlineStr">
        <is>
          <t xml:space="preserve">   Total patrimonio y pasivos</t>
        </is>
      </c>
      <c r="C60" s="10" t="n"/>
      <c r="D60" s="13" t="n"/>
      <c r="E60" s="10">
        <f>+E59+E51</f>
        <v/>
      </c>
    </row>
    <row r="61" ht="15" customHeight="1">
      <c r="B61" s="2" t="n"/>
      <c r="C61" s="7" t="n"/>
      <c r="D61" s="13" t="n"/>
      <c r="E61" s="7" t="n"/>
    </row>
    <row r="62" ht="15" customHeight="1">
      <c r="B62" s="18" t="inlineStr">
        <is>
          <t>Validacion</t>
        </is>
      </c>
      <c r="C62" s="19" t="n"/>
      <c r="D62" s="19" t="n"/>
      <c r="E62" s="19" t="n">
        <v>0</v>
      </c>
    </row>
    <row r="63" ht="15" customFormat="1" customHeight="1" s="21">
      <c r="B63" s="20" t="n"/>
      <c r="C63" s="22" t="n"/>
      <c r="D63" s="22" t="n"/>
      <c r="E63" s="22" t="n"/>
    </row>
    <row r="66">
      <c r="B66" t="inlineStr">
        <is>
          <t>Total cuentas de P&amp;L (Resultado)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balance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0</v>
      </c>
    </row>
    <row r="4">
      <c r="A4" t="inlineStr">
        <is>
          <t>val_actual_col</t>
        </is>
      </c>
      <c r="B4" t="n">
        <v>3</v>
      </c>
    </row>
    <row r="5">
      <c r="A5" t="inlineStr">
        <is>
          <t>val_comp_col</t>
        </is>
      </c>
      <c r="B5" t="n">
        <v>5</v>
      </c>
    </row>
    <row r="6">
      <c r="A6" t="inlineStr">
        <is>
          <t>data_start_row</t>
        </is>
      </c>
      <c r="B6" t="n">
        <v>2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Cristiàn Saavedra</dc:creator>
  <dcterms:created xmlns:dcterms="http://purl.org/dc/terms/" xmlns:xsi="http://www.w3.org/2001/XMLSchema-instance" xsi:type="dcterms:W3CDTF">2026-03-16T17:53:36Z</dcterms:created>
  <dcterms:modified xmlns:dcterms="http://purl.org/dc/terms/" xmlns:xsi="http://www.w3.org/2001/XMLSchema-instance" xsi:type="dcterms:W3CDTF">2026-06-26T01:19:08Z</dcterms:modified>
  <cp:lastModifiedBy>Cristiàn Saavedra</cp:lastModifiedBy>
</cp:coreProperties>
</file>